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45962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45963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45964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45965</v>
      </c>
      <c r="B6" t="inlineStr">
        <is>
          <t>외식·배달</t>
        </is>
      </c>
      <c r="C6" s="4" t="n">
        <v>550000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45966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45967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45968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45969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45970</v>
      </c>
      <c r="B11" t="inlineStr">
        <is>
          <t>기타</t>
        </is>
      </c>
      <c r="C11" s="4" t="n">
        <v>150000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45992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45993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45994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45995</v>
      </c>
      <c r="B15" t="inlineStr">
        <is>
          <t>외식·배달</t>
        </is>
      </c>
      <c r="C15" s="4" t="n">
        <v>450000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45996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45997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45998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45999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46000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>
        <v>46023</v>
      </c>
      <c r="B21" t="inlineStr">
        <is>
          <t>급여</t>
        </is>
      </c>
      <c r="C21" s="4" t="n">
        <v>3500000</v>
      </c>
      <c r="D21" t="inlineStr">
        <is>
          <t>수입</t>
        </is>
      </c>
      <c r="E21" s="5">
        <f>IF(OR(C21="",D21="",D21="수입",계산!$B$20=""),"",ROUND(C21*계산!$B$20,0))</f>
        <v/>
      </c>
    </row>
    <row r="22">
      <c r="A22" s="3" t="n">
        <v>46024</v>
      </c>
      <c r="B22" t="inlineStr">
        <is>
          <t>월세·관리비</t>
        </is>
      </c>
      <c r="C22" s="4" t="n">
        <v>700000</v>
      </c>
      <c r="D22" t="inlineStr">
        <is>
          <t>주거·수도·광열</t>
        </is>
      </c>
      <c r="E22" s="5">
        <f>IF(OR(C22="",D22="",D22="수입",계산!$B$20=""),"",ROUND(C22*계산!$B$20,0))</f>
        <v/>
      </c>
    </row>
    <row r="23">
      <c r="A23" s="3" t="n">
        <v>46025</v>
      </c>
      <c r="B23" t="inlineStr">
        <is>
          <t>장보기</t>
        </is>
      </c>
      <c r="C23" s="4" t="n">
        <v>400000</v>
      </c>
      <c r="D23" t="inlineStr">
        <is>
          <t>식료품·비주류음료</t>
        </is>
      </c>
      <c r="E23" s="5">
        <f>IF(OR(C23="",D23="",D23="수입",계산!$B$20=""),"",ROUND(C23*계산!$B$20,0))</f>
        <v/>
      </c>
    </row>
    <row r="24">
      <c r="A24" s="3" t="n">
        <v>46026</v>
      </c>
      <c r="B24" t="inlineStr">
        <is>
          <t>외식·배달</t>
        </is>
      </c>
      <c r="C24" s="4" t="n">
        <v>700000</v>
      </c>
      <c r="D24" t="inlineStr">
        <is>
          <t>음식·숙박</t>
        </is>
      </c>
      <c r="E24" s="5">
        <f>IF(OR(C24="",D24="",D24="수입",계산!$B$20=""),"",ROUND(C24*계산!$B$20,0))</f>
        <v/>
      </c>
    </row>
    <row r="25">
      <c r="A25" s="3" t="n">
        <v>46027</v>
      </c>
      <c r="B25" t="inlineStr">
        <is>
          <t>커피</t>
        </is>
      </c>
      <c r="C25" s="4" t="n">
        <v>100000</v>
      </c>
      <c r="D25" t="inlineStr">
        <is>
          <t>음식·숙박</t>
        </is>
      </c>
      <c r="E25" s="5">
        <f>IF(OR(C25="",D25="",D25="수입",계산!$B$20=""),"",ROUND(C25*계산!$B$20,0))</f>
        <v/>
      </c>
    </row>
    <row r="26">
      <c r="A26" s="3" t="n">
        <v>46028</v>
      </c>
      <c r="B26" t="inlineStr">
        <is>
          <t>교통카드</t>
        </is>
      </c>
      <c r="C26" s="4" t="n">
        <v>120000</v>
      </c>
      <c r="D26" t="inlineStr">
        <is>
          <t>교통</t>
        </is>
      </c>
      <c r="E26" s="5">
        <f>IF(OR(C26="",D26="",D26="수입",계산!$B$20=""),"",ROUND(C26*계산!$B$20,0))</f>
        <v/>
      </c>
    </row>
    <row r="27">
      <c r="A27" s="3" t="n">
        <v>46029</v>
      </c>
      <c r="B27" t="inlineStr">
        <is>
          <t>휴대폰</t>
        </is>
      </c>
      <c r="C27" s="4" t="n">
        <v>80000</v>
      </c>
      <c r="D27" t="inlineStr">
        <is>
          <t>통신</t>
        </is>
      </c>
      <c r="E27" s="5">
        <f>IF(OR(C27="",D27="",D27="수입",계산!$B$20=""),"",ROUND(C27*계산!$B$20,0))</f>
        <v/>
      </c>
    </row>
    <row r="28">
      <c r="A28" s="3" t="n">
        <v>46030</v>
      </c>
      <c r="B28" t="inlineStr">
        <is>
          <t>OTT·취미</t>
        </is>
      </c>
      <c r="C28" s="4" t="n">
        <v>150000</v>
      </c>
      <c r="D28" t="inlineStr">
        <is>
          <t>오락·문화</t>
        </is>
      </c>
      <c r="E28" s="5">
        <f>IF(OR(C28="",D28="",D28="수입",계산!$B$20=""),"",ROUND(C28*계산!$B$20,0))</f>
        <v/>
      </c>
    </row>
    <row r="29">
      <c r="A29" s="3" t="n">
        <v>46031</v>
      </c>
      <c r="B29" t="inlineStr">
        <is>
          <t>기타</t>
        </is>
      </c>
      <c r="C29" s="4" t="n">
        <v>150000</v>
      </c>
      <c r="D29" t="inlineStr">
        <is>
          <t>기타상품·서비스</t>
        </is>
      </c>
      <c r="E29" s="5">
        <f>IF(OR(C29="",D29="",D29="수입",계산!$B$20=""),"",ROUND(C29*계산!$B$20,0))</f>
        <v/>
      </c>
    </row>
    <row r="30">
      <c r="A30" s="3" t="n">
        <v>46054</v>
      </c>
      <c r="B30" t="inlineStr">
        <is>
          <t>급여</t>
        </is>
      </c>
      <c r="C30" s="4" t="n">
        <v>3500000</v>
      </c>
      <c r="D30" t="inlineStr">
        <is>
          <t>수입</t>
        </is>
      </c>
      <c r="E30" s="5">
        <f>IF(OR(C30="",D30="",D30="수입",계산!$B$20=""),"",ROUND(C30*계산!$B$20,0))</f>
        <v/>
      </c>
    </row>
    <row r="31">
      <c r="A31" s="3" t="n">
        <v>46055</v>
      </c>
      <c r="B31" t="inlineStr">
        <is>
          <t>월세·관리비</t>
        </is>
      </c>
      <c r="C31" s="4" t="n">
        <v>700000</v>
      </c>
      <c r="D31" t="inlineStr">
        <is>
          <t>주거·수도·광열</t>
        </is>
      </c>
      <c r="E31" s="5">
        <f>IF(OR(C31="",D31="",D31="수입",계산!$B$20=""),"",ROUND(C31*계산!$B$20,0))</f>
        <v/>
      </c>
    </row>
    <row r="32">
      <c r="A32" s="3" t="n">
        <v>46056</v>
      </c>
      <c r="B32" t="inlineStr">
        <is>
          <t>장보기</t>
        </is>
      </c>
      <c r="C32" s="4" t="n">
        <v>400000</v>
      </c>
      <c r="D32" t="inlineStr">
        <is>
          <t>식료품·비주류음료</t>
        </is>
      </c>
      <c r="E32" s="5">
        <f>IF(OR(C32="",D32="",D32="수입",계산!$B$20=""),"",ROUND(C32*계산!$B$20,0))</f>
        <v/>
      </c>
    </row>
    <row r="33">
      <c r="A33" s="3" t="n">
        <v>46057</v>
      </c>
      <c r="B33" t="inlineStr">
        <is>
          <t>외식·배달</t>
        </is>
      </c>
      <c r="C33" s="4" t="n">
        <v>400000</v>
      </c>
      <c r="D33" t="inlineStr">
        <is>
          <t>음식·숙박</t>
        </is>
      </c>
      <c r="E33" s="5">
        <f>IF(OR(C33="",D33="",D33="수입",계산!$B$20=""),"",ROUND(C33*계산!$B$20,0))</f>
        <v/>
      </c>
    </row>
    <row r="34">
      <c r="A34" s="3" t="n">
        <v>46058</v>
      </c>
      <c r="B34" t="inlineStr">
        <is>
          <t>커피</t>
        </is>
      </c>
      <c r="C34" s="4" t="n">
        <v>100000</v>
      </c>
      <c r="D34" t="inlineStr">
        <is>
          <t>음식·숙박</t>
        </is>
      </c>
      <c r="E34" s="5">
        <f>IF(OR(C34="",D34="",D34="수입",계산!$B$20=""),"",ROUND(C34*계산!$B$20,0))</f>
        <v/>
      </c>
    </row>
    <row r="35">
      <c r="A35" s="3" t="n">
        <v>46059</v>
      </c>
      <c r="B35" t="inlineStr">
        <is>
          <t>교통카드</t>
        </is>
      </c>
      <c r="C35" s="4" t="n">
        <v>120000</v>
      </c>
      <c r="D35" t="inlineStr">
        <is>
          <t>교통</t>
        </is>
      </c>
      <c r="E35" s="5">
        <f>IF(OR(C35="",D35="",D35="수입",계산!$B$20=""),"",ROUND(C35*계산!$B$20,0))</f>
        <v/>
      </c>
    </row>
    <row r="36">
      <c r="A36" s="3" t="n">
        <v>46060</v>
      </c>
      <c r="B36" t="inlineStr">
        <is>
          <t>휴대폰</t>
        </is>
      </c>
      <c r="C36" s="4" t="n">
        <v>80000</v>
      </c>
      <c r="D36" t="inlineStr">
        <is>
          <t>통신</t>
        </is>
      </c>
      <c r="E36" s="5">
        <f>IF(OR(C36="",D36="",D36="수입",계산!$B$20=""),"",ROUND(C36*계산!$B$20,0))</f>
        <v/>
      </c>
    </row>
    <row r="37">
      <c r="A37" s="3" t="n">
        <v>46061</v>
      </c>
      <c r="B37" t="inlineStr">
        <is>
          <t>OTT·취미</t>
        </is>
      </c>
      <c r="C37" s="4" t="n">
        <v>150000</v>
      </c>
      <c r="D37" t="inlineStr">
        <is>
          <t>오락·문화</t>
        </is>
      </c>
      <c r="E37" s="5">
        <f>IF(OR(C37="",D37="",D37="수입",계산!$B$20=""),"",ROUND(C37*계산!$B$20,0))</f>
        <v/>
      </c>
    </row>
    <row r="38">
      <c r="A38" s="3" t="n">
        <v>46062</v>
      </c>
      <c r="B38" t="inlineStr">
        <is>
          <t>기타</t>
        </is>
      </c>
      <c r="C38" s="4" t="n">
        <v>150000</v>
      </c>
      <c r="D38" t="inlineStr">
        <is>
          <t>기타상품·서비스</t>
        </is>
      </c>
      <c r="E38" s="5">
        <f>IF(OR(C38="",D38="",D38="수입",계산!$B$20=""),"",ROUND(C38*계산!$B$20,0))</f>
        <v/>
      </c>
    </row>
    <row r="39">
      <c r="A39" s="3" t="n">
        <v>46082</v>
      </c>
      <c r="B39" t="inlineStr">
        <is>
          <t>급여</t>
        </is>
      </c>
      <c r="C39" s="4" t="n">
        <v>3500000</v>
      </c>
      <c r="D39" t="inlineStr">
        <is>
          <t>수입</t>
        </is>
      </c>
      <c r="E39" s="5">
        <f>IF(OR(C39="",D39="",D39="수입",계산!$B$20=""),"",ROUND(C39*계산!$B$20,0))</f>
        <v/>
      </c>
    </row>
    <row r="40">
      <c r="A40" s="3" t="n">
        <v>46083</v>
      </c>
      <c r="B40" t="inlineStr">
        <is>
          <t>월세·관리비</t>
        </is>
      </c>
      <c r="C40" s="4" t="n">
        <v>700000</v>
      </c>
      <c r="D40" t="inlineStr">
        <is>
          <t>주거·수도·광열</t>
        </is>
      </c>
      <c r="E40" s="5">
        <f>IF(OR(C40="",D40="",D40="수입",계산!$B$20=""),"",ROUND(C40*계산!$B$20,0))</f>
        <v/>
      </c>
    </row>
    <row r="41">
      <c r="A41" s="3" t="n">
        <v>46084</v>
      </c>
      <c r="B41" t="inlineStr">
        <is>
          <t>장보기</t>
        </is>
      </c>
      <c r="C41" s="4" t="n">
        <v>400000</v>
      </c>
      <c r="D41" t="inlineStr">
        <is>
          <t>식료품·비주류음료</t>
        </is>
      </c>
      <c r="E41" s="5">
        <f>IF(OR(C41="",D41="",D41="수입",계산!$B$20=""),"",ROUND(C41*계산!$B$20,0))</f>
        <v/>
      </c>
    </row>
    <row r="42">
      <c r="A42" s="3" t="n">
        <v>46085</v>
      </c>
      <c r="B42" t="inlineStr">
        <is>
          <t>외식·배달</t>
        </is>
      </c>
      <c r="C42" s="4" t="n">
        <v>500000</v>
      </c>
      <c r="D42" t="inlineStr">
        <is>
          <t>음식·숙박</t>
        </is>
      </c>
      <c r="E42" s="5">
        <f>IF(OR(C42="",D42="",D42="수입",계산!$B$20=""),"",ROUND(C42*계산!$B$20,0))</f>
        <v/>
      </c>
    </row>
    <row r="43">
      <c r="A43" s="3" t="n">
        <v>46086</v>
      </c>
      <c r="B43" t="inlineStr">
        <is>
          <t>커피</t>
        </is>
      </c>
      <c r="C43" s="4" t="n">
        <v>100000</v>
      </c>
      <c r="D43" t="inlineStr">
        <is>
          <t>음식·숙박</t>
        </is>
      </c>
      <c r="E43" s="5">
        <f>IF(OR(C43="",D43="",D43="수입",계산!$B$20=""),"",ROUND(C43*계산!$B$20,0))</f>
        <v/>
      </c>
    </row>
    <row r="44">
      <c r="A44" s="3" t="n">
        <v>46087</v>
      </c>
      <c r="B44" t="inlineStr">
        <is>
          <t>교통카드</t>
        </is>
      </c>
      <c r="C44" s="4" t="n">
        <v>120000</v>
      </c>
      <c r="D44" t="inlineStr">
        <is>
          <t>교통</t>
        </is>
      </c>
      <c r="E44" s="5">
        <f>IF(OR(C44="",D44="",D44="수입",계산!$B$20=""),"",ROUND(C44*계산!$B$20,0))</f>
        <v/>
      </c>
    </row>
    <row r="45">
      <c r="A45" s="3" t="n">
        <v>46088</v>
      </c>
      <c r="B45" t="inlineStr">
        <is>
          <t>휴대폰</t>
        </is>
      </c>
      <c r="C45" s="4" t="n">
        <v>80000</v>
      </c>
      <c r="D45" t="inlineStr">
        <is>
          <t>통신</t>
        </is>
      </c>
      <c r="E45" s="5">
        <f>IF(OR(C45="",D45="",D45="수입",계산!$B$20=""),"",ROUND(C45*계산!$B$20,0))</f>
        <v/>
      </c>
    </row>
    <row r="46">
      <c r="A46" s="3" t="n">
        <v>46089</v>
      </c>
      <c r="B46" t="inlineStr">
        <is>
          <t>OTT·취미</t>
        </is>
      </c>
      <c r="C46" s="4" t="n">
        <v>150000</v>
      </c>
      <c r="D46" t="inlineStr">
        <is>
          <t>오락·문화</t>
        </is>
      </c>
      <c r="E46" s="5">
        <f>IF(OR(C46="",D46="",D46="수입",계산!$B$20=""),"",ROUND(C46*계산!$B$20,0))</f>
        <v/>
      </c>
    </row>
    <row r="47">
      <c r="A47" s="3" t="n">
        <v>46090</v>
      </c>
      <c r="B47" t="inlineStr">
        <is>
          <t>기타</t>
        </is>
      </c>
      <c r="C47" s="4" t="n">
        <v>150000</v>
      </c>
      <c r="D47" t="inlineStr">
        <is>
          <t>기타상품·서비스</t>
        </is>
      </c>
      <c r="E47" s="5">
        <f>IF(OR(C47="",D47="",D47="수입",계산!$B$20=""),"",ROUND(C47*계산!$B$20,0))</f>
        <v/>
      </c>
    </row>
    <row r="48">
      <c r="A48" s="3" t="n">
        <v>46113</v>
      </c>
      <c r="B48" t="inlineStr">
        <is>
          <t>급여</t>
        </is>
      </c>
      <c r="C48" s="4" t="n">
        <v>3500000</v>
      </c>
      <c r="D48" t="inlineStr">
        <is>
          <t>수입</t>
        </is>
      </c>
      <c r="E48" s="5">
        <f>IF(OR(C48="",D48="",D48="수입",계산!$B$20=""),"",ROUND(C48*계산!$B$20,0))</f>
        <v/>
      </c>
    </row>
    <row r="49">
      <c r="A49" s="3" t="n">
        <v>46114</v>
      </c>
      <c r="B49" t="inlineStr">
        <is>
          <t>월세·관리비</t>
        </is>
      </c>
      <c r="C49" s="4" t="n">
        <v>700000</v>
      </c>
      <c r="D49" t="inlineStr">
        <is>
          <t>주거·수도·광열</t>
        </is>
      </c>
      <c r="E49" s="5">
        <f>IF(OR(C49="",D49="",D49="수입",계산!$B$20=""),"",ROUND(C49*계산!$B$20,0))</f>
        <v/>
      </c>
    </row>
    <row r="50">
      <c r="A50" s="3" t="n">
        <v>46115</v>
      </c>
      <c r="B50" t="inlineStr">
        <is>
          <t>장보기</t>
        </is>
      </c>
      <c r="C50" s="4" t="n">
        <v>400000</v>
      </c>
      <c r="D50" t="inlineStr">
        <is>
          <t>식료품·비주류음료</t>
        </is>
      </c>
      <c r="E50" s="5">
        <f>IF(OR(C50="",D50="",D50="수입",계산!$B$20=""),"",ROUND(C50*계산!$B$20,0))</f>
        <v/>
      </c>
    </row>
    <row r="51">
      <c r="A51" s="3" t="n">
        <v>46116</v>
      </c>
      <c r="B51" t="inlineStr">
        <is>
          <t>외식·배달</t>
        </is>
      </c>
      <c r="C51" s="4" t="n">
        <v>300000</v>
      </c>
      <c r="D51" t="inlineStr">
        <is>
          <t>음식·숙박</t>
        </is>
      </c>
      <c r="E51" s="5">
        <f>IF(OR(C51="",D51="",D51="수입",계산!$B$20=""),"",ROUND(C51*계산!$B$20,0))</f>
        <v/>
      </c>
    </row>
    <row r="52">
      <c r="A52" s="3" t="n">
        <v>46117</v>
      </c>
      <c r="B52" t="inlineStr">
        <is>
          <t>커피</t>
        </is>
      </c>
      <c r="C52" s="4" t="n">
        <v>100000</v>
      </c>
      <c r="D52" t="inlineStr">
        <is>
          <t>음식·숙박</t>
        </is>
      </c>
      <c r="E52" s="5">
        <f>IF(OR(C52="",D52="",D52="수입",계산!$B$20=""),"",ROUND(C52*계산!$B$20,0))</f>
        <v/>
      </c>
    </row>
    <row r="53">
      <c r="A53" s="3" t="n">
        <v>46118</v>
      </c>
      <c r="B53" t="inlineStr">
        <is>
          <t>교통카드</t>
        </is>
      </c>
      <c r="C53" s="4" t="n">
        <v>120000</v>
      </c>
      <c r="D53" t="inlineStr">
        <is>
          <t>교통</t>
        </is>
      </c>
      <c r="E53" s="5">
        <f>IF(OR(C53="",D53="",D53="수입",계산!$B$20=""),"",ROUND(C53*계산!$B$20,0))</f>
        <v/>
      </c>
    </row>
    <row r="54">
      <c r="A54" s="3" t="n">
        <v>46119</v>
      </c>
      <c r="B54" t="inlineStr">
        <is>
          <t>휴대폰</t>
        </is>
      </c>
      <c r="C54" s="4" t="n">
        <v>80000</v>
      </c>
      <c r="D54" t="inlineStr">
        <is>
          <t>통신</t>
        </is>
      </c>
      <c r="E54" s="5">
        <f>IF(OR(C54="",D54="",D54="수입",계산!$B$20=""),"",ROUND(C54*계산!$B$20,0))</f>
        <v/>
      </c>
    </row>
    <row r="55">
      <c r="A55" s="3" t="n">
        <v>46120</v>
      </c>
      <c r="B55" t="inlineStr">
        <is>
          <t>OTT·취미</t>
        </is>
      </c>
      <c r="C55" s="4" t="n">
        <v>150000</v>
      </c>
      <c r="D55" t="inlineStr">
        <is>
          <t>오락·문화</t>
        </is>
      </c>
      <c r="E55" s="5">
        <f>IF(OR(C55="",D55="",D55="수입",계산!$B$20=""),"",ROUND(C55*계산!$B$20,0))</f>
        <v/>
      </c>
    </row>
    <row r="56">
      <c r="A56" s="3" t="n">
        <v>46121</v>
      </c>
      <c r="B56" t="inlineStr">
        <is>
          <t>기타</t>
        </is>
      </c>
      <c r="C56" s="4" t="n">
        <v>150000</v>
      </c>
      <c r="D56" t="inlineStr">
        <is>
          <t>기타상품·서비스</t>
        </is>
      </c>
      <c r="E56" s="5">
        <f>IF(OR(C56="",D56="",D56="수입",계산!$B$20=""),"",ROUND(C56*계산!$B$20,0))</f>
        <v/>
      </c>
    </row>
    <row r="57">
      <c r="A57" s="3" t="n">
        <v>46143</v>
      </c>
      <c r="B57" t="inlineStr">
        <is>
          <t>급여</t>
        </is>
      </c>
      <c r="C57" s="4" t="n">
        <v>3500000</v>
      </c>
      <c r="D57" t="inlineStr">
        <is>
          <t>수입</t>
        </is>
      </c>
      <c r="E57" s="5">
        <f>IF(OR(C57="",D57="",D57="수입",계산!$B$20=""),"",ROUND(C57*계산!$B$20,0))</f>
        <v/>
      </c>
    </row>
    <row r="58">
      <c r="A58" s="3" t="n">
        <v>46144</v>
      </c>
      <c r="B58" t="inlineStr">
        <is>
          <t>월세·관리비</t>
        </is>
      </c>
      <c r="C58" s="4" t="n">
        <v>700000</v>
      </c>
      <c r="D58" t="inlineStr">
        <is>
          <t>주거·수도·광열</t>
        </is>
      </c>
      <c r="E58" s="5">
        <f>IF(OR(C58="",D58="",D58="수입",계산!$B$20=""),"",ROUND(C58*계산!$B$20,0))</f>
        <v/>
      </c>
    </row>
    <row r="59">
      <c r="A59" s="3" t="n">
        <v>46145</v>
      </c>
      <c r="B59" t="inlineStr">
        <is>
          <t>장보기</t>
        </is>
      </c>
      <c r="C59" s="4" t="n">
        <v>400000</v>
      </c>
      <c r="D59" t="inlineStr">
        <is>
          <t>식료품·비주류음료</t>
        </is>
      </c>
      <c r="E59" s="5">
        <f>IF(OR(C59="",D59="",D59="수입",계산!$B$20=""),"",ROUND(C59*계산!$B$20,0))</f>
        <v/>
      </c>
    </row>
    <row r="60">
      <c r="A60" s="3" t="n">
        <v>46146</v>
      </c>
      <c r="B60" t="inlineStr">
        <is>
          <t>외식·배달</t>
        </is>
      </c>
      <c r="C60" s="4" t="n">
        <v>450000</v>
      </c>
      <c r="D60" t="inlineStr">
        <is>
          <t>음식·숙박</t>
        </is>
      </c>
      <c r="E60" s="5">
        <f>IF(OR(C60="",D60="",D60="수입",계산!$B$20=""),"",ROUND(C60*계산!$B$20,0))</f>
        <v/>
      </c>
    </row>
    <row r="61">
      <c r="A61" s="3" t="n">
        <v>46147</v>
      </c>
      <c r="B61" t="inlineStr">
        <is>
          <t>커피</t>
        </is>
      </c>
      <c r="C61" s="4" t="n">
        <v>100000</v>
      </c>
      <c r="D61" t="inlineStr">
        <is>
          <t>음식·숙박</t>
        </is>
      </c>
      <c r="E61" s="5">
        <f>IF(OR(C61="",D61="",D61="수입",계산!$B$20=""),"",ROUND(C61*계산!$B$20,0))</f>
        <v/>
      </c>
    </row>
    <row r="62">
      <c r="A62" s="3" t="n">
        <v>46148</v>
      </c>
      <c r="B62" t="inlineStr">
        <is>
          <t>교통카드</t>
        </is>
      </c>
      <c r="C62" s="4" t="n">
        <v>120000</v>
      </c>
      <c r="D62" t="inlineStr">
        <is>
          <t>교통</t>
        </is>
      </c>
      <c r="E62" s="5">
        <f>IF(OR(C62="",D62="",D62="수입",계산!$B$20=""),"",ROUND(C62*계산!$B$20,0))</f>
        <v/>
      </c>
    </row>
    <row r="63">
      <c r="A63" s="3" t="n">
        <v>46149</v>
      </c>
      <c r="B63" t="inlineStr">
        <is>
          <t>휴대폰</t>
        </is>
      </c>
      <c r="C63" s="4" t="n">
        <v>80000</v>
      </c>
      <c r="D63" t="inlineStr">
        <is>
          <t>통신</t>
        </is>
      </c>
      <c r="E63" s="5">
        <f>IF(OR(C63="",D63="",D63="수입",계산!$B$20=""),"",ROUND(C63*계산!$B$20,0))</f>
        <v/>
      </c>
    </row>
    <row r="64">
      <c r="A64" s="3" t="n">
        <v>46150</v>
      </c>
      <c r="B64" t="inlineStr">
        <is>
          <t>OTT·취미</t>
        </is>
      </c>
      <c r="C64" s="4" t="n">
        <v>150000</v>
      </c>
      <c r="D64" t="inlineStr">
        <is>
          <t>오락·문화</t>
        </is>
      </c>
      <c r="E64" s="5">
        <f>IF(OR(C64="",D64="",D64="수입",계산!$B$20=""),"",ROUND(C64*계산!$B$20,0))</f>
        <v/>
      </c>
    </row>
    <row r="65">
      <c r="A65" s="3" t="n">
        <v>46151</v>
      </c>
      <c r="B65" t="inlineStr">
        <is>
          <t>기타</t>
        </is>
      </c>
      <c r="C65" s="4" t="n">
        <v>150000</v>
      </c>
      <c r="D65" t="inlineStr">
        <is>
          <t>기타상품·서비스</t>
        </is>
      </c>
      <c r="E65" s="5">
        <f>IF(OR(C65="",D65="",D65="수입",계산!$B$20=""),"",ROUND(C65*계산!$B$20,0))</f>
        <v/>
      </c>
    </row>
    <row r="66">
      <c r="A66" s="3" t="n">
        <v>46174</v>
      </c>
      <c r="B66" t="inlineStr">
        <is>
          <t>급여</t>
        </is>
      </c>
      <c r="C66" s="4" t="n">
        <v>3500000</v>
      </c>
      <c r="D66" t="inlineStr">
        <is>
          <t>수입</t>
        </is>
      </c>
      <c r="E66" s="5">
        <f>IF(OR(C66="",D66="",D66="수입",계산!$B$20=""),"",ROUND(C66*계산!$B$20,0))</f>
        <v/>
      </c>
    </row>
    <row r="67">
      <c r="A67" s="3" t="n">
        <v>46175</v>
      </c>
      <c r="B67" t="inlineStr">
        <is>
          <t>월세·관리비</t>
        </is>
      </c>
      <c r="C67" s="4" t="n">
        <v>700000</v>
      </c>
      <c r="D67" t="inlineStr">
        <is>
          <t>주거·수도·광열</t>
        </is>
      </c>
      <c r="E67" s="5">
        <f>IF(OR(C67="",D67="",D67="수입",계산!$B$20=""),"",ROUND(C67*계산!$B$20,0))</f>
        <v/>
      </c>
    </row>
    <row r="68">
      <c r="A68" s="3" t="n">
        <v>46176</v>
      </c>
      <c r="B68" t="inlineStr">
        <is>
          <t>장보기</t>
        </is>
      </c>
      <c r="C68" s="4" t="n">
        <v>400000</v>
      </c>
      <c r="D68" t="inlineStr">
        <is>
          <t>식료품·비주류음료</t>
        </is>
      </c>
      <c r="E68" s="5">
        <f>IF(OR(C68="",D68="",D68="수입",계산!$B$20=""),"",ROUND(C68*계산!$B$20,0))</f>
        <v/>
      </c>
    </row>
    <row r="69">
      <c r="A69" s="3" t="n">
        <v>46177</v>
      </c>
      <c r="B69" t="inlineStr">
        <is>
          <t>외식·배달</t>
        </is>
      </c>
      <c r="C69" s="4" t="n">
        <v>600000</v>
      </c>
      <c r="D69" t="inlineStr">
        <is>
          <t>음식·숙박</t>
        </is>
      </c>
      <c r="E69" s="5">
        <f>IF(OR(C69="",D69="",D69="수입",계산!$B$20=""),"",ROUND(C69*계산!$B$20,0))</f>
        <v/>
      </c>
    </row>
    <row r="70">
      <c r="A70" s="3" t="n">
        <v>46178</v>
      </c>
      <c r="B70" t="inlineStr">
        <is>
          <t>커피</t>
        </is>
      </c>
      <c r="C70" s="4" t="n">
        <v>100000</v>
      </c>
      <c r="D70" t="inlineStr">
        <is>
          <t>음식·숙박</t>
        </is>
      </c>
      <c r="E70" s="5">
        <f>IF(OR(C70="",D70="",D70="수입",계산!$B$20=""),"",ROUND(C70*계산!$B$20,0))</f>
        <v/>
      </c>
    </row>
    <row r="71">
      <c r="A71" s="3" t="n">
        <v>46179</v>
      </c>
      <c r="B71" t="inlineStr">
        <is>
          <t>교통카드</t>
        </is>
      </c>
      <c r="C71" s="4" t="n">
        <v>120000</v>
      </c>
      <c r="D71" t="inlineStr">
        <is>
          <t>교통</t>
        </is>
      </c>
      <c r="E71" s="5">
        <f>IF(OR(C71="",D71="",D71="수입",계산!$B$20=""),"",ROUND(C71*계산!$B$20,0))</f>
        <v/>
      </c>
    </row>
    <row r="72">
      <c r="A72" s="3" t="n">
        <v>46180</v>
      </c>
      <c r="B72" t="inlineStr">
        <is>
          <t>휴대폰</t>
        </is>
      </c>
      <c r="C72" s="4" t="n">
        <v>80000</v>
      </c>
      <c r="D72" t="inlineStr">
        <is>
          <t>통신</t>
        </is>
      </c>
      <c r="E72" s="5">
        <f>IF(OR(C72="",D72="",D72="수입",계산!$B$20=""),"",ROUND(C72*계산!$B$20,0))</f>
        <v/>
      </c>
    </row>
    <row r="73">
      <c r="A73" s="3" t="n">
        <v>46181</v>
      </c>
      <c r="B73" t="inlineStr">
        <is>
          <t>OTT·취미</t>
        </is>
      </c>
      <c r="C73" s="4" t="n">
        <v>150000</v>
      </c>
      <c r="D73" t="inlineStr">
        <is>
          <t>오락·문화</t>
        </is>
      </c>
      <c r="E73" s="5">
        <f>IF(OR(C73="",D73="",D73="수입",계산!$B$20=""),"",ROUND(C73*계산!$B$20,0))</f>
        <v/>
      </c>
    </row>
    <row r="74">
      <c r="A74" s="3" t="n">
        <v>46182</v>
      </c>
      <c r="B74" t="inlineStr">
        <is>
          <t>기타</t>
        </is>
      </c>
      <c r="C74" s="4" t="n">
        <v>150000</v>
      </c>
      <c r="D74" t="inlineStr">
        <is>
          <t>기타상품·서비스</t>
        </is>
      </c>
      <c r="E74" s="5">
        <f>IF(OR(C74="",D74="",D74="수입",계산!$B$20=""),"",ROUND(C74*계산!$B$20,0))</f>
        <v/>
      </c>
    </row>
    <row r="75">
      <c r="A75" s="3" t="n">
        <v>46204</v>
      </c>
      <c r="B75" t="inlineStr">
        <is>
          <t>급여</t>
        </is>
      </c>
      <c r="C75" s="4" t="n">
        <v>3500000</v>
      </c>
      <c r="D75" t="inlineStr">
        <is>
          <t>수입</t>
        </is>
      </c>
      <c r="E75" s="5">
        <f>IF(OR(C75="",D75="",D75="수입",계산!$B$20=""),"",ROUND(C75*계산!$B$20,0))</f>
        <v/>
      </c>
    </row>
    <row r="76">
      <c r="A76" s="3" t="n">
        <v>46205</v>
      </c>
      <c r="B76" t="inlineStr">
        <is>
          <t>월세·관리비</t>
        </is>
      </c>
      <c r="C76" s="4" t="n">
        <v>700000</v>
      </c>
      <c r="D76" t="inlineStr">
        <is>
          <t>주거·수도·광열</t>
        </is>
      </c>
      <c r="E76" s="5">
        <f>IF(OR(C76="",D76="",D76="수입",계산!$B$20=""),"",ROUND(C76*계산!$B$20,0))</f>
        <v/>
      </c>
    </row>
    <row r="77">
      <c r="A77" s="3" t="n">
        <v>46206</v>
      </c>
      <c r="B77" t="inlineStr">
        <is>
          <t>장보기</t>
        </is>
      </c>
      <c r="C77" s="4" t="n">
        <v>400000</v>
      </c>
      <c r="D77" t="inlineStr">
        <is>
          <t>식료품·비주류음료</t>
        </is>
      </c>
      <c r="E77" s="5">
        <f>IF(OR(C77="",D77="",D77="수입",계산!$B$20=""),"",ROUND(C77*계산!$B$20,0))</f>
        <v/>
      </c>
    </row>
    <row r="78">
      <c r="A78" s="3" t="n">
        <v>46207</v>
      </c>
      <c r="B78" t="inlineStr">
        <is>
          <t>외식·배달</t>
        </is>
      </c>
      <c r="C78" s="4" t="n">
        <v>350000</v>
      </c>
      <c r="D78" t="inlineStr">
        <is>
          <t>음식·숙박</t>
        </is>
      </c>
      <c r="E78" s="5">
        <f>IF(OR(C78="",D78="",D78="수입",계산!$B$20=""),"",ROUND(C78*계산!$B$20,0))</f>
        <v/>
      </c>
    </row>
    <row r="79">
      <c r="A79" s="3" t="n">
        <v>46208</v>
      </c>
      <c r="B79" t="inlineStr">
        <is>
          <t>커피</t>
        </is>
      </c>
      <c r="C79" s="4" t="n">
        <v>100000</v>
      </c>
      <c r="D79" t="inlineStr">
        <is>
          <t>음식·숙박</t>
        </is>
      </c>
      <c r="E79" s="5">
        <f>IF(OR(C79="",D79="",D79="수입",계산!$B$20=""),"",ROUND(C79*계산!$B$20,0))</f>
        <v/>
      </c>
    </row>
    <row r="80">
      <c r="A80" s="3" t="n">
        <v>46209</v>
      </c>
      <c r="B80" t="inlineStr">
        <is>
          <t>교통카드</t>
        </is>
      </c>
      <c r="C80" s="4" t="n">
        <v>120000</v>
      </c>
      <c r="D80" t="inlineStr">
        <is>
          <t>교통</t>
        </is>
      </c>
      <c r="E80" s="5">
        <f>IF(OR(C80="",D80="",D80="수입",계산!$B$20=""),"",ROUND(C80*계산!$B$20,0))</f>
        <v/>
      </c>
    </row>
    <row r="81">
      <c r="A81" s="3" t="n">
        <v>46210</v>
      </c>
      <c r="B81" t="inlineStr">
        <is>
          <t>휴대폰</t>
        </is>
      </c>
      <c r="C81" s="4" t="n">
        <v>80000</v>
      </c>
      <c r="D81" t="inlineStr">
        <is>
          <t>통신</t>
        </is>
      </c>
      <c r="E81" s="5">
        <f>IF(OR(C81="",D81="",D81="수입",계산!$B$20=""),"",ROUND(C81*계산!$B$20,0))</f>
        <v/>
      </c>
    </row>
    <row r="82">
      <c r="A82" s="3" t="n">
        <v>46211</v>
      </c>
      <c r="B82" t="inlineStr">
        <is>
          <t>OTT·취미</t>
        </is>
      </c>
      <c r="C82" s="4" t="n">
        <v>150000</v>
      </c>
      <c r="D82" t="inlineStr">
        <is>
          <t>오락·문화</t>
        </is>
      </c>
      <c r="E82" s="5">
        <f>IF(OR(C82="",D82="",D82="수입",계산!$B$20=""),"",ROUND(C82*계산!$B$20,0))</f>
        <v/>
      </c>
    </row>
    <row r="83">
      <c r="A83" s="3" t="n">
        <v>46212</v>
      </c>
      <c r="B83" t="inlineStr">
        <is>
          <t>기타</t>
        </is>
      </c>
      <c r="C83" s="4" t="n">
        <v>150000</v>
      </c>
      <c r="D83" t="inlineStr">
        <is>
          <t>기타상품·서비스</t>
        </is>
      </c>
      <c r="E83" s="5">
        <f>IF(OR(C83="",D83="",D83="수입",계산!$B$20=""),"",ROUND(C83*계산!$B$20,0))</f>
        <v/>
      </c>
    </row>
    <row r="84">
      <c r="A84" s="3" t="n">
        <v>46235</v>
      </c>
      <c r="B84" t="inlineStr">
        <is>
          <t>급여</t>
        </is>
      </c>
      <c r="C84" s="4" t="n">
        <v>3500000</v>
      </c>
      <c r="D84" t="inlineStr">
        <is>
          <t>수입</t>
        </is>
      </c>
      <c r="E84" s="5">
        <f>IF(OR(C84="",D84="",D84="수입",계산!$B$20=""),"",ROUND(C84*계산!$B$20,0))</f>
        <v/>
      </c>
    </row>
    <row r="85">
      <c r="A85" s="3" t="n">
        <v>46236</v>
      </c>
      <c r="B85" t="inlineStr">
        <is>
          <t>월세·관리비</t>
        </is>
      </c>
      <c r="C85" s="4" t="n">
        <v>700000</v>
      </c>
      <c r="D85" t="inlineStr">
        <is>
          <t>주거·수도·광열</t>
        </is>
      </c>
      <c r="E85" s="5">
        <f>IF(OR(C85="",D85="",D85="수입",계산!$B$20=""),"",ROUND(C85*계산!$B$20,0))</f>
        <v/>
      </c>
    </row>
    <row r="86">
      <c r="A86" s="3" t="n">
        <v>46237</v>
      </c>
      <c r="B86" t="inlineStr">
        <is>
          <t>장보기</t>
        </is>
      </c>
      <c r="C86" s="4" t="n">
        <v>400000</v>
      </c>
      <c r="D86" t="inlineStr">
        <is>
          <t>식료품·비주류음료</t>
        </is>
      </c>
      <c r="E86" s="5">
        <f>IF(OR(C86="",D86="",D86="수입",계산!$B$20=""),"",ROUND(C86*계산!$B$20,0))</f>
        <v/>
      </c>
    </row>
    <row r="87">
      <c r="A87" s="3" t="n">
        <v>46238</v>
      </c>
      <c r="B87" t="inlineStr">
        <is>
          <t>외식·배달</t>
        </is>
      </c>
      <c r="C87" s="4" t="n">
        <v>500000</v>
      </c>
      <c r="D87" t="inlineStr">
        <is>
          <t>음식·숙박</t>
        </is>
      </c>
      <c r="E87" s="5">
        <f>IF(OR(C87="",D87="",D87="수입",계산!$B$20=""),"",ROUND(C87*계산!$B$20,0))</f>
        <v/>
      </c>
    </row>
    <row r="88">
      <c r="A88" s="3" t="n">
        <v>46239</v>
      </c>
      <c r="B88" t="inlineStr">
        <is>
          <t>커피</t>
        </is>
      </c>
      <c r="C88" s="4" t="n">
        <v>100000</v>
      </c>
      <c r="D88" t="inlineStr">
        <is>
          <t>음식·숙박</t>
        </is>
      </c>
      <c r="E88" s="5">
        <f>IF(OR(C88="",D88="",D88="수입",계산!$B$20=""),"",ROUND(C88*계산!$B$20,0))</f>
        <v/>
      </c>
    </row>
    <row r="89">
      <c r="A89" s="3" t="n">
        <v>46240</v>
      </c>
      <c r="B89" t="inlineStr">
        <is>
          <t>교통카드</t>
        </is>
      </c>
      <c r="C89" s="4" t="n">
        <v>120000</v>
      </c>
      <c r="D89" t="inlineStr">
        <is>
          <t>교통</t>
        </is>
      </c>
      <c r="E89" s="5">
        <f>IF(OR(C89="",D89="",D89="수입",계산!$B$20=""),"",ROUND(C89*계산!$B$20,0))</f>
        <v/>
      </c>
    </row>
    <row r="90">
      <c r="A90" s="3" t="n">
        <v>46241</v>
      </c>
      <c r="B90" t="inlineStr">
        <is>
          <t>휴대폰</t>
        </is>
      </c>
      <c r="C90" s="4" t="n">
        <v>80000</v>
      </c>
      <c r="D90" t="inlineStr">
        <is>
          <t>통신</t>
        </is>
      </c>
      <c r="E90" s="5">
        <f>IF(OR(C90="",D90="",D90="수입",계산!$B$20=""),"",ROUND(C90*계산!$B$20,0))</f>
        <v/>
      </c>
    </row>
    <row r="91">
      <c r="A91" s="3" t="n">
        <v>46242</v>
      </c>
      <c r="B91" t="inlineStr">
        <is>
          <t>OTT·취미</t>
        </is>
      </c>
      <c r="C91" s="4" t="n">
        <v>150000</v>
      </c>
      <c r="D91" t="inlineStr">
        <is>
          <t>오락·문화</t>
        </is>
      </c>
      <c r="E91" s="5">
        <f>IF(OR(C91="",D91="",D91="수입",계산!$B$20=""),"",ROUND(C91*계산!$B$20,0))</f>
        <v/>
      </c>
    </row>
    <row r="92">
      <c r="A92" s="3" t="n">
        <v>46243</v>
      </c>
      <c r="B92" t="inlineStr">
        <is>
          <t>기타</t>
        </is>
      </c>
      <c r="C92" s="4" t="n">
        <v>150000</v>
      </c>
      <c r="D92" t="inlineStr">
        <is>
          <t>기타상품·서비스</t>
        </is>
      </c>
      <c r="E92" s="5">
        <f>IF(OR(C92="",D92="",D92="수입",계산!$B$20=""),"",ROUND(C92*계산!$B$20,0))</f>
        <v/>
      </c>
    </row>
    <row r="93">
      <c r="A93" s="3" t="n">
        <v>46266</v>
      </c>
      <c r="B93" t="inlineStr">
        <is>
          <t>급여</t>
        </is>
      </c>
      <c r="C93" s="4" t="n">
        <v>3500000</v>
      </c>
      <c r="D93" t="inlineStr">
        <is>
          <t>수입</t>
        </is>
      </c>
      <c r="E93" s="5">
        <f>IF(OR(C93="",D93="",D93="수입",계산!$B$20=""),"",ROUND(C93*계산!$B$20,0))</f>
        <v/>
      </c>
    </row>
    <row r="94">
      <c r="A94" s="3" t="n">
        <v>46267</v>
      </c>
      <c r="B94" t="inlineStr">
        <is>
          <t>월세·관리비</t>
        </is>
      </c>
      <c r="C94" s="4" t="n">
        <v>700000</v>
      </c>
      <c r="D94" t="inlineStr">
        <is>
          <t>주거·수도·광열</t>
        </is>
      </c>
      <c r="E94" s="5">
        <f>IF(OR(C94="",D94="",D94="수입",계산!$B$20=""),"",ROUND(C94*계산!$B$20,0))</f>
        <v/>
      </c>
    </row>
    <row r="95">
      <c r="A95" s="3" t="n">
        <v>46268</v>
      </c>
      <c r="B95" t="inlineStr">
        <is>
          <t>장보기</t>
        </is>
      </c>
      <c r="C95" s="4" t="n">
        <v>400000</v>
      </c>
      <c r="D95" t="inlineStr">
        <is>
          <t>식료품·비주류음료</t>
        </is>
      </c>
      <c r="E95" s="5">
        <f>IF(OR(C95="",D95="",D95="수입",계산!$B$20=""),"",ROUND(C95*계산!$B$20,0))</f>
        <v/>
      </c>
    </row>
    <row r="96">
      <c r="A96" s="3" t="n">
        <v>46269</v>
      </c>
      <c r="B96" t="inlineStr">
        <is>
          <t>외식·배달</t>
        </is>
      </c>
      <c r="C96" s="4" t="n">
        <v>400000</v>
      </c>
      <c r="D96" t="inlineStr">
        <is>
          <t>음식·숙박</t>
        </is>
      </c>
      <c r="E96" s="5">
        <f>IF(OR(C96="",D96="",D96="수입",계산!$B$20=""),"",ROUND(C96*계산!$B$20,0))</f>
        <v/>
      </c>
    </row>
    <row r="97">
      <c r="A97" s="3" t="n">
        <v>46270</v>
      </c>
      <c r="B97" t="inlineStr">
        <is>
          <t>커피</t>
        </is>
      </c>
      <c r="C97" s="4" t="n">
        <v>100000</v>
      </c>
      <c r="D97" t="inlineStr">
        <is>
          <t>음식·숙박</t>
        </is>
      </c>
      <c r="E97" s="5">
        <f>IF(OR(C97="",D97="",D97="수입",계산!$B$20=""),"",ROUND(C97*계산!$B$20,0))</f>
        <v/>
      </c>
    </row>
    <row r="98">
      <c r="A98" s="3" t="n">
        <v>46271</v>
      </c>
      <c r="B98" t="inlineStr">
        <is>
          <t>교통카드</t>
        </is>
      </c>
      <c r="C98" s="4" t="n">
        <v>120000</v>
      </c>
      <c r="D98" t="inlineStr">
        <is>
          <t>교통</t>
        </is>
      </c>
      <c r="E98" s="5">
        <f>IF(OR(C98="",D98="",D98="수입",계산!$B$20=""),"",ROUND(C98*계산!$B$20,0))</f>
        <v/>
      </c>
    </row>
    <row r="99">
      <c r="A99" s="3" t="n">
        <v>46272</v>
      </c>
      <c r="B99" t="inlineStr">
        <is>
          <t>휴대폰</t>
        </is>
      </c>
      <c r="C99" s="4" t="n">
        <v>80000</v>
      </c>
      <c r="D99" t="inlineStr">
        <is>
          <t>통신</t>
        </is>
      </c>
      <c r="E99" s="5">
        <f>IF(OR(C99="",D99="",D99="수입",계산!$B$20=""),"",ROUND(C99*계산!$B$20,0))</f>
        <v/>
      </c>
    </row>
    <row r="100">
      <c r="A100" s="3" t="n">
        <v>46273</v>
      </c>
      <c r="B100" t="inlineStr">
        <is>
          <t>OTT·취미</t>
        </is>
      </c>
      <c r="C100" s="4" t="n">
        <v>150000</v>
      </c>
      <c r="D100" t="inlineStr">
        <is>
          <t>오락·문화</t>
        </is>
      </c>
      <c r="E100" s="5">
        <f>IF(OR(C100="",D100="",D100="수입",계산!$B$20=""),"",ROUND(C100*계산!$B$20,0))</f>
        <v/>
      </c>
    </row>
    <row r="101">
      <c r="A101" s="3" t="n">
        <v>46274</v>
      </c>
      <c r="B101" t="inlineStr">
        <is>
          <t>기타</t>
        </is>
      </c>
      <c r="C101" s="4" t="n">
        <v>200000</v>
      </c>
      <c r="D101" t="inlineStr">
        <is>
          <t>기타상품·서비스</t>
        </is>
      </c>
      <c r="E101" s="5">
        <f>IF(OR(C101="",D101="",D101="수입",계산!$B$20=""),"",ROUND(C101*계산!$B$20,0))</f>
        <v/>
      </c>
    </row>
    <row r="102">
      <c r="A102" s="3" t="n">
        <v>46296</v>
      </c>
      <c r="B102" t="inlineStr">
        <is>
          <t>급여</t>
        </is>
      </c>
      <c r="C102" s="4" t="n">
        <v>3500000</v>
      </c>
      <c r="D102" t="inlineStr">
        <is>
          <t>수입</t>
        </is>
      </c>
      <c r="E102" s="5">
        <f>IF(OR(C102="",D102="",D102="수입",계산!$B$20=""),"",ROUND(C102*계산!$B$20,0))</f>
        <v/>
      </c>
    </row>
    <row r="103">
      <c r="A103" s="3" t="n">
        <v>46297</v>
      </c>
      <c r="B103" t="inlineStr">
        <is>
          <t>월세·관리비</t>
        </is>
      </c>
      <c r="C103" s="4" t="n">
        <v>700000</v>
      </c>
      <c r="D103" t="inlineStr">
        <is>
          <t>주거·수도·광열</t>
        </is>
      </c>
      <c r="E103" s="5">
        <f>IF(OR(C103="",D103="",D103="수입",계산!$B$20=""),"",ROUND(C103*계산!$B$20,0))</f>
        <v/>
      </c>
    </row>
    <row r="104">
      <c r="A104" s="3" t="n">
        <v>46298</v>
      </c>
      <c r="B104" t="inlineStr">
        <is>
          <t>장보기</t>
        </is>
      </c>
      <c r="C104" s="4" t="n">
        <v>400000</v>
      </c>
      <c r="D104" t="inlineStr">
        <is>
          <t>식료품·비주류음료</t>
        </is>
      </c>
      <c r="E104" s="5">
        <f>IF(OR(C104="",D104="",D104="수입",계산!$B$20=""),"",ROUND(C104*계산!$B$20,0))</f>
        <v/>
      </c>
    </row>
    <row r="105">
      <c r="A105" s="3" t="n">
        <v>46299</v>
      </c>
      <c r="B105" t="inlineStr">
        <is>
          <t>외식·배달</t>
        </is>
      </c>
      <c r="C105" s="4" t="n">
        <v>300000</v>
      </c>
      <c r="D105" t="inlineStr">
        <is>
          <t>음식·숙박</t>
        </is>
      </c>
      <c r="E105" s="5">
        <f>IF(OR(C105="",D105="",D105="수입",계산!$B$20=""),"",ROUND(C105*계산!$B$20,0))</f>
        <v/>
      </c>
    </row>
    <row r="106">
      <c r="A106" s="3" t="n">
        <v>46300</v>
      </c>
      <c r="B106" t="inlineStr">
        <is>
          <t>커피</t>
        </is>
      </c>
      <c r="C106" s="4" t="n">
        <v>100000</v>
      </c>
      <c r="D106" t="inlineStr">
        <is>
          <t>음식·숙박</t>
        </is>
      </c>
      <c r="E106" s="5">
        <f>IF(OR(C106="",D106="",D106="수입",계산!$B$20=""),"",ROUND(C106*계산!$B$20,0))</f>
        <v/>
      </c>
    </row>
    <row r="107">
      <c r="A107" s="3" t="n">
        <v>46301</v>
      </c>
      <c r="B107" t="inlineStr">
        <is>
          <t>교통카드</t>
        </is>
      </c>
      <c r="C107" s="4" t="n">
        <v>120000</v>
      </c>
      <c r="D107" t="inlineStr">
        <is>
          <t>교통</t>
        </is>
      </c>
      <c r="E107" s="5">
        <f>IF(OR(C107="",D107="",D107="수입",계산!$B$20=""),"",ROUND(C107*계산!$B$20,0))</f>
        <v/>
      </c>
    </row>
    <row r="108">
      <c r="A108" s="3" t="n">
        <v>46302</v>
      </c>
      <c r="B108" t="inlineStr">
        <is>
          <t>휴대폰</t>
        </is>
      </c>
      <c r="C108" s="4" t="n">
        <v>80000</v>
      </c>
      <c r="D108" t="inlineStr">
        <is>
          <t>통신</t>
        </is>
      </c>
      <c r="E108" s="5">
        <f>IF(OR(C108="",D108="",D108="수입",계산!$B$20=""),"",ROUND(C108*계산!$B$20,0))</f>
        <v/>
      </c>
    </row>
    <row r="109">
      <c r="A109" s="3" t="n">
        <v>46303</v>
      </c>
      <c r="B109" t="inlineStr">
        <is>
          <t>OTT·취미</t>
        </is>
      </c>
      <c r="C109" s="4" t="n">
        <v>150000</v>
      </c>
      <c r="D109" t="inlineStr">
        <is>
          <t>오락·문화</t>
        </is>
      </c>
      <c r="E109" s="5">
        <f>IF(OR(C109="",D109="",D109="수입",계산!$B$20=""),"",ROUND(C109*계산!$B$20,0))</f>
        <v/>
      </c>
    </row>
    <row r="110">
      <c r="A110" s="3" t="n">
        <v>46304</v>
      </c>
      <c r="B110" t="inlineStr">
        <is>
          <t>기타</t>
        </is>
      </c>
      <c r="C110" s="4" t="n">
        <v>150000</v>
      </c>
      <c r="D110" t="inlineStr">
        <is>
          <t>기타상품·서비스</t>
        </is>
      </c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2026-10-05T07:00:18Z</dcterms:created>
  <dcterms:modified xmlns:dcterms="http://purl.org/dc/terms/" xmlns:xsi="http://www.w3.org/2001/XMLSchema-instance" xsi:type="dcterms:W3CDTF">2026-10-05T07:00:18Z</dcterms:modified>
</cp:coreProperties>
</file>
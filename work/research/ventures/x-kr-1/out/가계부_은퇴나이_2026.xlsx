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나이'!$A$1:$G$19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0&quot;일&quot;;&quot;−&quot;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월세·관리비</t>
        </is>
      </c>
      <c r="C4" s="4" t="n">
        <v>700000</v>
      </c>
      <c r="D4" t="inlineStr">
        <is>
          <t>주거·수도·광열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46268</v>
      </c>
      <c r="B5" t="inlineStr">
        <is>
          <t>장보기</t>
        </is>
      </c>
      <c r="C5" s="4" t="n">
        <v>400000</v>
      </c>
      <c r="D5" t="inlineStr">
        <is>
          <t>식료품·비주류음료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46269</v>
      </c>
      <c r="B6" t="inlineStr">
        <is>
          <t>외식·배달</t>
        </is>
      </c>
      <c r="C6" s="4" t="n">
        <v>400000</v>
      </c>
      <c r="D6" t="inlineStr">
        <is>
          <t>음식·숙박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>
        <v>46270</v>
      </c>
      <c r="B7" t="inlineStr">
        <is>
          <t>커피</t>
        </is>
      </c>
      <c r="C7" s="4" t="n">
        <v>100000</v>
      </c>
      <c r="D7" t="inlineStr">
        <is>
          <t>음식·숙박</t>
        </is>
      </c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>
        <v>46271</v>
      </c>
      <c r="B8" t="inlineStr">
        <is>
          <t>교통카드</t>
        </is>
      </c>
      <c r="C8" s="4" t="n">
        <v>120000</v>
      </c>
      <c r="D8" t="inlineStr">
        <is>
          <t>교통</t>
        </is>
      </c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>
        <v>46272</v>
      </c>
      <c r="B9" t="inlineStr">
        <is>
          <t>휴대폰</t>
        </is>
      </c>
      <c r="C9" s="4" t="n">
        <v>80000</v>
      </c>
      <c r="D9" t="inlineStr">
        <is>
          <t>통신</t>
        </is>
      </c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>
        <v>46273</v>
      </c>
      <c r="B10" t="inlineStr">
        <is>
          <t>OTT·취미</t>
        </is>
      </c>
      <c r="C10" s="4" t="n">
        <v>150000</v>
      </c>
      <c r="D10" t="inlineStr">
        <is>
          <t>오락·문화</t>
        </is>
      </c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>
        <v>46274</v>
      </c>
      <c r="B11" t="inlineStr">
        <is>
          <t>기타</t>
        </is>
      </c>
      <c r="C11" s="4" t="n">
        <v>200000</v>
      </c>
      <c r="D11" t="inlineStr">
        <is>
          <t>기타상품·서비스</t>
        </is>
      </c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>
        <v>46296</v>
      </c>
      <c r="B12" t="inlineStr">
        <is>
          <t>급여</t>
        </is>
      </c>
      <c r="C12" s="4" t="n">
        <v>3500000</v>
      </c>
      <c r="D12" t="inlineStr">
        <is>
          <t>수입</t>
        </is>
      </c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>
        <v>46297</v>
      </c>
      <c r="B13" t="inlineStr">
        <is>
          <t>월세·관리비</t>
        </is>
      </c>
      <c r="C13" s="4" t="n">
        <v>700000</v>
      </c>
      <c r="D13" t="inlineStr">
        <is>
          <t>주거·수도·광열</t>
        </is>
      </c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>
        <v>46298</v>
      </c>
      <c r="B14" t="inlineStr">
        <is>
          <t>장보기</t>
        </is>
      </c>
      <c r="C14" s="4" t="n">
        <v>400000</v>
      </c>
      <c r="D14" t="inlineStr">
        <is>
          <t>식료품·비주류음료</t>
        </is>
      </c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>
        <v>46299</v>
      </c>
      <c r="B15" t="inlineStr">
        <is>
          <t>외식·배달</t>
        </is>
      </c>
      <c r="C15" s="4" t="n">
        <v>300000</v>
      </c>
      <c r="D15" t="inlineStr">
        <is>
          <t>음식·숙박</t>
        </is>
      </c>
      <c r="E15" s="5">
        <f>IF(OR(C15="",D15="",D15="수입",계산!$B$20=""),"",ROUND(C15*계산!$B$20,0))</f>
        <v/>
      </c>
    </row>
    <row r="16">
      <c r="A16" s="3" t="n">
        <v>46300</v>
      </c>
      <c r="B16" t="inlineStr">
        <is>
          <t>커피</t>
        </is>
      </c>
      <c r="C16" s="4" t="n">
        <v>100000</v>
      </c>
      <c r="D16" t="inlineStr">
        <is>
          <t>음식·숙박</t>
        </is>
      </c>
      <c r="E16" s="5">
        <f>IF(OR(C16="",D16="",D16="수입",계산!$B$20=""),"",ROUND(C16*계산!$B$20,0))</f>
        <v/>
      </c>
    </row>
    <row r="17">
      <c r="A17" s="3" t="n">
        <v>46301</v>
      </c>
      <c r="B17" t="inlineStr">
        <is>
          <t>교통카드</t>
        </is>
      </c>
      <c r="C17" s="4" t="n">
        <v>120000</v>
      </c>
      <c r="D17" t="inlineStr">
        <is>
          <t>교통</t>
        </is>
      </c>
      <c r="E17" s="5">
        <f>IF(OR(C17="",D17="",D17="수입",계산!$B$20=""),"",ROUND(C17*계산!$B$20,0))</f>
        <v/>
      </c>
    </row>
    <row r="18">
      <c r="A18" s="3" t="n">
        <v>46302</v>
      </c>
      <c r="B18" t="inlineStr">
        <is>
          <t>휴대폰</t>
        </is>
      </c>
      <c r="C18" s="4" t="n">
        <v>80000</v>
      </c>
      <c r="D18" t="inlineStr">
        <is>
          <t>통신</t>
        </is>
      </c>
      <c r="E18" s="5">
        <f>IF(OR(C18="",D18="",D18="수입",계산!$B$20=""),"",ROUND(C18*계산!$B$20,0))</f>
        <v/>
      </c>
    </row>
    <row r="19">
      <c r="A19" s="3" t="n">
        <v>46303</v>
      </c>
      <c r="B19" t="inlineStr">
        <is>
          <t>OTT·취미</t>
        </is>
      </c>
      <c r="C19" s="4" t="n">
        <v>150000</v>
      </c>
      <c r="D19" t="inlineStr">
        <is>
          <t>오락·문화</t>
        </is>
      </c>
      <c r="E19" s="5">
        <f>IF(OR(C19="",D19="",D19="수입",계산!$B$20=""),"",ROUND(C19*계산!$B$20,0))</f>
        <v/>
      </c>
    </row>
    <row r="20">
      <c r="A20" s="3" t="n">
        <v>46304</v>
      </c>
      <c r="B20" t="inlineStr">
        <is>
          <t>기타</t>
        </is>
      </c>
      <c r="C20" s="4" t="n">
        <v>150000</v>
      </c>
      <c r="D20" t="inlineStr">
        <is>
          <t>기타상품·서비스</t>
        </is>
      </c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지금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기대수익률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할 때 은퇴 나이가 며칠 늦어지는지입니다.</t>
        </is>
      </c>
    </row>
    <row r="6">
      <c r="B6" s="23" t="inlineStr">
        <is>
          <t>4. 「은퇴 나이」 시트에 나이·현재 자산·기대수익률·물가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지출에 물가를 더해 매년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식은 firemap.kr 은퇴 계산기와 같습니다. 계산기는 해 단위로 보여 주고, 이 파일의 「개월」은 앞뒤 두 해 결과 사이를 나눠 어림한 값입니다.</t>
        </is>
      </c>
    </row>
    <row r="13">
      <c r="B13" s="23" t="inlineStr">
        <is>
          <t>· 「은퇴 +N일」은 월 지출이 10만원 늘 때 바뀌는 날 수에 비례해 어림한 값입니다.</t>
        </is>
      </c>
    </row>
    <row r="14">
      <c r="B14" s="23" t="inlineStr"/>
    </row>
    <row r="15">
      <c r="B15" s="22" t="inlineStr">
        <is>
          <t>알림</t>
        </is>
      </c>
    </row>
    <row r="16">
      <c r="B16" s="23" t="inlineStr">
        <is>
          <t>· 이 파일은 계산 도구이며 투자 조언이 아닙니다. 특정 종목·금융상품을 추천하지 않고, 수익을 보장하지 않습니다.</t>
        </is>
      </c>
    </row>
    <row r="17">
      <c r="B17" s="23" t="inlineStr">
        <is>
          <t>· 지출 분류: 통계청 가계동향조사 소비지출 12대 비목.</t>
        </is>
      </c>
    </row>
    <row r="18">
      <c r="B18" s="23" t="inlineStr">
        <is>
          <t>· 기준일 2026-10-01</t>
        </is>
      </c>
    </row>
    <row r="19">
      <c r="B19" s="24" t="inlineStr">
        <is>
          <t>firemap.kr</t>
        </is>
      </c>
    </row>
  </sheetData>
  <hyperlinks>
    <hyperlink xmlns:r="http://schemas.openxmlformats.org/officeDocument/2006/relationships" ref="B19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C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</row>
    <row r="15">
      <c r="CB15" t="n">
        <v>14</v>
      </c>
      <c r="CC15">
        <f>IF($B$1+CB15&gt;90,0,12*$B$6*(1+$B$4)^CB15/(1+$B$3)^(CB15-1))</f>
        <v/>
      </c>
    </row>
    <row r="16">
      <c r="CB16" t="n">
        <v>15</v>
      </c>
      <c r="CC16">
        <f>IF($B$1+CB16&gt;90,0,12*$B$6*(1+$B$4)^CB16/(1+$B$3)^(CB16-1))</f>
        <v/>
      </c>
    </row>
    <row r="17">
      <c r="CB17" t="n">
        <v>16</v>
      </c>
      <c r="CC17">
        <f>IF($B$1+CB17&gt;90,0,12*$B$6*(1+$B$4)^CB17/(1+$B$3)^(CB17-1))</f>
        <v/>
      </c>
    </row>
    <row r="18">
      <c r="CB18" t="n">
        <v>17</v>
      </c>
      <c r="CC18">
        <f>IF($B$1+CB18&gt;90,0,12*$B$6*(1+$B$4)^CB18/(1+$B$3)^(CB18-1))</f>
        <v/>
      </c>
    </row>
    <row r="19">
      <c r="CB19" t="n">
        <v>18</v>
      </c>
      <c r="CC19">
        <f>IF($B$1+CB19&gt;90,0,12*$B$6*(1+$B$4)^CB19/(1+$B$3)^(CB19-1))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</row>
    <row r="22">
      <c r="CB22" t="n">
        <v>21</v>
      </c>
      <c r="CC22">
        <f>IF($B$1+CB22&gt;90,0,12*$B$6*(1+$B$4)^CB22/(1+$B$3)^(CB22-1))</f>
        <v/>
      </c>
    </row>
    <row r="23">
      <c r="CB23" t="n">
        <v>22</v>
      </c>
      <c r="CC23">
        <f>IF($B$1+CB23&gt;90,0,12*$B$6*(1+$B$4)^CB23/(1+$B$3)^(CB23-1))</f>
        <v/>
      </c>
    </row>
    <row r="24">
      <c r="CB24" t="n">
        <v>23</v>
      </c>
      <c r="CC24">
        <f>IF($B$1+CB24&gt;90,0,12*$B$6*(1+$B$4)^CB24/(1+$B$3)^(CB24-1))</f>
        <v/>
      </c>
    </row>
    <row r="25">
      <c r="CB25" t="n">
        <v>24</v>
      </c>
      <c r="CC25">
        <f>IF($B$1+CB25&gt;90,0,12*$B$6*(1+$B$4)^CB25/(1+$B$3)^(CB25-1))</f>
        <v/>
      </c>
    </row>
    <row r="26">
      <c r="CB26" t="n">
        <v>25</v>
      </c>
      <c r="CC26">
        <f>IF($B$1+CB26&gt;90,0,12*$B$6*(1+$B$4)^CB26/(1+$B$3)^(CB26-1))</f>
        <v/>
      </c>
    </row>
    <row r="27">
      <c r="CB27" t="n">
        <v>26</v>
      </c>
      <c r="CC27">
        <f>IF($B$1+CB27&gt;90,0,12*$B$6*(1+$B$4)^CB27/(1+$B$3)^(CB27-1))</f>
        <v/>
      </c>
    </row>
    <row r="28">
      <c r="CB28" t="n">
        <v>27</v>
      </c>
      <c r="CC28">
        <f>IF($B$1+CB28&gt;90,0,12*$B$6*(1+$B$4)^CB28/(1+$B$3)^(CB28-1))</f>
        <v/>
      </c>
    </row>
    <row r="29">
      <c r="CB29" t="n">
        <v>28</v>
      </c>
      <c r="CC29">
        <f>IF($B$1+CB29&gt;90,0,12*$B$6*(1+$B$4)^CB29/(1+$B$3)^(CB29-1))</f>
        <v/>
      </c>
    </row>
    <row r="30">
      <c r="A30" t="inlineStr">
        <is>
          <t>큰 숫자</t>
        </is>
      </c>
      <c r="B30">
        <f>IF(B5="","가계부를 넣어 주세요",IF(D37="","70세 넘음",IF(B37=$B$1,"지금",INT(D37/12)&amp;"세 "&amp;MOD(D37,12)&amp;"개월")))</f>
        <v/>
      </c>
      <c r="CB30" t="n">
        <v>29</v>
      </c>
      <c r="CC30">
        <f>IF($B$1+CB30&gt;90,0,12*$B$6*(1+$B$4)^CB30/(1+$B$3)^(CB30-1))</f>
        <v/>
      </c>
    </row>
    <row r="31">
      <c r="A31" t="inlineStr">
        <is>
          <t>지난달 대비</t>
        </is>
      </c>
      <c r="B31">
        <f>IF(OR(B8=0,D37="",D149=""),"",IF(D37=D149,"지난달과 같음","지난달보다 "&amp;IF(D37&lt;D149,"−","+")&amp;ABS(D37-D149)&amp;"개월"))</f>
        <v/>
      </c>
      <c r="CB31" t="n">
        <v>30</v>
      </c>
      <c r="CC31">
        <f>IF($B$1+CB31&gt;90,0,12*$B$6*(1+$B$4)^CB31/(1+$B$3)^(CB31-1))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</row>
    <row r="33">
      <c r="CB33" t="n">
        <v>32</v>
      </c>
      <c r="CC33">
        <f>IF($B$1+CB33&gt;90,0,12*$B$6*(1+$B$4)^CB33/(1+$B$3)^(CB33-1))</f>
        <v/>
      </c>
    </row>
    <row r="34">
      <c r="CB34" t="n">
        <v>33</v>
      </c>
      <c r="CC34">
        <f>IF($B$1+CB34&gt;90,0,12*$B$6*(1+$B$4)^CB34/(1+$B$3)^(CB34-1))</f>
        <v/>
      </c>
    </row>
    <row r="35">
      <c r="CB35" t="n">
        <v>34</v>
      </c>
      <c r="CC35">
        <f>IF($B$1+CB35&gt;90,0,12*$B$6*(1+$B$4)^CB35/(1+$B$3)^(CB35-1))</f>
        <v/>
      </c>
    </row>
    <row r="36">
      <c r="CB36" t="n">
        <v>35</v>
      </c>
      <c r="CC36">
        <f>IF($B$1+CB36&gt;90,0,12*$B$6*(1+$B$4)^CB36/(1+$B$3)^(CB36-1))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</row>
    <row r="38">
      <c r="CB38" t="n">
        <v>37</v>
      </c>
      <c r="CC38">
        <f>IF($B$1+CB38&gt;90,0,12*$B$6*(1+$B$4)^CB38/(1+$B$3)^(CB38-1))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2026-10-01T03:53:11Z</dcterms:created>
  <dcterms:modified xmlns:dcterms="http://purl.org/dc/terms/" xmlns:xsi="http://www.w3.org/2001/XMLSchema-instance" xsi:type="dcterms:W3CDTF">2026-10-01T03:53:11Z</dcterms:modified>
</cp:coreProperties>
</file>
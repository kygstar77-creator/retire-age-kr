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월 가계부" sheetId="1" state="visible" r:id="rId1"/>
    <sheet xmlns:r="http://schemas.openxmlformats.org/officeDocument/2006/relationships" name="은퇴 나이" sheetId="2" state="visible" r:id="rId2"/>
    <sheet xmlns:r="http://schemas.openxmlformats.org/officeDocument/2006/relationships" name="설명" sheetId="3" state="visible" r:id="rId3"/>
    <sheet xmlns:r="http://schemas.openxmlformats.org/officeDocument/2006/relationships" name="계산" sheetId="4" state="hidden" r:id="rId4"/>
  </sheets>
  <definedNames>
    <definedName name="_xlnm.Print_Area" localSheetId="0">'월 가계부'!$A$1:$K$60</definedName>
    <definedName name="_xlnm.Print_Area" localSheetId="1">'은퇴 나이'!$A$1:$H$50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&quot;+&quot;#,##0&quot;일&quot;;&quot;−&quot;#,##0&quot;일&quot;;&quot;0일&quot;"/>
    <numFmt numFmtId="166" formatCode="yyyy-mm"/>
    <numFmt numFmtId="167" formatCode="#,##0;-#,##0;&quot;&quot;"/>
    <numFmt numFmtId="168" formatCode="#,##0&quot;원&quot;"/>
    <numFmt numFmtId="169" formatCode="0.0"/>
  </numFmts>
  <fonts count="13">
    <font>
      <name val="Calibri"/>
      <family val="2"/>
      <color theme="1"/>
      <sz val="11"/>
      <scheme val="minor"/>
    </font>
    <font>
      <name val="맑은 고딕"/>
      <b val="1"/>
      <color rgb="0018191D"/>
      <sz val="11"/>
    </font>
    <font>
      <name val="맑은 고딕"/>
      <color rgb="004E5968"/>
      <sz val="9"/>
    </font>
    <font>
      <name val="맑은 고딕"/>
      <b val="1"/>
      <color rgb="00FF5A00"/>
      <sz val="11"/>
    </font>
    <font>
      <name val="맑은 고딕"/>
      <color rgb="0018191D"/>
      <sz val="10"/>
    </font>
    <font>
      <name val="맑은 고딕"/>
      <color rgb="004E5968"/>
      <sz val="11"/>
    </font>
    <font>
      <name val="맑은 고딕"/>
      <b val="1"/>
      <color rgb="00FF5A00"/>
      <sz val="36"/>
    </font>
    <font>
      <name val="맑은 고딕"/>
      <color rgb="004E5968"/>
      <sz val="10"/>
    </font>
    <font>
      <name val="맑은 고딕"/>
      <b val="1"/>
      <color rgb="0018191D"/>
      <sz val="14"/>
    </font>
    <font>
      <name val="맑은 고딕"/>
      <color rgb="0018191D"/>
      <sz val="11"/>
    </font>
    <font>
      <name val="맑은 고딕"/>
      <color rgb="004E5968"/>
      <sz val="10"/>
      <u val="single"/>
    </font>
    <font>
      <name val="맑은 고딕"/>
      <b val="1"/>
      <color rgb="0018191D"/>
      <sz val="12"/>
    </font>
    <font>
      <name val="맑은 고딕"/>
      <color rgb="004E5968"/>
      <sz val="11"/>
      <u val="single"/>
    </font>
  </fonts>
  <fills count="3">
    <fill>
      <patternFill/>
    </fill>
    <fill>
      <patternFill patternType="gray125"/>
    </fill>
    <fill>
      <patternFill patternType="solid">
        <fgColor rgb="00F6F7F9"/>
      </patternFill>
    </fill>
  </fills>
  <borders count="5">
    <border>
      <left/>
      <right/>
      <top/>
      <bottom/>
      <diagonal/>
    </border>
    <border>
      <bottom style="thin">
        <color rgb="00E5E8EB"/>
      </bottom>
    </border>
    <border>
      <left style="thin">
        <color rgb="00E5E8EB"/>
      </left>
      <top style="thin">
        <color rgb="00E5E8EB"/>
      </top>
      <bottom style="thin">
        <color rgb="00E5E8EB"/>
      </bottom>
    </border>
    <border>
      <top style="thin">
        <color rgb="00E5E8EB"/>
      </top>
      <bottom style="thin">
        <color rgb="00E5E8EB"/>
      </bottom>
    </border>
    <border>
      <right style="thin">
        <color rgb="00E5E8EB"/>
      </right>
      <top style="thin">
        <color rgb="00E5E8EB"/>
      </top>
      <bottom style="thin">
        <color rgb="00E5E8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1" pivotButton="0" quotePrefix="0" xfId="0"/>
    <xf numFmtId="0" fontId="2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3" fontId="4" fillId="0" borderId="0" pivotButton="0" quotePrefix="0" xfId="0"/>
    <xf numFmtId="9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pivotButton="0" quotePrefix="0" xfId="0"/>
    <xf numFmtId="168" fontId="8" fillId="0" borderId="1" applyAlignment="1" pivotButton="0" quotePrefix="0" xfId="0">
      <alignment horizontal="left"/>
    </xf>
    <xf numFmtId="0" fontId="0" fillId="0" borderId="1" pivotButton="0" quotePrefix="0" xfId="0"/>
    <xf numFmtId="0" fontId="9" fillId="0" borderId="0" pivotButton="0" quotePrefix="0" xfId="0"/>
    <xf numFmtId="1" fontId="1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3" fontId="1" fillId="2" borderId="2" pivotButton="0" quotePrefix="0" xfId="0"/>
    <xf numFmtId="169" fontId="1" fillId="2" borderId="2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나이별 자산(백만원) — 은퇴 나이에 일을 그만두면</a:t>
            </a:r>
          </a:p>
        </rich>
      </tx>
      <overlay val="0"/>
    </title>
    <plotArea>
      <scatterChart>
        <ser>
          <idx val="0"/>
          <order val="0"/>
          <spPr>
            <a:ln xmlns:a="http://schemas.openxmlformats.org/drawingml/2006/main" w="28000">
              <a:solidFill>
                <a:srgbClr val="FF5A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'계산'!$CE$2:$CE$72</f>
            </numRef>
          </xVal>
          <yVal>
            <numRef>
              <f>'계산'!$CF$2:$CF$72</f>
            </numRef>
          </yVal>
          <smooth val="0"/>
        </ser>
        <axId val="10"/>
        <axId val="20"/>
      </scatterChart>
      <valAx>
        <axId val="10"/>
        <scaling>
          <orientation val="minMax"/>
          <max val="90"/>
          <min val="20"/>
        </scaling>
        <delete val="0"/>
        <axPos val="l"/>
        <majorTickMark val="none"/>
        <minorTickMark val="none"/>
        <crossAx val="20"/>
        <majorUnit val="10"/>
      </valAx>
      <valAx>
        <axId val="2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#,##0,," sourceLinked="0"/>
        <majorTickMark val="none"/>
        <minorTickMark val="none"/>
        <crossAx val="10"/>
      </valAx>
    </plotArea>
    <plotVisOnly val="0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저축률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4E5968"/>
            </a:solidFill>
            <a:ln xmlns:a="http://schemas.openxmlformats.org/drawingml/2006/main">
              <a:prstDash val="solid"/>
            </a:ln>
          </spPr>
          <cat>
            <numRef>
              <f>'월 가계부'!$G$3:$G$14</f>
            </numRef>
          </cat>
          <val>
            <numRef>
              <f>'월 가계부'!$K$3:$K$14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yy-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5E8EB"/>
              </a:solidFill>
              <a:prstDash val="solid"/>
            </a:ln>
          </spPr>
        </majorGridlines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36</row>
      <rowOff>0</rowOff>
    </from>
    <ext cx="57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iremap.kr/?utm_source=xlsx&amp;utm_medium=sheet&amp;utm_campaign=xkr1" TargetMode="External" Id="rId1"/><Relationship Type="http://schemas.openxmlformats.org/officeDocument/2006/relationships/drawing" Target="/xl/drawings/drawing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iremap.kr/?utm_source=xlsx&amp;utm_medium=guide&amp;utm_campaign=xkr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5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0" customWidth="1" min="4" max="4"/>
    <col width="12" customWidth="1" min="5" max="5"/>
    <col width="3" customWidth="1" min="6" max="6"/>
    <col width="10" customWidth="1" min="7" max="7"/>
    <col width="13" customWidth="1" min="8" max="8"/>
    <col width="13" customWidth="1" min="9" max="9"/>
    <col width="13" customWidth="1" min="10" max="10"/>
    <col width="9" customWidth="1" min="11" max="11"/>
  </cols>
  <sheetData>
    <row r="1">
      <c r="A1" s="1" t="inlineStr">
        <is>
          <t>날짜</t>
        </is>
      </c>
      <c r="B1" s="1" t="inlineStr">
        <is>
          <t>항목</t>
        </is>
      </c>
      <c r="C1" s="1" t="inlineStr">
        <is>
          <t>금액</t>
        </is>
      </c>
      <c r="D1" s="1" t="inlineStr">
        <is>
          <t>분류</t>
        </is>
      </c>
      <c r="E1" s="1" t="inlineStr">
        <is>
          <t>은퇴 +N일</t>
        </is>
      </c>
      <c r="G1" s="1" t="inlineStr">
        <is>
          <t>월</t>
        </is>
      </c>
      <c r="H1" s="1" t="inlineStr">
        <is>
          <t>수입</t>
        </is>
      </c>
      <c r="I1" s="1" t="inlineStr">
        <is>
          <t>지출</t>
        </is>
      </c>
      <c r="J1" s="1" t="inlineStr">
        <is>
          <t>저축</t>
        </is>
      </c>
      <c r="K1" s="1" t="inlineStr">
        <is>
          <t>저축률</t>
        </is>
      </c>
    </row>
    <row r="2">
      <c r="E2" s="2" t="inlineStr">
        <is>
          <t>매달 반복된다고 가정할 때</t>
        </is>
      </c>
    </row>
    <row r="3">
      <c r="A3" s="3" t="n">
        <v>46266</v>
      </c>
      <c r="B3" t="inlineStr">
        <is>
          <t>급여</t>
        </is>
      </c>
      <c r="C3" s="4" t="n">
        <v>3500000</v>
      </c>
      <c r="D3" t="inlineStr">
        <is>
          <t>수입</t>
        </is>
      </c>
      <c r="E3" s="5">
        <f>IF(OR(C3="",D3="",D3="수입",계산!$B$20=""),"",ROUND(C3*계산!$B$20,0))</f>
        <v/>
      </c>
      <c r="G3" s="6">
        <f>IF(계산!$B$5="","",EDATE(계산!$B$5,-11))</f>
        <v/>
      </c>
      <c r="H3" s="7">
        <f>IF(G3="","",SUMIFS($C$3:$C$502,$D$3:$D$502,"수입",$A$3:$A$502,"&gt;="&amp;G3,$A$3:$A$502,"&lt;"&amp;EDATE(G3,1)))</f>
        <v/>
      </c>
      <c r="I3" s="7">
        <f>IF(G3="","",SUMIFS($C$3:$C$502,$A$3:$A$502,"&gt;="&amp;G3,$A$3:$A$502,"&lt;"&amp;EDATE(G3,1))-H3)</f>
        <v/>
      </c>
      <c r="J3" s="8">
        <f>IF(OR(G3="",AND(H3=0,I3=0)),"",H3-I3)</f>
        <v/>
      </c>
      <c r="K3" s="9">
        <f>IF(OR(G3="",H3=0),"",J3/H3)</f>
        <v/>
      </c>
    </row>
    <row r="4">
      <c r="A4" s="3" t="n">
        <v>46267</v>
      </c>
      <c r="B4" t="inlineStr">
        <is>
          <t>생활비</t>
        </is>
      </c>
      <c r="C4" s="4" t="n">
        <v>2150000</v>
      </c>
      <c r="D4" t="inlineStr">
        <is>
          <t>기타상품·서비스</t>
        </is>
      </c>
      <c r="E4" s="5">
        <f>IF(OR(C4="",D4="",D4="수입",계산!$B$20=""),"",ROUND(C4*계산!$B$20,0))</f>
        <v/>
      </c>
      <c r="G4" s="6">
        <f>IF(계산!$B$5="","",EDATE(계산!$B$5,-10))</f>
        <v/>
      </c>
      <c r="H4" s="7">
        <f>IF(G4="","",SUMIFS($C$3:$C$502,$D$3:$D$502,"수입",$A$3:$A$502,"&gt;="&amp;G4,$A$3:$A$502,"&lt;"&amp;EDATE(G4,1)))</f>
        <v/>
      </c>
      <c r="I4" s="7">
        <f>IF(G4="","",SUMIFS($C$3:$C$502,$A$3:$A$502,"&gt;="&amp;G4,$A$3:$A$502,"&lt;"&amp;EDATE(G4,1))-H4)</f>
        <v/>
      </c>
      <c r="J4" s="8">
        <f>IF(OR(G4="",AND(H4=0,I4=0)),"",H4-I4)</f>
        <v/>
      </c>
      <c r="K4" s="9">
        <f>IF(OR(G4="",H4=0),"",J4/H4)</f>
        <v/>
      </c>
    </row>
    <row r="5">
      <c r="A5" s="3" t="n">
        <v>46296</v>
      </c>
      <c r="B5" t="inlineStr">
        <is>
          <t>급여</t>
        </is>
      </c>
      <c r="C5" s="4" t="n">
        <v>3500000</v>
      </c>
      <c r="D5" t="inlineStr">
        <is>
          <t>수입</t>
        </is>
      </c>
      <c r="E5" s="5">
        <f>IF(OR(C5="",D5="",D5="수입",계산!$B$20=""),"",ROUND(C5*계산!$B$20,0))</f>
        <v/>
      </c>
      <c r="G5" s="6">
        <f>IF(계산!$B$5="","",EDATE(계산!$B$5,-9))</f>
        <v/>
      </c>
      <c r="H5" s="7">
        <f>IF(G5="","",SUMIFS($C$3:$C$502,$D$3:$D$502,"수입",$A$3:$A$502,"&gt;="&amp;G5,$A$3:$A$502,"&lt;"&amp;EDATE(G5,1)))</f>
        <v/>
      </c>
      <c r="I5" s="7">
        <f>IF(G5="","",SUMIFS($C$3:$C$502,$A$3:$A$502,"&gt;="&amp;G5,$A$3:$A$502,"&lt;"&amp;EDATE(G5,1))-H5)</f>
        <v/>
      </c>
      <c r="J5" s="8">
        <f>IF(OR(G5="",AND(H5=0,I5=0)),"",H5-I5)</f>
        <v/>
      </c>
      <c r="K5" s="9">
        <f>IF(OR(G5="",H5=0),"",J5/H5)</f>
        <v/>
      </c>
    </row>
    <row r="6">
      <c r="A6" s="3" t="n">
        <v>46297</v>
      </c>
      <c r="B6" t="inlineStr">
        <is>
          <t>생활비</t>
        </is>
      </c>
      <c r="C6" s="4" t="n">
        <v>2000000</v>
      </c>
      <c r="D6" t="inlineStr">
        <is>
          <t>기타상품·서비스</t>
        </is>
      </c>
      <c r="E6" s="5">
        <f>IF(OR(C6="",D6="",D6="수입",계산!$B$20=""),"",ROUND(C6*계산!$B$20,0))</f>
        <v/>
      </c>
      <c r="G6" s="6">
        <f>IF(계산!$B$5="","",EDATE(계산!$B$5,-8))</f>
        <v/>
      </c>
      <c r="H6" s="7">
        <f>IF(G6="","",SUMIFS($C$3:$C$502,$D$3:$D$502,"수입",$A$3:$A$502,"&gt;="&amp;G6,$A$3:$A$502,"&lt;"&amp;EDATE(G6,1)))</f>
        <v/>
      </c>
      <c r="I6" s="7">
        <f>IF(G6="","",SUMIFS($C$3:$C$502,$A$3:$A$502,"&gt;="&amp;G6,$A$3:$A$502,"&lt;"&amp;EDATE(G6,1))-H6)</f>
        <v/>
      </c>
      <c r="J6" s="8">
        <f>IF(OR(G6="",AND(H6=0,I6=0)),"",H6-I6)</f>
        <v/>
      </c>
      <c r="K6" s="9">
        <f>IF(OR(G6="",H6=0),"",J6/H6)</f>
        <v/>
      </c>
    </row>
    <row r="7">
      <c r="A7" s="3" t="n"/>
      <c r="C7" s="4" t="n"/>
      <c r="E7" s="5">
        <f>IF(OR(C7="",D7="",D7="수입",계산!$B$20=""),"",ROUND(C7*계산!$B$20,0))</f>
        <v/>
      </c>
      <c r="G7" s="6">
        <f>IF(계산!$B$5="","",EDATE(계산!$B$5,-7))</f>
        <v/>
      </c>
      <c r="H7" s="7">
        <f>IF(G7="","",SUMIFS($C$3:$C$502,$D$3:$D$502,"수입",$A$3:$A$502,"&gt;="&amp;G7,$A$3:$A$502,"&lt;"&amp;EDATE(G7,1)))</f>
        <v/>
      </c>
      <c r="I7" s="7">
        <f>IF(G7="","",SUMIFS($C$3:$C$502,$A$3:$A$502,"&gt;="&amp;G7,$A$3:$A$502,"&lt;"&amp;EDATE(G7,1))-H7)</f>
        <v/>
      </c>
      <c r="J7" s="8">
        <f>IF(OR(G7="",AND(H7=0,I7=0)),"",H7-I7)</f>
        <v/>
      </c>
      <c r="K7" s="9">
        <f>IF(OR(G7="",H7=0),"",J7/H7)</f>
        <v/>
      </c>
    </row>
    <row r="8">
      <c r="A8" s="3" t="n"/>
      <c r="C8" s="4" t="n"/>
      <c r="E8" s="5">
        <f>IF(OR(C8="",D8="",D8="수입",계산!$B$20=""),"",ROUND(C8*계산!$B$20,0))</f>
        <v/>
      </c>
      <c r="G8" s="6">
        <f>IF(계산!$B$5="","",EDATE(계산!$B$5,-6))</f>
        <v/>
      </c>
      <c r="H8" s="7">
        <f>IF(G8="","",SUMIFS($C$3:$C$502,$D$3:$D$502,"수입",$A$3:$A$502,"&gt;="&amp;G8,$A$3:$A$502,"&lt;"&amp;EDATE(G8,1)))</f>
        <v/>
      </c>
      <c r="I8" s="7">
        <f>IF(G8="","",SUMIFS($C$3:$C$502,$A$3:$A$502,"&gt;="&amp;G8,$A$3:$A$502,"&lt;"&amp;EDATE(G8,1))-H8)</f>
        <v/>
      </c>
      <c r="J8" s="8">
        <f>IF(OR(G8="",AND(H8=0,I8=0)),"",H8-I8)</f>
        <v/>
      </c>
      <c r="K8" s="9">
        <f>IF(OR(G8="",H8=0),"",J8/H8)</f>
        <v/>
      </c>
    </row>
    <row r="9">
      <c r="A9" s="3" t="n"/>
      <c r="C9" s="4" t="n"/>
      <c r="E9" s="5">
        <f>IF(OR(C9="",D9="",D9="수입",계산!$B$20=""),"",ROUND(C9*계산!$B$20,0))</f>
        <v/>
      </c>
      <c r="G9" s="6">
        <f>IF(계산!$B$5="","",EDATE(계산!$B$5,-5))</f>
        <v/>
      </c>
      <c r="H9" s="7">
        <f>IF(G9="","",SUMIFS($C$3:$C$502,$D$3:$D$502,"수입",$A$3:$A$502,"&gt;="&amp;G9,$A$3:$A$502,"&lt;"&amp;EDATE(G9,1)))</f>
        <v/>
      </c>
      <c r="I9" s="7">
        <f>IF(G9="","",SUMIFS($C$3:$C$502,$A$3:$A$502,"&gt;="&amp;G9,$A$3:$A$502,"&lt;"&amp;EDATE(G9,1))-H9)</f>
        <v/>
      </c>
      <c r="J9" s="8">
        <f>IF(OR(G9="",AND(H9=0,I9=0)),"",H9-I9)</f>
        <v/>
      </c>
      <c r="K9" s="9">
        <f>IF(OR(G9="",H9=0),"",J9/H9)</f>
        <v/>
      </c>
    </row>
    <row r="10">
      <c r="A10" s="3" t="n"/>
      <c r="C10" s="4" t="n"/>
      <c r="E10" s="5">
        <f>IF(OR(C10="",D10="",D10="수입",계산!$B$20=""),"",ROUND(C10*계산!$B$20,0))</f>
        <v/>
      </c>
      <c r="G10" s="6">
        <f>IF(계산!$B$5="","",EDATE(계산!$B$5,-4))</f>
        <v/>
      </c>
      <c r="H10" s="7">
        <f>IF(G10="","",SUMIFS($C$3:$C$502,$D$3:$D$502,"수입",$A$3:$A$502,"&gt;="&amp;G10,$A$3:$A$502,"&lt;"&amp;EDATE(G10,1)))</f>
        <v/>
      </c>
      <c r="I10" s="7">
        <f>IF(G10="","",SUMIFS($C$3:$C$502,$A$3:$A$502,"&gt;="&amp;G10,$A$3:$A$502,"&lt;"&amp;EDATE(G10,1))-H10)</f>
        <v/>
      </c>
      <c r="J10" s="8">
        <f>IF(OR(G10="",AND(H10=0,I10=0)),"",H10-I10)</f>
        <v/>
      </c>
      <c r="K10" s="9">
        <f>IF(OR(G10="",H10=0),"",J10/H10)</f>
        <v/>
      </c>
    </row>
    <row r="11">
      <c r="A11" s="3" t="n"/>
      <c r="C11" s="4" t="n"/>
      <c r="E11" s="5">
        <f>IF(OR(C11="",D11="",D11="수입",계산!$B$20=""),"",ROUND(C11*계산!$B$20,0))</f>
        <v/>
      </c>
      <c r="G11" s="6">
        <f>IF(계산!$B$5="","",EDATE(계산!$B$5,-3))</f>
        <v/>
      </c>
      <c r="H11" s="7">
        <f>IF(G11="","",SUMIFS($C$3:$C$502,$D$3:$D$502,"수입",$A$3:$A$502,"&gt;="&amp;G11,$A$3:$A$502,"&lt;"&amp;EDATE(G11,1)))</f>
        <v/>
      </c>
      <c r="I11" s="7">
        <f>IF(G11="","",SUMIFS($C$3:$C$502,$A$3:$A$502,"&gt;="&amp;G11,$A$3:$A$502,"&lt;"&amp;EDATE(G11,1))-H11)</f>
        <v/>
      </c>
      <c r="J11" s="8">
        <f>IF(OR(G11="",AND(H11=0,I11=0)),"",H11-I11)</f>
        <v/>
      </c>
      <c r="K11" s="9">
        <f>IF(OR(G11="",H11=0),"",J11/H11)</f>
        <v/>
      </c>
    </row>
    <row r="12">
      <c r="A12" s="3" t="n"/>
      <c r="C12" s="4" t="n"/>
      <c r="E12" s="5">
        <f>IF(OR(C12="",D12="",D12="수입",계산!$B$20=""),"",ROUND(C12*계산!$B$20,0))</f>
        <v/>
      </c>
      <c r="G12" s="6">
        <f>IF(계산!$B$5="","",EDATE(계산!$B$5,-2))</f>
        <v/>
      </c>
      <c r="H12" s="7">
        <f>IF(G12="","",SUMIFS($C$3:$C$502,$D$3:$D$502,"수입",$A$3:$A$502,"&gt;="&amp;G12,$A$3:$A$502,"&lt;"&amp;EDATE(G12,1)))</f>
        <v/>
      </c>
      <c r="I12" s="7">
        <f>IF(G12="","",SUMIFS($C$3:$C$502,$A$3:$A$502,"&gt;="&amp;G12,$A$3:$A$502,"&lt;"&amp;EDATE(G12,1))-H12)</f>
        <v/>
      </c>
      <c r="J12" s="8">
        <f>IF(OR(G12="",AND(H12=0,I12=0)),"",H12-I12)</f>
        <v/>
      </c>
      <c r="K12" s="9">
        <f>IF(OR(G12="",H12=0),"",J12/H12)</f>
        <v/>
      </c>
    </row>
    <row r="13">
      <c r="A13" s="3" t="n"/>
      <c r="C13" s="4" t="n"/>
      <c r="E13" s="5">
        <f>IF(OR(C13="",D13="",D13="수입",계산!$B$20=""),"",ROUND(C13*계산!$B$20,0))</f>
        <v/>
      </c>
      <c r="G13" s="6">
        <f>IF(계산!$B$5="","",EDATE(계산!$B$5,-1))</f>
        <v/>
      </c>
      <c r="H13" s="7">
        <f>IF(G13="","",SUMIFS($C$3:$C$502,$D$3:$D$502,"수입",$A$3:$A$502,"&gt;="&amp;G13,$A$3:$A$502,"&lt;"&amp;EDATE(G13,1)))</f>
        <v/>
      </c>
      <c r="I13" s="7">
        <f>IF(G13="","",SUMIFS($C$3:$C$502,$A$3:$A$502,"&gt;="&amp;G13,$A$3:$A$502,"&lt;"&amp;EDATE(G13,1))-H13)</f>
        <v/>
      </c>
      <c r="J13" s="8">
        <f>IF(OR(G13="",AND(H13=0,I13=0)),"",H13-I13)</f>
        <v/>
      </c>
      <c r="K13" s="9">
        <f>IF(OR(G13="",H13=0),"",J13/H13)</f>
        <v/>
      </c>
    </row>
    <row r="14">
      <c r="A14" s="3" t="n"/>
      <c r="C14" s="4" t="n"/>
      <c r="E14" s="5">
        <f>IF(OR(C14="",D14="",D14="수입",계산!$B$20=""),"",ROUND(C14*계산!$B$20,0))</f>
        <v/>
      </c>
      <c r="G14" s="6">
        <f>IF(계산!$B$5="","",EDATE(계산!$B$5,0))</f>
        <v/>
      </c>
      <c r="H14" s="7">
        <f>IF(G14="","",SUMIFS($C$3:$C$502,$D$3:$D$502,"수입",$A$3:$A$502,"&gt;="&amp;G14,$A$3:$A$502,"&lt;"&amp;EDATE(G14,1)))</f>
        <v/>
      </c>
      <c r="I14" s="7">
        <f>IF(G14="","",SUMIFS($C$3:$C$502,$A$3:$A$502,"&gt;="&amp;G14,$A$3:$A$502,"&lt;"&amp;EDATE(G14,1))-H14)</f>
        <v/>
      </c>
      <c r="J14" s="8">
        <f>IF(OR(G14="",AND(H14=0,I14=0)),"",H14-I14)</f>
        <v/>
      </c>
      <c r="K14" s="9">
        <f>IF(OR(G14="",H14=0),"",J14/H14)</f>
        <v/>
      </c>
    </row>
    <row r="15">
      <c r="A15" s="3" t="n"/>
      <c r="C15" s="4" t="n"/>
      <c r="E15" s="5">
        <f>IF(OR(C15="",D15="",D15="수입",계산!$B$20=""),"",ROUND(C15*계산!$B$20,0))</f>
        <v/>
      </c>
    </row>
    <row r="16">
      <c r="A16" s="3" t="n"/>
      <c r="C16" s="4" t="n"/>
      <c r="E16" s="5">
        <f>IF(OR(C16="",D16="",D16="수입",계산!$B$20=""),"",ROUND(C16*계산!$B$20,0))</f>
        <v/>
      </c>
    </row>
    <row r="17">
      <c r="A17" s="3" t="n"/>
      <c r="C17" s="4" t="n"/>
      <c r="E17" s="5">
        <f>IF(OR(C17="",D17="",D17="수입",계산!$B$20=""),"",ROUND(C17*계산!$B$20,0))</f>
        <v/>
      </c>
    </row>
    <row r="18">
      <c r="A18" s="3" t="n"/>
      <c r="C18" s="4" t="n"/>
      <c r="E18" s="5">
        <f>IF(OR(C18="",D18="",D18="수입",계산!$B$20=""),"",ROUND(C18*계산!$B$20,0))</f>
        <v/>
      </c>
    </row>
    <row r="19">
      <c r="A19" s="3" t="n"/>
      <c r="C19" s="4" t="n"/>
      <c r="E19" s="5">
        <f>IF(OR(C19="",D19="",D19="수입",계산!$B$20=""),"",ROUND(C19*계산!$B$20,0))</f>
        <v/>
      </c>
    </row>
    <row r="20">
      <c r="A20" s="3" t="n"/>
      <c r="C20" s="4" t="n"/>
      <c r="E20" s="5">
        <f>IF(OR(C20="",D20="",D20="수입",계산!$B$20=""),"",ROUND(C20*계산!$B$20,0))</f>
        <v/>
      </c>
    </row>
    <row r="21">
      <c r="A21" s="3" t="n"/>
      <c r="C21" s="4" t="n"/>
      <c r="E21" s="5">
        <f>IF(OR(C21="",D21="",D21="수입",계산!$B$20=""),"",ROUND(C21*계산!$B$20,0))</f>
        <v/>
      </c>
    </row>
    <row r="22">
      <c r="A22" s="3" t="n"/>
      <c r="C22" s="4" t="n"/>
      <c r="E22" s="5">
        <f>IF(OR(C22="",D22="",D22="수입",계산!$B$20=""),"",ROUND(C22*계산!$B$20,0))</f>
        <v/>
      </c>
    </row>
    <row r="23">
      <c r="A23" s="3" t="n"/>
      <c r="C23" s="4" t="n"/>
      <c r="E23" s="5">
        <f>IF(OR(C23="",D23="",D23="수입",계산!$B$20=""),"",ROUND(C23*계산!$B$20,0))</f>
        <v/>
      </c>
    </row>
    <row r="24">
      <c r="A24" s="3" t="n"/>
      <c r="C24" s="4" t="n"/>
      <c r="E24" s="5">
        <f>IF(OR(C24="",D24="",D24="수입",계산!$B$20=""),"",ROUND(C24*계산!$B$20,0))</f>
        <v/>
      </c>
    </row>
    <row r="25">
      <c r="A25" s="3" t="n"/>
      <c r="C25" s="4" t="n"/>
      <c r="E25" s="5">
        <f>IF(OR(C25="",D25="",D25="수입",계산!$B$20=""),"",ROUND(C25*계산!$B$20,0))</f>
        <v/>
      </c>
    </row>
    <row r="26">
      <c r="A26" s="3" t="n"/>
      <c r="C26" s="4" t="n"/>
      <c r="E26" s="5">
        <f>IF(OR(C26="",D26="",D26="수입",계산!$B$20=""),"",ROUND(C26*계산!$B$20,0))</f>
        <v/>
      </c>
    </row>
    <row r="27">
      <c r="A27" s="3" t="n"/>
      <c r="C27" s="4" t="n"/>
      <c r="E27" s="5">
        <f>IF(OR(C27="",D27="",D27="수입",계산!$B$20=""),"",ROUND(C27*계산!$B$20,0))</f>
        <v/>
      </c>
    </row>
    <row r="28">
      <c r="A28" s="3" t="n"/>
      <c r="C28" s="4" t="n"/>
      <c r="E28" s="5">
        <f>IF(OR(C28="",D28="",D28="수입",계산!$B$20=""),"",ROUND(C28*계산!$B$20,0))</f>
        <v/>
      </c>
    </row>
    <row r="29">
      <c r="A29" s="3" t="n"/>
      <c r="C29" s="4" t="n"/>
      <c r="E29" s="5">
        <f>IF(OR(C29="",D29="",D29="수입",계산!$B$20=""),"",ROUND(C29*계산!$B$20,0))</f>
        <v/>
      </c>
    </row>
    <row r="30">
      <c r="A30" s="3" t="n"/>
      <c r="C30" s="4" t="n"/>
      <c r="E30" s="5">
        <f>IF(OR(C30="",D30="",D30="수입",계산!$B$20=""),"",ROUND(C30*계산!$B$20,0))</f>
        <v/>
      </c>
    </row>
    <row r="31">
      <c r="A31" s="3" t="n"/>
      <c r="C31" s="4" t="n"/>
      <c r="E31" s="5">
        <f>IF(OR(C31="",D31="",D31="수입",계산!$B$20=""),"",ROUND(C31*계산!$B$20,0))</f>
        <v/>
      </c>
    </row>
    <row r="32">
      <c r="A32" s="3" t="n"/>
      <c r="C32" s="4" t="n"/>
      <c r="E32" s="5">
        <f>IF(OR(C32="",D32="",D32="수입",계산!$B$20=""),"",ROUND(C32*계산!$B$20,0))</f>
        <v/>
      </c>
    </row>
    <row r="33">
      <c r="A33" s="3" t="n"/>
      <c r="C33" s="4" t="n"/>
      <c r="E33" s="5">
        <f>IF(OR(C33="",D33="",D33="수입",계산!$B$20=""),"",ROUND(C33*계산!$B$20,0))</f>
        <v/>
      </c>
    </row>
    <row r="34">
      <c r="A34" s="3" t="n"/>
      <c r="C34" s="4" t="n"/>
      <c r="E34" s="5">
        <f>IF(OR(C34="",D34="",D34="수입",계산!$B$20=""),"",ROUND(C34*계산!$B$20,0))</f>
        <v/>
      </c>
    </row>
    <row r="35">
      <c r="A35" s="3" t="n"/>
      <c r="C35" s="4" t="n"/>
      <c r="E35" s="5">
        <f>IF(OR(C35="",D35="",D35="수입",계산!$B$20=""),"",ROUND(C35*계산!$B$20,0))</f>
        <v/>
      </c>
    </row>
    <row r="36">
      <c r="A36" s="3" t="n"/>
      <c r="C36" s="4" t="n"/>
      <c r="E36" s="5">
        <f>IF(OR(C36="",D36="",D36="수입",계산!$B$20=""),"",ROUND(C36*계산!$B$20,0))</f>
        <v/>
      </c>
    </row>
    <row r="37">
      <c r="A37" s="3" t="n"/>
      <c r="C37" s="4" t="n"/>
      <c r="E37" s="5">
        <f>IF(OR(C37="",D37="",D37="수입",계산!$B$20=""),"",ROUND(C37*계산!$B$20,0))</f>
        <v/>
      </c>
    </row>
    <row r="38">
      <c r="A38" s="3" t="n"/>
      <c r="C38" s="4" t="n"/>
      <c r="E38" s="5">
        <f>IF(OR(C38="",D38="",D38="수입",계산!$B$20=""),"",ROUND(C38*계산!$B$20,0))</f>
        <v/>
      </c>
    </row>
    <row r="39">
      <c r="A39" s="3" t="n"/>
      <c r="C39" s="4" t="n"/>
      <c r="E39" s="5">
        <f>IF(OR(C39="",D39="",D39="수입",계산!$B$20=""),"",ROUND(C39*계산!$B$20,0))</f>
        <v/>
      </c>
    </row>
    <row r="40">
      <c r="A40" s="3" t="n"/>
      <c r="C40" s="4" t="n"/>
      <c r="E40" s="5">
        <f>IF(OR(C40="",D40="",D40="수입",계산!$B$20=""),"",ROUND(C40*계산!$B$20,0))</f>
        <v/>
      </c>
    </row>
    <row r="41">
      <c r="A41" s="3" t="n"/>
      <c r="C41" s="4" t="n"/>
      <c r="E41" s="5">
        <f>IF(OR(C41="",D41="",D41="수입",계산!$B$20=""),"",ROUND(C41*계산!$B$20,0))</f>
        <v/>
      </c>
    </row>
    <row r="42">
      <c r="A42" s="3" t="n"/>
      <c r="C42" s="4" t="n"/>
      <c r="E42" s="5">
        <f>IF(OR(C42="",D42="",D42="수입",계산!$B$20=""),"",ROUND(C42*계산!$B$20,0))</f>
        <v/>
      </c>
    </row>
    <row r="43">
      <c r="A43" s="3" t="n"/>
      <c r="C43" s="4" t="n"/>
      <c r="E43" s="5">
        <f>IF(OR(C43="",D43="",D43="수입",계산!$B$20=""),"",ROUND(C43*계산!$B$20,0))</f>
        <v/>
      </c>
    </row>
    <row r="44">
      <c r="A44" s="3" t="n"/>
      <c r="C44" s="4" t="n"/>
      <c r="E44" s="5">
        <f>IF(OR(C44="",D44="",D44="수입",계산!$B$20=""),"",ROUND(C44*계산!$B$20,0))</f>
        <v/>
      </c>
    </row>
    <row r="45">
      <c r="A45" s="3" t="n"/>
      <c r="C45" s="4" t="n"/>
      <c r="E45" s="5">
        <f>IF(OR(C45="",D45="",D45="수입",계산!$B$20=""),"",ROUND(C45*계산!$B$20,0))</f>
        <v/>
      </c>
    </row>
    <row r="46">
      <c r="A46" s="3" t="n"/>
      <c r="C46" s="4" t="n"/>
      <c r="E46" s="5">
        <f>IF(OR(C46="",D46="",D46="수입",계산!$B$20=""),"",ROUND(C46*계산!$B$20,0))</f>
        <v/>
      </c>
    </row>
    <row r="47">
      <c r="A47" s="3" t="n"/>
      <c r="C47" s="4" t="n"/>
      <c r="E47" s="5">
        <f>IF(OR(C47="",D47="",D47="수입",계산!$B$20=""),"",ROUND(C47*계산!$B$20,0))</f>
        <v/>
      </c>
    </row>
    <row r="48">
      <c r="A48" s="3" t="n"/>
      <c r="C48" s="4" t="n"/>
      <c r="E48" s="5">
        <f>IF(OR(C48="",D48="",D48="수입",계산!$B$20=""),"",ROUND(C48*계산!$B$20,0))</f>
        <v/>
      </c>
    </row>
    <row r="49">
      <c r="A49" s="3" t="n"/>
      <c r="C49" s="4" t="n"/>
      <c r="E49" s="5">
        <f>IF(OR(C49="",D49="",D49="수입",계산!$B$20=""),"",ROUND(C49*계산!$B$20,0))</f>
        <v/>
      </c>
    </row>
    <row r="50">
      <c r="A50" s="3" t="n"/>
      <c r="C50" s="4" t="n"/>
      <c r="E50" s="5">
        <f>IF(OR(C50="",D50="",D50="수입",계산!$B$20=""),"",ROUND(C50*계산!$B$20,0))</f>
        <v/>
      </c>
    </row>
    <row r="51">
      <c r="A51" s="3" t="n"/>
      <c r="C51" s="4" t="n"/>
      <c r="E51" s="5">
        <f>IF(OR(C51="",D51="",D51="수입",계산!$B$20=""),"",ROUND(C51*계산!$B$20,0))</f>
        <v/>
      </c>
    </row>
    <row r="52">
      <c r="A52" s="3" t="n"/>
      <c r="C52" s="4" t="n"/>
      <c r="E52" s="5">
        <f>IF(OR(C52="",D52="",D52="수입",계산!$B$20=""),"",ROUND(C52*계산!$B$20,0))</f>
        <v/>
      </c>
    </row>
    <row r="53">
      <c r="A53" s="3" t="n"/>
      <c r="C53" s="4" t="n"/>
      <c r="E53" s="5">
        <f>IF(OR(C53="",D53="",D53="수입",계산!$B$20=""),"",ROUND(C53*계산!$B$20,0))</f>
        <v/>
      </c>
    </row>
    <row r="54">
      <c r="A54" s="3" t="n"/>
      <c r="C54" s="4" t="n"/>
      <c r="E54" s="5">
        <f>IF(OR(C54="",D54="",D54="수입",계산!$B$20=""),"",ROUND(C54*계산!$B$20,0))</f>
        <v/>
      </c>
    </row>
    <row r="55">
      <c r="A55" s="3" t="n"/>
      <c r="C55" s="4" t="n"/>
      <c r="E55" s="5">
        <f>IF(OR(C55="",D55="",D55="수입",계산!$B$20=""),"",ROUND(C55*계산!$B$20,0))</f>
        <v/>
      </c>
    </row>
    <row r="56">
      <c r="A56" s="3" t="n"/>
      <c r="C56" s="4" t="n"/>
      <c r="E56" s="5">
        <f>IF(OR(C56="",D56="",D56="수입",계산!$B$20=""),"",ROUND(C56*계산!$B$20,0))</f>
        <v/>
      </c>
    </row>
    <row r="57">
      <c r="A57" s="3" t="n"/>
      <c r="C57" s="4" t="n"/>
      <c r="E57" s="5">
        <f>IF(OR(C57="",D57="",D57="수입",계산!$B$20=""),"",ROUND(C57*계산!$B$20,0))</f>
        <v/>
      </c>
    </row>
    <row r="58">
      <c r="A58" s="3" t="n"/>
      <c r="C58" s="4" t="n"/>
      <c r="E58" s="5">
        <f>IF(OR(C58="",D58="",D58="수입",계산!$B$20=""),"",ROUND(C58*계산!$B$20,0))</f>
        <v/>
      </c>
    </row>
    <row r="59">
      <c r="A59" s="3" t="n"/>
      <c r="C59" s="4" t="n"/>
      <c r="E59" s="5">
        <f>IF(OR(C59="",D59="",D59="수입",계산!$B$20=""),"",ROUND(C59*계산!$B$20,0))</f>
        <v/>
      </c>
    </row>
    <row r="60">
      <c r="A60" s="3" t="n"/>
      <c r="C60" s="4" t="n"/>
      <c r="E60" s="5">
        <f>IF(OR(C60="",D60="",D60="수입",계산!$B$20=""),"",ROUND(C60*계산!$B$20,0))</f>
        <v/>
      </c>
    </row>
    <row r="61">
      <c r="A61" s="3" t="n"/>
      <c r="C61" s="4" t="n"/>
      <c r="E61" s="5">
        <f>IF(OR(C61="",D61="",D61="수입",계산!$B$20=""),"",ROUND(C61*계산!$B$20,0))</f>
        <v/>
      </c>
    </row>
    <row r="62">
      <c r="A62" s="3" t="n"/>
      <c r="C62" s="4" t="n"/>
      <c r="E62" s="5">
        <f>IF(OR(C62="",D62="",D62="수입",계산!$B$20=""),"",ROUND(C62*계산!$B$20,0))</f>
        <v/>
      </c>
    </row>
    <row r="63">
      <c r="A63" s="3" t="n"/>
      <c r="C63" s="4" t="n"/>
      <c r="E63" s="5">
        <f>IF(OR(C63="",D63="",D63="수입",계산!$B$20=""),"",ROUND(C63*계산!$B$20,0))</f>
        <v/>
      </c>
    </row>
    <row r="64">
      <c r="A64" s="3" t="n"/>
      <c r="C64" s="4" t="n"/>
      <c r="E64" s="5">
        <f>IF(OR(C64="",D64="",D64="수입",계산!$B$20=""),"",ROUND(C64*계산!$B$20,0))</f>
        <v/>
      </c>
    </row>
    <row r="65">
      <c r="A65" s="3" t="n"/>
      <c r="C65" s="4" t="n"/>
      <c r="E65" s="5">
        <f>IF(OR(C65="",D65="",D65="수입",계산!$B$20=""),"",ROUND(C65*계산!$B$20,0))</f>
        <v/>
      </c>
    </row>
    <row r="66">
      <c r="A66" s="3" t="n"/>
      <c r="C66" s="4" t="n"/>
      <c r="E66" s="5">
        <f>IF(OR(C66="",D66="",D66="수입",계산!$B$20=""),"",ROUND(C66*계산!$B$20,0))</f>
        <v/>
      </c>
    </row>
    <row r="67">
      <c r="A67" s="3" t="n"/>
      <c r="C67" s="4" t="n"/>
      <c r="E67" s="5">
        <f>IF(OR(C67="",D67="",D67="수입",계산!$B$20=""),"",ROUND(C67*계산!$B$20,0))</f>
        <v/>
      </c>
    </row>
    <row r="68">
      <c r="A68" s="3" t="n"/>
      <c r="C68" s="4" t="n"/>
      <c r="E68" s="5">
        <f>IF(OR(C68="",D68="",D68="수입",계산!$B$20=""),"",ROUND(C68*계산!$B$20,0))</f>
        <v/>
      </c>
    </row>
    <row r="69">
      <c r="A69" s="3" t="n"/>
      <c r="C69" s="4" t="n"/>
      <c r="E69" s="5">
        <f>IF(OR(C69="",D69="",D69="수입",계산!$B$20=""),"",ROUND(C69*계산!$B$20,0))</f>
        <v/>
      </c>
    </row>
    <row r="70">
      <c r="A70" s="3" t="n"/>
      <c r="C70" s="4" t="n"/>
      <c r="E70" s="5">
        <f>IF(OR(C70="",D70="",D70="수입",계산!$B$20=""),"",ROUND(C70*계산!$B$20,0))</f>
        <v/>
      </c>
    </row>
    <row r="71">
      <c r="A71" s="3" t="n"/>
      <c r="C71" s="4" t="n"/>
      <c r="E71" s="5">
        <f>IF(OR(C71="",D71="",D71="수입",계산!$B$20=""),"",ROUND(C71*계산!$B$20,0))</f>
        <v/>
      </c>
    </row>
    <row r="72">
      <c r="A72" s="3" t="n"/>
      <c r="C72" s="4" t="n"/>
      <c r="E72" s="5">
        <f>IF(OR(C72="",D72="",D72="수입",계산!$B$20=""),"",ROUND(C72*계산!$B$20,0))</f>
        <v/>
      </c>
    </row>
    <row r="73">
      <c r="A73" s="3" t="n"/>
      <c r="C73" s="4" t="n"/>
      <c r="E73" s="5">
        <f>IF(OR(C73="",D73="",D73="수입",계산!$B$20=""),"",ROUND(C73*계산!$B$20,0))</f>
        <v/>
      </c>
    </row>
    <row r="74">
      <c r="A74" s="3" t="n"/>
      <c r="C74" s="4" t="n"/>
      <c r="E74" s="5">
        <f>IF(OR(C74="",D74="",D74="수입",계산!$B$20=""),"",ROUND(C74*계산!$B$20,0))</f>
        <v/>
      </c>
    </row>
    <row r="75">
      <c r="A75" s="3" t="n"/>
      <c r="C75" s="4" t="n"/>
      <c r="E75" s="5">
        <f>IF(OR(C75="",D75="",D75="수입",계산!$B$20=""),"",ROUND(C75*계산!$B$20,0))</f>
        <v/>
      </c>
    </row>
    <row r="76">
      <c r="A76" s="3" t="n"/>
      <c r="C76" s="4" t="n"/>
      <c r="E76" s="5">
        <f>IF(OR(C76="",D76="",D76="수입",계산!$B$20=""),"",ROUND(C76*계산!$B$20,0))</f>
        <v/>
      </c>
    </row>
    <row r="77">
      <c r="A77" s="3" t="n"/>
      <c r="C77" s="4" t="n"/>
      <c r="E77" s="5">
        <f>IF(OR(C77="",D77="",D77="수입",계산!$B$20=""),"",ROUND(C77*계산!$B$20,0))</f>
        <v/>
      </c>
    </row>
    <row r="78">
      <c r="A78" s="3" t="n"/>
      <c r="C78" s="4" t="n"/>
      <c r="E78" s="5">
        <f>IF(OR(C78="",D78="",D78="수입",계산!$B$20=""),"",ROUND(C78*계산!$B$20,0))</f>
        <v/>
      </c>
    </row>
    <row r="79">
      <c r="A79" s="3" t="n"/>
      <c r="C79" s="4" t="n"/>
      <c r="E79" s="5">
        <f>IF(OR(C79="",D79="",D79="수입",계산!$B$20=""),"",ROUND(C79*계산!$B$20,0))</f>
        <v/>
      </c>
    </row>
    <row r="80">
      <c r="A80" s="3" t="n"/>
      <c r="C80" s="4" t="n"/>
      <c r="E80" s="5">
        <f>IF(OR(C80="",D80="",D80="수입",계산!$B$20=""),"",ROUND(C80*계산!$B$20,0))</f>
        <v/>
      </c>
    </row>
    <row r="81">
      <c r="A81" s="3" t="n"/>
      <c r="C81" s="4" t="n"/>
      <c r="E81" s="5">
        <f>IF(OR(C81="",D81="",D81="수입",계산!$B$20=""),"",ROUND(C81*계산!$B$20,0))</f>
        <v/>
      </c>
    </row>
    <row r="82">
      <c r="A82" s="3" t="n"/>
      <c r="C82" s="4" t="n"/>
      <c r="E82" s="5">
        <f>IF(OR(C82="",D82="",D82="수입",계산!$B$20=""),"",ROUND(C82*계산!$B$20,0))</f>
        <v/>
      </c>
    </row>
    <row r="83">
      <c r="A83" s="3" t="n"/>
      <c r="C83" s="4" t="n"/>
      <c r="E83" s="5">
        <f>IF(OR(C83="",D83="",D83="수입",계산!$B$20=""),"",ROUND(C83*계산!$B$20,0))</f>
        <v/>
      </c>
    </row>
    <row r="84">
      <c r="A84" s="3" t="n"/>
      <c r="C84" s="4" t="n"/>
      <c r="E84" s="5">
        <f>IF(OR(C84="",D84="",D84="수입",계산!$B$20=""),"",ROUND(C84*계산!$B$20,0))</f>
        <v/>
      </c>
    </row>
    <row r="85">
      <c r="A85" s="3" t="n"/>
      <c r="C85" s="4" t="n"/>
      <c r="E85" s="5">
        <f>IF(OR(C85="",D85="",D85="수입",계산!$B$20=""),"",ROUND(C85*계산!$B$20,0))</f>
        <v/>
      </c>
    </row>
    <row r="86">
      <c r="A86" s="3" t="n"/>
      <c r="C86" s="4" t="n"/>
      <c r="E86" s="5">
        <f>IF(OR(C86="",D86="",D86="수입",계산!$B$20=""),"",ROUND(C86*계산!$B$20,0))</f>
        <v/>
      </c>
    </row>
    <row r="87">
      <c r="A87" s="3" t="n"/>
      <c r="C87" s="4" t="n"/>
      <c r="E87" s="5">
        <f>IF(OR(C87="",D87="",D87="수입",계산!$B$20=""),"",ROUND(C87*계산!$B$20,0))</f>
        <v/>
      </c>
    </row>
    <row r="88">
      <c r="A88" s="3" t="n"/>
      <c r="C88" s="4" t="n"/>
      <c r="E88" s="5">
        <f>IF(OR(C88="",D88="",D88="수입",계산!$B$20=""),"",ROUND(C88*계산!$B$20,0))</f>
        <v/>
      </c>
    </row>
    <row r="89">
      <c r="A89" s="3" t="n"/>
      <c r="C89" s="4" t="n"/>
      <c r="E89" s="5">
        <f>IF(OR(C89="",D89="",D89="수입",계산!$B$20=""),"",ROUND(C89*계산!$B$20,0))</f>
        <v/>
      </c>
    </row>
    <row r="90">
      <c r="A90" s="3" t="n"/>
      <c r="C90" s="4" t="n"/>
      <c r="E90" s="5">
        <f>IF(OR(C90="",D90="",D90="수입",계산!$B$20=""),"",ROUND(C90*계산!$B$20,0))</f>
        <v/>
      </c>
    </row>
    <row r="91">
      <c r="A91" s="3" t="n"/>
      <c r="C91" s="4" t="n"/>
      <c r="E91" s="5">
        <f>IF(OR(C91="",D91="",D91="수입",계산!$B$20=""),"",ROUND(C91*계산!$B$20,0))</f>
        <v/>
      </c>
    </row>
    <row r="92">
      <c r="A92" s="3" t="n"/>
      <c r="C92" s="4" t="n"/>
      <c r="E92" s="5">
        <f>IF(OR(C92="",D92="",D92="수입",계산!$B$20=""),"",ROUND(C92*계산!$B$20,0))</f>
        <v/>
      </c>
    </row>
    <row r="93">
      <c r="A93" s="3" t="n"/>
      <c r="C93" s="4" t="n"/>
      <c r="E93" s="5">
        <f>IF(OR(C93="",D93="",D93="수입",계산!$B$20=""),"",ROUND(C93*계산!$B$20,0))</f>
        <v/>
      </c>
    </row>
    <row r="94">
      <c r="A94" s="3" t="n"/>
      <c r="C94" s="4" t="n"/>
      <c r="E94" s="5">
        <f>IF(OR(C94="",D94="",D94="수입",계산!$B$20=""),"",ROUND(C94*계산!$B$20,0))</f>
        <v/>
      </c>
    </row>
    <row r="95">
      <c r="A95" s="3" t="n"/>
      <c r="C95" s="4" t="n"/>
      <c r="E95" s="5">
        <f>IF(OR(C95="",D95="",D95="수입",계산!$B$20=""),"",ROUND(C95*계산!$B$20,0))</f>
        <v/>
      </c>
    </row>
    <row r="96">
      <c r="A96" s="3" t="n"/>
      <c r="C96" s="4" t="n"/>
      <c r="E96" s="5">
        <f>IF(OR(C96="",D96="",D96="수입",계산!$B$20=""),"",ROUND(C96*계산!$B$20,0))</f>
        <v/>
      </c>
    </row>
    <row r="97">
      <c r="A97" s="3" t="n"/>
      <c r="C97" s="4" t="n"/>
      <c r="E97" s="5">
        <f>IF(OR(C97="",D97="",D97="수입",계산!$B$20=""),"",ROUND(C97*계산!$B$20,0))</f>
        <v/>
      </c>
    </row>
    <row r="98">
      <c r="A98" s="3" t="n"/>
      <c r="C98" s="4" t="n"/>
      <c r="E98" s="5">
        <f>IF(OR(C98="",D98="",D98="수입",계산!$B$20=""),"",ROUND(C98*계산!$B$20,0))</f>
        <v/>
      </c>
    </row>
    <row r="99">
      <c r="A99" s="3" t="n"/>
      <c r="C99" s="4" t="n"/>
      <c r="E99" s="5">
        <f>IF(OR(C99="",D99="",D99="수입",계산!$B$20=""),"",ROUND(C99*계산!$B$20,0))</f>
        <v/>
      </c>
    </row>
    <row r="100">
      <c r="A100" s="3" t="n"/>
      <c r="C100" s="4" t="n"/>
      <c r="E100" s="5">
        <f>IF(OR(C100="",D100="",D100="수입",계산!$B$20=""),"",ROUND(C100*계산!$B$20,0))</f>
        <v/>
      </c>
    </row>
    <row r="101">
      <c r="A101" s="3" t="n"/>
      <c r="C101" s="4" t="n"/>
      <c r="E101" s="5">
        <f>IF(OR(C101="",D101="",D101="수입",계산!$B$20=""),"",ROUND(C101*계산!$B$20,0))</f>
        <v/>
      </c>
    </row>
    <row r="102">
      <c r="A102" s="3" t="n"/>
      <c r="C102" s="4" t="n"/>
      <c r="E102" s="5">
        <f>IF(OR(C102="",D102="",D102="수입",계산!$B$20=""),"",ROUND(C102*계산!$B$20,0))</f>
        <v/>
      </c>
    </row>
    <row r="103">
      <c r="A103" s="3" t="n"/>
      <c r="C103" s="4" t="n"/>
      <c r="E103" s="5">
        <f>IF(OR(C103="",D103="",D103="수입",계산!$B$20=""),"",ROUND(C103*계산!$B$20,0))</f>
        <v/>
      </c>
    </row>
    <row r="104">
      <c r="A104" s="3" t="n"/>
      <c r="C104" s="4" t="n"/>
      <c r="E104" s="5">
        <f>IF(OR(C104="",D104="",D104="수입",계산!$B$20=""),"",ROUND(C104*계산!$B$20,0))</f>
        <v/>
      </c>
    </row>
    <row r="105">
      <c r="A105" s="3" t="n"/>
      <c r="C105" s="4" t="n"/>
      <c r="E105" s="5">
        <f>IF(OR(C105="",D105="",D105="수입",계산!$B$20=""),"",ROUND(C105*계산!$B$20,0))</f>
        <v/>
      </c>
    </row>
    <row r="106">
      <c r="A106" s="3" t="n"/>
      <c r="C106" s="4" t="n"/>
      <c r="E106" s="5">
        <f>IF(OR(C106="",D106="",D106="수입",계산!$B$20=""),"",ROUND(C106*계산!$B$20,0))</f>
        <v/>
      </c>
    </row>
    <row r="107">
      <c r="A107" s="3" t="n"/>
      <c r="C107" s="4" t="n"/>
      <c r="E107" s="5">
        <f>IF(OR(C107="",D107="",D107="수입",계산!$B$20=""),"",ROUND(C107*계산!$B$20,0))</f>
        <v/>
      </c>
    </row>
    <row r="108">
      <c r="A108" s="3" t="n"/>
      <c r="C108" s="4" t="n"/>
      <c r="E108" s="5">
        <f>IF(OR(C108="",D108="",D108="수입",계산!$B$20=""),"",ROUND(C108*계산!$B$20,0))</f>
        <v/>
      </c>
    </row>
    <row r="109">
      <c r="A109" s="3" t="n"/>
      <c r="C109" s="4" t="n"/>
      <c r="E109" s="5">
        <f>IF(OR(C109="",D109="",D109="수입",계산!$B$20=""),"",ROUND(C109*계산!$B$20,0))</f>
        <v/>
      </c>
    </row>
    <row r="110">
      <c r="A110" s="3" t="n"/>
      <c r="C110" s="4" t="n"/>
      <c r="E110" s="5">
        <f>IF(OR(C110="",D110="",D110="수입",계산!$B$20=""),"",ROUND(C110*계산!$B$20,0))</f>
        <v/>
      </c>
    </row>
    <row r="111">
      <c r="A111" s="3" t="n"/>
      <c r="C111" s="4" t="n"/>
      <c r="E111" s="5">
        <f>IF(OR(C111="",D111="",D111="수입",계산!$B$20=""),"",ROUND(C111*계산!$B$20,0))</f>
        <v/>
      </c>
    </row>
    <row r="112">
      <c r="A112" s="3" t="n"/>
      <c r="C112" s="4" t="n"/>
      <c r="E112" s="5">
        <f>IF(OR(C112="",D112="",D112="수입",계산!$B$20=""),"",ROUND(C112*계산!$B$20,0))</f>
        <v/>
      </c>
    </row>
    <row r="113">
      <c r="A113" s="3" t="n"/>
      <c r="C113" s="4" t="n"/>
      <c r="E113" s="5">
        <f>IF(OR(C113="",D113="",D113="수입",계산!$B$20=""),"",ROUND(C113*계산!$B$20,0))</f>
        <v/>
      </c>
    </row>
    <row r="114">
      <c r="A114" s="3" t="n"/>
      <c r="C114" s="4" t="n"/>
      <c r="E114" s="5">
        <f>IF(OR(C114="",D114="",D114="수입",계산!$B$20=""),"",ROUND(C114*계산!$B$20,0))</f>
        <v/>
      </c>
    </row>
    <row r="115">
      <c r="A115" s="3" t="n"/>
      <c r="C115" s="4" t="n"/>
      <c r="E115" s="5">
        <f>IF(OR(C115="",D115="",D115="수입",계산!$B$20=""),"",ROUND(C115*계산!$B$20,0))</f>
        <v/>
      </c>
    </row>
    <row r="116">
      <c r="A116" s="3" t="n"/>
      <c r="C116" s="4" t="n"/>
      <c r="E116" s="5">
        <f>IF(OR(C116="",D116="",D116="수입",계산!$B$20=""),"",ROUND(C116*계산!$B$20,0))</f>
        <v/>
      </c>
    </row>
    <row r="117">
      <c r="A117" s="3" t="n"/>
      <c r="C117" s="4" t="n"/>
      <c r="E117" s="5">
        <f>IF(OR(C117="",D117="",D117="수입",계산!$B$20=""),"",ROUND(C117*계산!$B$20,0))</f>
        <v/>
      </c>
    </row>
    <row r="118">
      <c r="A118" s="3" t="n"/>
      <c r="C118" s="4" t="n"/>
      <c r="E118" s="5">
        <f>IF(OR(C118="",D118="",D118="수입",계산!$B$20=""),"",ROUND(C118*계산!$B$20,0))</f>
        <v/>
      </c>
    </row>
    <row r="119">
      <c r="A119" s="3" t="n"/>
      <c r="C119" s="4" t="n"/>
      <c r="E119" s="5">
        <f>IF(OR(C119="",D119="",D119="수입",계산!$B$20=""),"",ROUND(C119*계산!$B$20,0))</f>
        <v/>
      </c>
    </row>
    <row r="120">
      <c r="A120" s="3" t="n"/>
      <c r="C120" s="4" t="n"/>
      <c r="E120" s="5">
        <f>IF(OR(C120="",D120="",D120="수입",계산!$B$20=""),"",ROUND(C120*계산!$B$20,0))</f>
        <v/>
      </c>
    </row>
    <row r="121">
      <c r="A121" s="3" t="n"/>
      <c r="C121" s="4" t="n"/>
      <c r="E121" s="5">
        <f>IF(OR(C121="",D121="",D121="수입",계산!$B$20=""),"",ROUND(C121*계산!$B$20,0))</f>
        <v/>
      </c>
    </row>
    <row r="122">
      <c r="A122" s="3" t="n"/>
      <c r="C122" s="4" t="n"/>
      <c r="E122" s="5">
        <f>IF(OR(C122="",D122="",D122="수입",계산!$B$20=""),"",ROUND(C122*계산!$B$20,0))</f>
        <v/>
      </c>
    </row>
    <row r="123">
      <c r="A123" s="3" t="n"/>
      <c r="C123" s="4" t="n"/>
      <c r="E123" s="5">
        <f>IF(OR(C123="",D123="",D123="수입",계산!$B$20=""),"",ROUND(C123*계산!$B$20,0))</f>
        <v/>
      </c>
    </row>
    <row r="124">
      <c r="A124" s="3" t="n"/>
      <c r="C124" s="4" t="n"/>
      <c r="E124" s="5">
        <f>IF(OR(C124="",D124="",D124="수입",계산!$B$20=""),"",ROUND(C124*계산!$B$20,0))</f>
        <v/>
      </c>
    </row>
    <row r="125">
      <c r="A125" s="3" t="n"/>
      <c r="C125" s="4" t="n"/>
      <c r="E125" s="5">
        <f>IF(OR(C125="",D125="",D125="수입",계산!$B$20=""),"",ROUND(C125*계산!$B$20,0))</f>
        <v/>
      </c>
    </row>
    <row r="126">
      <c r="A126" s="3" t="n"/>
      <c r="C126" s="4" t="n"/>
      <c r="E126" s="5">
        <f>IF(OR(C126="",D126="",D126="수입",계산!$B$20=""),"",ROUND(C126*계산!$B$20,0))</f>
        <v/>
      </c>
    </row>
    <row r="127">
      <c r="A127" s="3" t="n"/>
      <c r="C127" s="4" t="n"/>
      <c r="E127" s="5">
        <f>IF(OR(C127="",D127="",D127="수입",계산!$B$20=""),"",ROUND(C127*계산!$B$20,0))</f>
        <v/>
      </c>
    </row>
    <row r="128">
      <c r="A128" s="3" t="n"/>
      <c r="C128" s="4" t="n"/>
      <c r="E128" s="5">
        <f>IF(OR(C128="",D128="",D128="수입",계산!$B$20=""),"",ROUND(C128*계산!$B$20,0))</f>
        <v/>
      </c>
    </row>
    <row r="129">
      <c r="A129" s="3" t="n"/>
      <c r="C129" s="4" t="n"/>
      <c r="E129" s="5">
        <f>IF(OR(C129="",D129="",D129="수입",계산!$B$20=""),"",ROUND(C129*계산!$B$20,0))</f>
        <v/>
      </c>
    </row>
    <row r="130">
      <c r="A130" s="3" t="n"/>
      <c r="C130" s="4" t="n"/>
      <c r="E130" s="5">
        <f>IF(OR(C130="",D130="",D130="수입",계산!$B$20=""),"",ROUND(C130*계산!$B$20,0))</f>
        <v/>
      </c>
    </row>
    <row r="131">
      <c r="A131" s="3" t="n"/>
      <c r="C131" s="4" t="n"/>
      <c r="E131" s="5">
        <f>IF(OR(C131="",D131="",D131="수입",계산!$B$20=""),"",ROUND(C131*계산!$B$20,0))</f>
        <v/>
      </c>
    </row>
    <row r="132">
      <c r="A132" s="3" t="n"/>
      <c r="C132" s="4" t="n"/>
      <c r="E132" s="5">
        <f>IF(OR(C132="",D132="",D132="수입",계산!$B$20=""),"",ROUND(C132*계산!$B$20,0))</f>
        <v/>
      </c>
    </row>
    <row r="133">
      <c r="A133" s="3" t="n"/>
      <c r="C133" s="4" t="n"/>
      <c r="E133" s="5">
        <f>IF(OR(C133="",D133="",D133="수입",계산!$B$20=""),"",ROUND(C133*계산!$B$20,0))</f>
        <v/>
      </c>
    </row>
    <row r="134">
      <c r="A134" s="3" t="n"/>
      <c r="C134" s="4" t="n"/>
      <c r="E134" s="5">
        <f>IF(OR(C134="",D134="",D134="수입",계산!$B$20=""),"",ROUND(C134*계산!$B$20,0))</f>
        <v/>
      </c>
    </row>
    <row r="135">
      <c r="A135" s="3" t="n"/>
      <c r="C135" s="4" t="n"/>
      <c r="E135" s="5">
        <f>IF(OR(C135="",D135="",D135="수입",계산!$B$20=""),"",ROUND(C135*계산!$B$20,0))</f>
        <v/>
      </c>
    </row>
    <row r="136">
      <c r="A136" s="3" t="n"/>
      <c r="C136" s="4" t="n"/>
      <c r="E136" s="5">
        <f>IF(OR(C136="",D136="",D136="수입",계산!$B$20=""),"",ROUND(C136*계산!$B$20,0))</f>
        <v/>
      </c>
    </row>
    <row r="137">
      <c r="A137" s="3" t="n"/>
      <c r="C137" s="4" t="n"/>
      <c r="E137" s="5">
        <f>IF(OR(C137="",D137="",D137="수입",계산!$B$20=""),"",ROUND(C137*계산!$B$20,0))</f>
        <v/>
      </c>
    </row>
    <row r="138">
      <c r="A138" s="3" t="n"/>
      <c r="C138" s="4" t="n"/>
      <c r="E138" s="5">
        <f>IF(OR(C138="",D138="",D138="수입",계산!$B$20=""),"",ROUND(C138*계산!$B$20,0))</f>
        <v/>
      </c>
    </row>
    <row r="139">
      <c r="A139" s="3" t="n"/>
      <c r="C139" s="4" t="n"/>
      <c r="E139" s="5">
        <f>IF(OR(C139="",D139="",D139="수입",계산!$B$20=""),"",ROUND(C139*계산!$B$20,0))</f>
        <v/>
      </c>
    </row>
    <row r="140">
      <c r="A140" s="3" t="n"/>
      <c r="C140" s="4" t="n"/>
      <c r="E140" s="5">
        <f>IF(OR(C140="",D140="",D140="수입",계산!$B$20=""),"",ROUND(C140*계산!$B$20,0))</f>
        <v/>
      </c>
    </row>
    <row r="141">
      <c r="A141" s="3" t="n"/>
      <c r="C141" s="4" t="n"/>
      <c r="E141" s="5">
        <f>IF(OR(C141="",D141="",D141="수입",계산!$B$20=""),"",ROUND(C141*계산!$B$20,0))</f>
        <v/>
      </c>
    </row>
    <row r="142">
      <c r="A142" s="3" t="n"/>
      <c r="C142" s="4" t="n"/>
      <c r="E142" s="5">
        <f>IF(OR(C142="",D142="",D142="수입",계산!$B$20=""),"",ROUND(C142*계산!$B$20,0))</f>
        <v/>
      </c>
    </row>
    <row r="143">
      <c r="A143" s="3" t="n"/>
      <c r="C143" s="4" t="n"/>
      <c r="E143" s="5">
        <f>IF(OR(C143="",D143="",D143="수입",계산!$B$20=""),"",ROUND(C143*계산!$B$20,0))</f>
        <v/>
      </c>
    </row>
    <row r="144">
      <c r="A144" s="3" t="n"/>
      <c r="C144" s="4" t="n"/>
      <c r="E144" s="5">
        <f>IF(OR(C144="",D144="",D144="수입",계산!$B$20=""),"",ROUND(C144*계산!$B$20,0))</f>
        <v/>
      </c>
    </row>
    <row r="145">
      <c r="A145" s="3" t="n"/>
      <c r="C145" s="4" t="n"/>
      <c r="E145" s="5">
        <f>IF(OR(C145="",D145="",D145="수입",계산!$B$20=""),"",ROUND(C145*계산!$B$20,0))</f>
        <v/>
      </c>
    </row>
    <row r="146">
      <c r="A146" s="3" t="n"/>
      <c r="C146" s="4" t="n"/>
      <c r="E146" s="5">
        <f>IF(OR(C146="",D146="",D146="수입",계산!$B$20=""),"",ROUND(C146*계산!$B$20,0))</f>
        <v/>
      </c>
    </row>
    <row r="147">
      <c r="A147" s="3" t="n"/>
      <c r="C147" s="4" t="n"/>
      <c r="E147" s="5">
        <f>IF(OR(C147="",D147="",D147="수입",계산!$B$20=""),"",ROUND(C147*계산!$B$20,0))</f>
        <v/>
      </c>
    </row>
    <row r="148">
      <c r="A148" s="3" t="n"/>
      <c r="C148" s="4" t="n"/>
      <c r="E148" s="5">
        <f>IF(OR(C148="",D148="",D148="수입",계산!$B$20=""),"",ROUND(C148*계산!$B$20,0))</f>
        <v/>
      </c>
    </row>
    <row r="149">
      <c r="A149" s="3" t="n"/>
      <c r="C149" s="4" t="n"/>
      <c r="E149" s="5">
        <f>IF(OR(C149="",D149="",D149="수입",계산!$B$20=""),"",ROUND(C149*계산!$B$20,0))</f>
        <v/>
      </c>
    </row>
    <row r="150">
      <c r="A150" s="3" t="n"/>
      <c r="C150" s="4" t="n"/>
      <c r="E150" s="5">
        <f>IF(OR(C150="",D150="",D150="수입",계산!$B$20=""),"",ROUND(C150*계산!$B$20,0))</f>
        <v/>
      </c>
    </row>
    <row r="151">
      <c r="A151" s="3" t="n"/>
      <c r="C151" s="4" t="n"/>
      <c r="E151" s="5">
        <f>IF(OR(C151="",D151="",D151="수입",계산!$B$20=""),"",ROUND(C151*계산!$B$20,0))</f>
        <v/>
      </c>
    </row>
    <row r="152">
      <c r="A152" s="3" t="n"/>
      <c r="C152" s="4" t="n"/>
      <c r="E152" s="5">
        <f>IF(OR(C152="",D152="",D152="수입",계산!$B$20=""),"",ROUND(C152*계산!$B$20,0))</f>
        <v/>
      </c>
    </row>
    <row r="153">
      <c r="A153" s="3" t="n"/>
      <c r="C153" s="4" t="n"/>
      <c r="E153" s="5">
        <f>IF(OR(C153="",D153="",D153="수입",계산!$B$20=""),"",ROUND(C153*계산!$B$20,0))</f>
        <v/>
      </c>
    </row>
    <row r="154">
      <c r="A154" s="3" t="n"/>
      <c r="C154" s="4" t="n"/>
      <c r="E154" s="5">
        <f>IF(OR(C154="",D154="",D154="수입",계산!$B$20=""),"",ROUND(C154*계산!$B$20,0))</f>
        <v/>
      </c>
    </row>
    <row r="155">
      <c r="A155" s="3" t="n"/>
      <c r="C155" s="4" t="n"/>
      <c r="E155" s="5">
        <f>IF(OR(C155="",D155="",D155="수입",계산!$B$20=""),"",ROUND(C155*계산!$B$20,0))</f>
        <v/>
      </c>
    </row>
    <row r="156">
      <c r="A156" s="3" t="n"/>
      <c r="C156" s="4" t="n"/>
      <c r="E156" s="5">
        <f>IF(OR(C156="",D156="",D156="수입",계산!$B$20=""),"",ROUND(C156*계산!$B$20,0))</f>
        <v/>
      </c>
    </row>
    <row r="157">
      <c r="A157" s="3" t="n"/>
      <c r="C157" s="4" t="n"/>
      <c r="E157" s="5">
        <f>IF(OR(C157="",D157="",D157="수입",계산!$B$20=""),"",ROUND(C157*계산!$B$20,0))</f>
        <v/>
      </c>
    </row>
    <row r="158">
      <c r="A158" s="3" t="n"/>
      <c r="C158" s="4" t="n"/>
      <c r="E158" s="5">
        <f>IF(OR(C158="",D158="",D158="수입",계산!$B$20=""),"",ROUND(C158*계산!$B$20,0))</f>
        <v/>
      </c>
    </row>
    <row r="159">
      <c r="A159" s="3" t="n"/>
      <c r="C159" s="4" t="n"/>
      <c r="E159" s="5">
        <f>IF(OR(C159="",D159="",D159="수입",계산!$B$20=""),"",ROUND(C159*계산!$B$20,0))</f>
        <v/>
      </c>
    </row>
    <row r="160">
      <c r="A160" s="3" t="n"/>
      <c r="C160" s="4" t="n"/>
      <c r="E160" s="5">
        <f>IF(OR(C160="",D160="",D160="수입",계산!$B$20=""),"",ROUND(C160*계산!$B$20,0))</f>
        <v/>
      </c>
    </row>
    <row r="161">
      <c r="A161" s="3" t="n"/>
      <c r="C161" s="4" t="n"/>
      <c r="E161" s="5">
        <f>IF(OR(C161="",D161="",D161="수입",계산!$B$20=""),"",ROUND(C161*계산!$B$20,0))</f>
        <v/>
      </c>
    </row>
    <row r="162">
      <c r="A162" s="3" t="n"/>
      <c r="C162" s="4" t="n"/>
      <c r="E162" s="5">
        <f>IF(OR(C162="",D162="",D162="수입",계산!$B$20=""),"",ROUND(C162*계산!$B$20,0))</f>
        <v/>
      </c>
    </row>
    <row r="163">
      <c r="A163" s="3" t="n"/>
      <c r="C163" s="4" t="n"/>
      <c r="E163" s="5">
        <f>IF(OR(C163="",D163="",D163="수입",계산!$B$20=""),"",ROUND(C163*계산!$B$20,0))</f>
        <v/>
      </c>
    </row>
    <row r="164">
      <c r="A164" s="3" t="n"/>
      <c r="C164" s="4" t="n"/>
      <c r="E164" s="5">
        <f>IF(OR(C164="",D164="",D164="수입",계산!$B$20=""),"",ROUND(C164*계산!$B$20,0))</f>
        <v/>
      </c>
    </row>
    <row r="165">
      <c r="A165" s="3" t="n"/>
      <c r="C165" s="4" t="n"/>
      <c r="E165" s="5">
        <f>IF(OR(C165="",D165="",D165="수입",계산!$B$20=""),"",ROUND(C165*계산!$B$20,0))</f>
        <v/>
      </c>
    </row>
    <row r="166">
      <c r="A166" s="3" t="n"/>
      <c r="C166" s="4" t="n"/>
      <c r="E166" s="5">
        <f>IF(OR(C166="",D166="",D166="수입",계산!$B$20=""),"",ROUND(C166*계산!$B$20,0))</f>
        <v/>
      </c>
    </row>
    <row r="167">
      <c r="A167" s="3" t="n"/>
      <c r="C167" s="4" t="n"/>
      <c r="E167" s="5">
        <f>IF(OR(C167="",D167="",D167="수입",계산!$B$20=""),"",ROUND(C167*계산!$B$20,0))</f>
        <v/>
      </c>
    </row>
    <row r="168">
      <c r="A168" s="3" t="n"/>
      <c r="C168" s="4" t="n"/>
      <c r="E168" s="5">
        <f>IF(OR(C168="",D168="",D168="수입",계산!$B$20=""),"",ROUND(C168*계산!$B$20,0))</f>
        <v/>
      </c>
    </row>
    <row r="169">
      <c r="A169" s="3" t="n"/>
      <c r="C169" s="4" t="n"/>
      <c r="E169" s="5">
        <f>IF(OR(C169="",D169="",D169="수입",계산!$B$20=""),"",ROUND(C169*계산!$B$20,0))</f>
        <v/>
      </c>
    </row>
    <row r="170">
      <c r="A170" s="3" t="n"/>
      <c r="C170" s="4" t="n"/>
      <c r="E170" s="5">
        <f>IF(OR(C170="",D170="",D170="수입",계산!$B$20=""),"",ROUND(C170*계산!$B$20,0))</f>
        <v/>
      </c>
    </row>
    <row r="171">
      <c r="A171" s="3" t="n"/>
      <c r="C171" s="4" t="n"/>
      <c r="E171" s="5">
        <f>IF(OR(C171="",D171="",D171="수입",계산!$B$20=""),"",ROUND(C171*계산!$B$20,0))</f>
        <v/>
      </c>
    </row>
    <row r="172">
      <c r="A172" s="3" t="n"/>
      <c r="C172" s="4" t="n"/>
      <c r="E172" s="5">
        <f>IF(OR(C172="",D172="",D172="수입",계산!$B$20=""),"",ROUND(C172*계산!$B$20,0))</f>
        <v/>
      </c>
    </row>
    <row r="173">
      <c r="A173" s="3" t="n"/>
      <c r="C173" s="4" t="n"/>
      <c r="E173" s="5">
        <f>IF(OR(C173="",D173="",D173="수입",계산!$B$20=""),"",ROUND(C173*계산!$B$20,0))</f>
        <v/>
      </c>
    </row>
    <row r="174">
      <c r="A174" s="3" t="n"/>
      <c r="C174" s="4" t="n"/>
      <c r="E174" s="5">
        <f>IF(OR(C174="",D174="",D174="수입",계산!$B$20=""),"",ROUND(C174*계산!$B$20,0))</f>
        <v/>
      </c>
    </row>
    <row r="175">
      <c r="A175" s="3" t="n"/>
      <c r="C175" s="4" t="n"/>
      <c r="E175" s="5">
        <f>IF(OR(C175="",D175="",D175="수입",계산!$B$20=""),"",ROUND(C175*계산!$B$20,0))</f>
        <v/>
      </c>
    </row>
    <row r="176">
      <c r="A176" s="3" t="n"/>
      <c r="C176" s="4" t="n"/>
      <c r="E176" s="5">
        <f>IF(OR(C176="",D176="",D176="수입",계산!$B$20=""),"",ROUND(C176*계산!$B$20,0))</f>
        <v/>
      </c>
    </row>
    <row r="177">
      <c r="A177" s="3" t="n"/>
      <c r="C177" s="4" t="n"/>
      <c r="E177" s="5">
        <f>IF(OR(C177="",D177="",D177="수입",계산!$B$20=""),"",ROUND(C177*계산!$B$20,0))</f>
        <v/>
      </c>
    </row>
    <row r="178">
      <c r="A178" s="3" t="n"/>
      <c r="C178" s="4" t="n"/>
      <c r="E178" s="5">
        <f>IF(OR(C178="",D178="",D178="수입",계산!$B$20=""),"",ROUND(C178*계산!$B$20,0))</f>
        <v/>
      </c>
    </row>
    <row r="179">
      <c r="A179" s="3" t="n"/>
      <c r="C179" s="4" t="n"/>
      <c r="E179" s="5">
        <f>IF(OR(C179="",D179="",D179="수입",계산!$B$20=""),"",ROUND(C179*계산!$B$20,0))</f>
        <v/>
      </c>
    </row>
    <row r="180">
      <c r="A180" s="3" t="n"/>
      <c r="C180" s="4" t="n"/>
      <c r="E180" s="5">
        <f>IF(OR(C180="",D180="",D180="수입",계산!$B$20=""),"",ROUND(C180*계산!$B$20,0))</f>
        <v/>
      </c>
    </row>
    <row r="181">
      <c r="A181" s="3" t="n"/>
      <c r="C181" s="4" t="n"/>
      <c r="E181" s="5">
        <f>IF(OR(C181="",D181="",D181="수입",계산!$B$20=""),"",ROUND(C181*계산!$B$20,0))</f>
        <v/>
      </c>
    </row>
    <row r="182">
      <c r="A182" s="3" t="n"/>
      <c r="C182" s="4" t="n"/>
      <c r="E182" s="5">
        <f>IF(OR(C182="",D182="",D182="수입",계산!$B$20=""),"",ROUND(C182*계산!$B$20,0))</f>
        <v/>
      </c>
    </row>
    <row r="183">
      <c r="A183" s="3" t="n"/>
      <c r="C183" s="4" t="n"/>
      <c r="E183" s="5">
        <f>IF(OR(C183="",D183="",D183="수입",계산!$B$20=""),"",ROUND(C183*계산!$B$20,0))</f>
        <v/>
      </c>
    </row>
    <row r="184">
      <c r="A184" s="3" t="n"/>
      <c r="C184" s="4" t="n"/>
      <c r="E184" s="5">
        <f>IF(OR(C184="",D184="",D184="수입",계산!$B$20=""),"",ROUND(C184*계산!$B$20,0))</f>
        <v/>
      </c>
    </row>
    <row r="185">
      <c r="A185" s="3" t="n"/>
      <c r="C185" s="4" t="n"/>
      <c r="E185" s="5">
        <f>IF(OR(C185="",D185="",D185="수입",계산!$B$20=""),"",ROUND(C185*계산!$B$20,0))</f>
        <v/>
      </c>
    </row>
    <row r="186">
      <c r="A186" s="3" t="n"/>
      <c r="C186" s="4" t="n"/>
      <c r="E186" s="5">
        <f>IF(OR(C186="",D186="",D186="수입",계산!$B$20=""),"",ROUND(C186*계산!$B$20,0))</f>
        <v/>
      </c>
    </row>
    <row r="187">
      <c r="A187" s="3" t="n"/>
      <c r="C187" s="4" t="n"/>
      <c r="E187" s="5">
        <f>IF(OR(C187="",D187="",D187="수입",계산!$B$20=""),"",ROUND(C187*계산!$B$20,0))</f>
        <v/>
      </c>
    </row>
    <row r="188">
      <c r="A188" s="3" t="n"/>
      <c r="C188" s="4" t="n"/>
      <c r="E188" s="5">
        <f>IF(OR(C188="",D188="",D188="수입",계산!$B$20=""),"",ROUND(C188*계산!$B$20,0))</f>
        <v/>
      </c>
    </row>
    <row r="189">
      <c r="A189" s="3" t="n"/>
      <c r="C189" s="4" t="n"/>
      <c r="E189" s="5">
        <f>IF(OR(C189="",D189="",D189="수입",계산!$B$20=""),"",ROUND(C189*계산!$B$20,0))</f>
        <v/>
      </c>
    </row>
    <row r="190">
      <c r="A190" s="3" t="n"/>
      <c r="C190" s="4" t="n"/>
      <c r="E190" s="5">
        <f>IF(OR(C190="",D190="",D190="수입",계산!$B$20=""),"",ROUND(C190*계산!$B$20,0))</f>
        <v/>
      </c>
    </row>
    <row r="191">
      <c r="A191" s="3" t="n"/>
      <c r="C191" s="4" t="n"/>
      <c r="E191" s="5">
        <f>IF(OR(C191="",D191="",D191="수입",계산!$B$20=""),"",ROUND(C191*계산!$B$20,0))</f>
        <v/>
      </c>
    </row>
    <row r="192">
      <c r="A192" s="3" t="n"/>
      <c r="C192" s="4" t="n"/>
      <c r="E192" s="5">
        <f>IF(OR(C192="",D192="",D192="수입",계산!$B$20=""),"",ROUND(C192*계산!$B$20,0))</f>
        <v/>
      </c>
    </row>
    <row r="193">
      <c r="A193" s="3" t="n"/>
      <c r="C193" s="4" t="n"/>
      <c r="E193" s="5">
        <f>IF(OR(C193="",D193="",D193="수입",계산!$B$20=""),"",ROUND(C193*계산!$B$20,0))</f>
        <v/>
      </c>
    </row>
    <row r="194">
      <c r="A194" s="3" t="n"/>
      <c r="C194" s="4" t="n"/>
      <c r="E194" s="5">
        <f>IF(OR(C194="",D194="",D194="수입",계산!$B$20=""),"",ROUND(C194*계산!$B$20,0))</f>
        <v/>
      </c>
    </row>
    <row r="195">
      <c r="A195" s="3" t="n"/>
      <c r="C195" s="4" t="n"/>
      <c r="E195" s="5">
        <f>IF(OR(C195="",D195="",D195="수입",계산!$B$20=""),"",ROUND(C195*계산!$B$20,0))</f>
        <v/>
      </c>
    </row>
    <row r="196">
      <c r="A196" s="3" t="n"/>
      <c r="C196" s="4" t="n"/>
      <c r="E196" s="5">
        <f>IF(OR(C196="",D196="",D196="수입",계산!$B$20=""),"",ROUND(C196*계산!$B$20,0))</f>
        <v/>
      </c>
    </row>
    <row r="197">
      <c r="A197" s="3" t="n"/>
      <c r="C197" s="4" t="n"/>
      <c r="E197" s="5">
        <f>IF(OR(C197="",D197="",D197="수입",계산!$B$20=""),"",ROUND(C197*계산!$B$20,0))</f>
        <v/>
      </c>
    </row>
    <row r="198">
      <c r="A198" s="3" t="n"/>
      <c r="C198" s="4" t="n"/>
      <c r="E198" s="5">
        <f>IF(OR(C198="",D198="",D198="수입",계산!$B$20=""),"",ROUND(C198*계산!$B$20,0))</f>
        <v/>
      </c>
    </row>
    <row r="199">
      <c r="A199" s="3" t="n"/>
      <c r="C199" s="4" t="n"/>
      <c r="E199" s="5">
        <f>IF(OR(C199="",D199="",D199="수입",계산!$B$20=""),"",ROUND(C199*계산!$B$20,0))</f>
        <v/>
      </c>
    </row>
    <row r="200">
      <c r="A200" s="3" t="n"/>
      <c r="C200" s="4" t="n"/>
      <c r="E200" s="5">
        <f>IF(OR(C200="",D200="",D200="수입",계산!$B$20=""),"",ROUND(C200*계산!$B$20,0))</f>
        <v/>
      </c>
    </row>
    <row r="201">
      <c r="A201" s="3" t="n"/>
      <c r="C201" s="4" t="n"/>
      <c r="E201" s="5">
        <f>IF(OR(C201="",D201="",D201="수입",계산!$B$20=""),"",ROUND(C201*계산!$B$20,0))</f>
        <v/>
      </c>
    </row>
    <row r="202">
      <c r="A202" s="3" t="n"/>
      <c r="C202" s="4" t="n"/>
      <c r="E202" s="5">
        <f>IF(OR(C202="",D202="",D202="수입",계산!$B$20=""),"",ROUND(C202*계산!$B$20,0))</f>
        <v/>
      </c>
    </row>
    <row r="203">
      <c r="A203" s="3" t="n"/>
      <c r="C203" s="4" t="n"/>
      <c r="E203" s="5">
        <f>IF(OR(C203="",D203="",D203="수입",계산!$B$20=""),"",ROUND(C203*계산!$B$20,0))</f>
        <v/>
      </c>
    </row>
    <row r="204">
      <c r="A204" s="3" t="n"/>
      <c r="C204" s="4" t="n"/>
      <c r="E204" s="5">
        <f>IF(OR(C204="",D204="",D204="수입",계산!$B$20=""),"",ROUND(C204*계산!$B$20,0))</f>
        <v/>
      </c>
    </row>
    <row r="205">
      <c r="A205" s="3" t="n"/>
      <c r="C205" s="4" t="n"/>
      <c r="E205" s="5">
        <f>IF(OR(C205="",D205="",D205="수입",계산!$B$20=""),"",ROUND(C205*계산!$B$20,0))</f>
        <v/>
      </c>
    </row>
    <row r="206">
      <c r="A206" s="3" t="n"/>
      <c r="C206" s="4" t="n"/>
      <c r="E206" s="5">
        <f>IF(OR(C206="",D206="",D206="수입",계산!$B$20=""),"",ROUND(C206*계산!$B$20,0))</f>
        <v/>
      </c>
    </row>
    <row r="207">
      <c r="A207" s="3" t="n"/>
      <c r="C207" s="4" t="n"/>
      <c r="E207" s="5">
        <f>IF(OR(C207="",D207="",D207="수입",계산!$B$20=""),"",ROUND(C207*계산!$B$20,0))</f>
        <v/>
      </c>
    </row>
    <row r="208">
      <c r="A208" s="3" t="n"/>
      <c r="C208" s="4" t="n"/>
      <c r="E208" s="5">
        <f>IF(OR(C208="",D208="",D208="수입",계산!$B$20=""),"",ROUND(C208*계산!$B$20,0))</f>
        <v/>
      </c>
    </row>
    <row r="209">
      <c r="A209" s="3" t="n"/>
      <c r="C209" s="4" t="n"/>
      <c r="E209" s="5">
        <f>IF(OR(C209="",D209="",D209="수입",계산!$B$20=""),"",ROUND(C209*계산!$B$20,0))</f>
        <v/>
      </c>
    </row>
    <row r="210">
      <c r="A210" s="3" t="n"/>
      <c r="C210" s="4" t="n"/>
      <c r="E210" s="5">
        <f>IF(OR(C210="",D210="",D210="수입",계산!$B$20=""),"",ROUND(C210*계산!$B$20,0))</f>
        <v/>
      </c>
    </row>
    <row r="211">
      <c r="A211" s="3" t="n"/>
      <c r="C211" s="4" t="n"/>
      <c r="E211" s="5">
        <f>IF(OR(C211="",D211="",D211="수입",계산!$B$20=""),"",ROUND(C211*계산!$B$20,0))</f>
        <v/>
      </c>
    </row>
    <row r="212">
      <c r="A212" s="3" t="n"/>
      <c r="C212" s="4" t="n"/>
      <c r="E212" s="5">
        <f>IF(OR(C212="",D212="",D212="수입",계산!$B$20=""),"",ROUND(C212*계산!$B$20,0))</f>
        <v/>
      </c>
    </row>
    <row r="213">
      <c r="A213" s="3" t="n"/>
      <c r="C213" s="4" t="n"/>
      <c r="E213" s="5">
        <f>IF(OR(C213="",D213="",D213="수입",계산!$B$20=""),"",ROUND(C213*계산!$B$20,0))</f>
        <v/>
      </c>
    </row>
    <row r="214">
      <c r="A214" s="3" t="n"/>
      <c r="C214" s="4" t="n"/>
      <c r="E214" s="5">
        <f>IF(OR(C214="",D214="",D214="수입",계산!$B$20=""),"",ROUND(C214*계산!$B$20,0))</f>
        <v/>
      </c>
    </row>
    <row r="215">
      <c r="A215" s="3" t="n"/>
      <c r="C215" s="4" t="n"/>
      <c r="E215" s="5">
        <f>IF(OR(C215="",D215="",D215="수입",계산!$B$20=""),"",ROUND(C215*계산!$B$20,0))</f>
        <v/>
      </c>
    </row>
    <row r="216">
      <c r="A216" s="3" t="n"/>
      <c r="C216" s="4" t="n"/>
      <c r="E216" s="5">
        <f>IF(OR(C216="",D216="",D216="수입",계산!$B$20=""),"",ROUND(C216*계산!$B$20,0))</f>
        <v/>
      </c>
    </row>
    <row r="217">
      <c r="A217" s="3" t="n"/>
      <c r="C217" s="4" t="n"/>
      <c r="E217" s="5">
        <f>IF(OR(C217="",D217="",D217="수입",계산!$B$20=""),"",ROUND(C217*계산!$B$20,0))</f>
        <v/>
      </c>
    </row>
    <row r="218">
      <c r="A218" s="3" t="n"/>
      <c r="C218" s="4" t="n"/>
      <c r="E218" s="5">
        <f>IF(OR(C218="",D218="",D218="수입",계산!$B$20=""),"",ROUND(C218*계산!$B$20,0))</f>
        <v/>
      </c>
    </row>
    <row r="219">
      <c r="A219" s="3" t="n"/>
      <c r="C219" s="4" t="n"/>
      <c r="E219" s="5">
        <f>IF(OR(C219="",D219="",D219="수입",계산!$B$20=""),"",ROUND(C219*계산!$B$20,0))</f>
        <v/>
      </c>
    </row>
    <row r="220">
      <c r="A220" s="3" t="n"/>
      <c r="C220" s="4" t="n"/>
      <c r="E220" s="5">
        <f>IF(OR(C220="",D220="",D220="수입",계산!$B$20=""),"",ROUND(C220*계산!$B$20,0))</f>
        <v/>
      </c>
    </row>
    <row r="221">
      <c r="A221" s="3" t="n"/>
      <c r="C221" s="4" t="n"/>
      <c r="E221" s="5">
        <f>IF(OR(C221="",D221="",D221="수입",계산!$B$20=""),"",ROUND(C221*계산!$B$20,0))</f>
        <v/>
      </c>
    </row>
    <row r="222">
      <c r="A222" s="3" t="n"/>
      <c r="C222" s="4" t="n"/>
      <c r="E222" s="5">
        <f>IF(OR(C222="",D222="",D222="수입",계산!$B$20=""),"",ROUND(C222*계산!$B$20,0))</f>
        <v/>
      </c>
    </row>
    <row r="223">
      <c r="A223" s="3" t="n"/>
      <c r="C223" s="4" t="n"/>
      <c r="E223" s="5">
        <f>IF(OR(C223="",D223="",D223="수입",계산!$B$20=""),"",ROUND(C223*계산!$B$20,0))</f>
        <v/>
      </c>
    </row>
    <row r="224">
      <c r="A224" s="3" t="n"/>
      <c r="C224" s="4" t="n"/>
      <c r="E224" s="5">
        <f>IF(OR(C224="",D224="",D224="수입",계산!$B$20=""),"",ROUND(C224*계산!$B$20,0))</f>
        <v/>
      </c>
    </row>
    <row r="225">
      <c r="A225" s="3" t="n"/>
      <c r="C225" s="4" t="n"/>
      <c r="E225" s="5">
        <f>IF(OR(C225="",D225="",D225="수입",계산!$B$20=""),"",ROUND(C225*계산!$B$20,0))</f>
        <v/>
      </c>
    </row>
    <row r="226">
      <c r="A226" s="3" t="n"/>
      <c r="C226" s="4" t="n"/>
      <c r="E226" s="5">
        <f>IF(OR(C226="",D226="",D226="수입",계산!$B$20=""),"",ROUND(C226*계산!$B$20,0))</f>
        <v/>
      </c>
    </row>
    <row r="227">
      <c r="A227" s="3" t="n"/>
      <c r="C227" s="4" t="n"/>
      <c r="E227" s="5">
        <f>IF(OR(C227="",D227="",D227="수입",계산!$B$20=""),"",ROUND(C227*계산!$B$20,0))</f>
        <v/>
      </c>
    </row>
    <row r="228">
      <c r="A228" s="3" t="n"/>
      <c r="C228" s="4" t="n"/>
      <c r="E228" s="5">
        <f>IF(OR(C228="",D228="",D228="수입",계산!$B$20=""),"",ROUND(C228*계산!$B$20,0))</f>
        <v/>
      </c>
    </row>
    <row r="229">
      <c r="A229" s="3" t="n"/>
      <c r="C229" s="4" t="n"/>
      <c r="E229" s="5">
        <f>IF(OR(C229="",D229="",D229="수입",계산!$B$20=""),"",ROUND(C229*계산!$B$20,0))</f>
        <v/>
      </c>
    </row>
    <row r="230">
      <c r="A230" s="3" t="n"/>
      <c r="C230" s="4" t="n"/>
      <c r="E230" s="5">
        <f>IF(OR(C230="",D230="",D230="수입",계산!$B$20=""),"",ROUND(C230*계산!$B$20,0))</f>
        <v/>
      </c>
    </row>
    <row r="231">
      <c r="A231" s="3" t="n"/>
      <c r="C231" s="4" t="n"/>
      <c r="E231" s="5">
        <f>IF(OR(C231="",D231="",D231="수입",계산!$B$20=""),"",ROUND(C231*계산!$B$20,0))</f>
        <v/>
      </c>
    </row>
    <row r="232">
      <c r="A232" s="3" t="n"/>
      <c r="C232" s="4" t="n"/>
      <c r="E232" s="5">
        <f>IF(OR(C232="",D232="",D232="수입",계산!$B$20=""),"",ROUND(C232*계산!$B$20,0))</f>
        <v/>
      </c>
    </row>
    <row r="233">
      <c r="A233" s="3" t="n"/>
      <c r="C233" s="4" t="n"/>
      <c r="E233" s="5">
        <f>IF(OR(C233="",D233="",D233="수입",계산!$B$20=""),"",ROUND(C233*계산!$B$20,0))</f>
        <v/>
      </c>
    </row>
    <row r="234">
      <c r="A234" s="3" t="n"/>
      <c r="C234" s="4" t="n"/>
      <c r="E234" s="5">
        <f>IF(OR(C234="",D234="",D234="수입",계산!$B$20=""),"",ROUND(C234*계산!$B$20,0))</f>
        <v/>
      </c>
    </row>
    <row r="235">
      <c r="A235" s="3" t="n"/>
      <c r="C235" s="4" t="n"/>
      <c r="E235" s="5">
        <f>IF(OR(C235="",D235="",D235="수입",계산!$B$20=""),"",ROUND(C235*계산!$B$20,0))</f>
        <v/>
      </c>
    </row>
    <row r="236">
      <c r="A236" s="3" t="n"/>
      <c r="C236" s="4" t="n"/>
      <c r="E236" s="5">
        <f>IF(OR(C236="",D236="",D236="수입",계산!$B$20=""),"",ROUND(C236*계산!$B$20,0))</f>
        <v/>
      </c>
    </row>
    <row r="237">
      <c r="A237" s="3" t="n"/>
      <c r="C237" s="4" t="n"/>
      <c r="E237" s="5">
        <f>IF(OR(C237="",D237="",D237="수입",계산!$B$20=""),"",ROUND(C237*계산!$B$20,0))</f>
        <v/>
      </c>
    </row>
    <row r="238">
      <c r="A238" s="3" t="n"/>
      <c r="C238" s="4" t="n"/>
      <c r="E238" s="5">
        <f>IF(OR(C238="",D238="",D238="수입",계산!$B$20=""),"",ROUND(C238*계산!$B$20,0))</f>
        <v/>
      </c>
    </row>
    <row r="239">
      <c r="A239" s="3" t="n"/>
      <c r="C239" s="4" t="n"/>
      <c r="E239" s="5">
        <f>IF(OR(C239="",D239="",D239="수입",계산!$B$20=""),"",ROUND(C239*계산!$B$20,0))</f>
        <v/>
      </c>
    </row>
    <row r="240">
      <c r="A240" s="3" t="n"/>
      <c r="C240" s="4" t="n"/>
      <c r="E240" s="5">
        <f>IF(OR(C240="",D240="",D240="수입",계산!$B$20=""),"",ROUND(C240*계산!$B$20,0))</f>
        <v/>
      </c>
    </row>
    <row r="241">
      <c r="A241" s="3" t="n"/>
      <c r="C241" s="4" t="n"/>
      <c r="E241" s="5">
        <f>IF(OR(C241="",D241="",D241="수입",계산!$B$20=""),"",ROUND(C241*계산!$B$20,0))</f>
        <v/>
      </c>
    </row>
    <row r="242">
      <c r="A242" s="3" t="n"/>
      <c r="C242" s="4" t="n"/>
      <c r="E242" s="5">
        <f>IF(OR(C242="",D242="",D242="수입",계산!$B$20=""),"",ROUND(C242*계산!$B$20,0))</f>
        <v/>
      </c>
    </row>
    <row r="243">
      <c r="A243" s="3" t="n"/>
      <c r="C243" s="4" t="n"/>
      <c r="E243" s="5">
        <f>IF(OR(C243="",D243="",D243="수입",계산!$B$20=""),"",ROUND(C243*계산!$B$20,0))</f>
        <v/>
      </c>
    </row>
    <row r="244">
      <c r="A244" s="3" t="n"/>
      <c r="C244" s="4" t="n"/>
      <c r="E244" s="5">
        <f>IF(OR(C244="",D244="",D244="수입",계산!$B$20=""),"",ROUND(C244*계산!$B$20,0))</f>
        <v/>
      </c>
    </row>
    <row r="245">
      <c r="A245" s="3" t="n"/>
      <c r="C245" s="4" t="n"/>
      <c r="E245" s="5">
        <f>IF(OR(C245="",D245="",D245="수입",계산!$B$20=""),"",ROUND(C245*계산!$B$20,0))</f>
        <v/>
      </c>
    </row>
    <row r="246">
      <c r="A246" s="3" t="n"/>
      <c r="C246" s="4" t="n"/>
      <c r="E246" s="5">
        <f>IF(OR(C246="",D246="",D246="수입",계산!$B$20=""),"",ROUND(C246*계산!$B$20,0))</f>
        <v/>
      </c>
    </row>
    <row r="247">
      <c r="A247" s="3" t="n"/>
      <c r="C247" s="4" t="n"/>
      <c r="E247" s="5">
        <f>IF(OR(C247="",D247="",D247="수입",계산!$B$20=""),"",ROUND(C247*계산!$B$20,0))</f>
        <v/>
      </c>
    </row>
    <row r="248">
      <c r="A248" s="3" t="n"/>
      <c r="C248" s="4" t="n"/>
      <c r="E248" s="5">
        <f>IF(OR(C248="",D248="",D248="수입",계산!$B$20=""),"",ROUND(C248*계산!$B$20,0))</f>
        <v/>
      </c>
    </row>
    <row r="249">
      <c r="A249" s="3" t="n"/>
      <c r="C249" s="4" t="n"/>
      <c r="E249" s="5">
        <f>IF(OR(C249="",D249="",D249="수입",계산!$B$20=""),"",ROUND(C249*계산!$B$20,0))</f>
        <v/>
      </c>
    </row>
    <row r="250">
      <c r="A250" s="3" t="n"/>
      <c r="C250" s="4" t="n"/>
      <c r="E250" s="5">
        <f>IF(OR(C250="",D250="",D250="수입",계산!$B$20=""),"",ROUND(C250*계산!$B$20,0))</f>
        <v/>
      </c>
    </row>
    <row r="251">
      <c r="A251" s="3" t="n"/>
      <c r="C251" s="4" t="n"/>
      <c r="E251" s="5">
        <f>IF(OR(C251="",D251="",D251="수입",계산!$B$20=""),"",ROUND(C251*계산!$B$20,0))</f>
        <v/>
      </c>
    </row>
    <row r="252">
      <c r="A252" s="3" t="n"/>
      <c r="C252" s="4" t="n"/>
      <c r="E252" s="5">
        <f>IF(OR(C252="",D252="",D252="수입",계산!$B$20=""),"",ROUND(C252*계산!$B$20,0))</f>
        <v/>
      </c>
    </row>
    <row r="253">
      <c r="A253" s="3" t="n"/>
      <c r="C253" s="4" t="n"/>
      <c r="E253" s="5">
        <f>IF(OR(C253="",D253="",D253="수입",계산!$B$20=""),"",ROUND(C253*계산!$B$20,0))</f>
        <v/>
      </c>
    </row>
    <row r="254">
      <c r="A254" s="3" t="n"/>
      <c r="C254" s="4" t="n"/>
      <c r="E254" s="5">
        <f>IF(OR(C254="",D254="",D254="수입",계산!$B$20=""),"",ROUND(C254*계산!$B$20,0))</f>
        <v/>
      </c>
    </row>
    <row r="255">
      <c r="A255" s="3" t="n"/>
      <c r="C255" s="4" t="n"/>
      <c r="E255" s="5">
        <f>IF(OR(C255="",D255="",D255="수입",계산!$B$20=""),"",ROUND(C255*계산!$B$20,0))</f>
        <v/>
      </c>
    </row>
    <row r="256">
      <c r="A256" s="3" t="n"/>
      <c r="C256" s="4" t="n"/>
      <c r="E256" s="5">
        <f>IF(OR(C256="",D256="",D256="수입",계산!$B$20=""),"",ROUND(C256*계산!$B$20,0))</f>
        <v/>
      </c>
    </row>
    <row r="257">
      <c r="A257" s="3" t="n"/>
      <c r="C257" s="4" t="n"/>
      <c r="E257" s="5">
        <f>IF(OR(C257="",D257="",D257="수입",계산!$B$20=""),"",ROUND(C257*계산!$B$20,0))</f>
        <v/>
      </c>
    </row>
    <row r="258">
      <c r="A258" s="3" t="n"/>
      <c r="C258" s="4" t="n"/>
      <c r="E258" s="5">
        <f>IF(OR(C258="",D258="",D258="수입",계산!$B$20=""),"",ROUND(C258*계산!$B$20,0))</f>
        <v/>
      </c>
    </row>
    <row r="259">
      <c r="A259" s="3" t="n"/>
      <c r="C259" s="4" t="n"/>
      <c r="E259" s="5">
        <f>IF(OR(C259="",D259="",D259="수입",계산!$B$20=""),"",ROUND(C259*계산!$B$20,0))</f>
        <v/>
      </c>
    </row>
    <row r="260">
      <c r="A260" s="3" t="n"/>
      <c r="C260" s="4" t="n"/>
      <c r="E260" s="5">
        <f>IF(OR(C260="",D260="",D260="수입",계산!$B$20=""),"",ROUND(C260*계산!$B$20,0))</f>
        <v/>
      </c>
    </row>
    <row r="261">
      <c r="A261" s="3" t="n"/>
      <c r="C261" s="4" t="n"/>
      <c r="E261" s="5">
        <f>IF(OR(C261="",D261="",D261="수입",계산!$B$20=""),"",ROUND(C261*계산!$B$20,0))</f>
        <v/>
      </c>
    </row>
    <row r="262">
      <c r="A262" s="3" t="n"/>
      <c r="C262" s="4" t="n"/>
      <c r="E262" s="5">
        <f>IF(OR(C262="",D262="",D262="수입",계산!$B$20=""),"",ROUND(C262*계산!$B$20,0))</f>
        <v/>
      </c>
    </row>
    <row r="263">
      <c r="A263" s="3" t="n"/>
      <c r="C263" s="4" t="n"/>
      <c r="E263" s="5">
        <f>IF(OR(C263="",D263="",D263="수입",계산!$B$20=""),"",ROUND(C263*계산!$B$20,0))</f>
        <v/>
      </c>
    </row>
    <row r="264">
      <c r="A264" s="3" t="n"/>
      <c r="C264" s="4" t="n"/>
      <c r="E264" s="5">
        <f>IF(OR(C264="",D264="",D264="수입",계산!$B$20=""),"",ROUND(C264*계산!$B$20,0))</f>
        <v/>
      </c>
    </row>
    <row r="265">
      <c r="A265" s="3" t="n"/>
      <c r="C265" s="4" t="n"/>
      <c r="E265" s="5">
        <f>IF(OR(C265="",D265="",D265="수입",계산!$B$20=""),"",ROUND(C265*계산!$B$20,0))</f>
        <v/>
      </c>
    </row>
    <row r="266">
      <c r="A266" s="3" t="n"/>
      <c r="C266" s="4" t="n"/>
      <c r="E266" s="5">
        <f>IF(OR(C266="",D266="",D266="수입",계산!$B$20=""),"",ROUND(C266*계산!$B$20,0))</f>
        <v/>
      </c>
    </row>
    <row r="267">
      <c r="A267" s="3" t="n"/>
      <c r="C267" s="4" t="n"/>
      <c r="E267" s="5">
        <f>IF(OR(C267="",D267="",D267="수입",계산!$B$20=""),"",ROUND(C267*계산!$B$20,0))</f>
        <v/>
      </c>
    </row>
    <row r="268">
      <c r="A268" s="3" t="n"/>
      <c r="C268" s="4" t="n"/>
      <c r="E268" s="5">
        <f>IF(OR(C268="",D268="",D268="수입",계산!$B$20=""),"",ROUND(C268*계산!$B$20,0))</f>
        <v/>
      </c>
    </row>
    <row r="269">
      <c r="A269" s="3" t="n"/>
      <c r="C269" s="4" t="n"/>
      <c r="E269" s="5">
        <f>IF(OR(C269="",D269="",D269="수입",계산!$B$20=""),"",ROUND(C269*계산!$B$20,0))</f>
        <v/>
      </c>
    </row>
    <row r="270">
      <c r="A270" s="3" t="n"/>
      <c r="C270" s="4" t="n"/>
      <c r="E270" s="5">
        <f>IF(OR(C270="",D270="",D270="수입",계산!$B$20=""),"",ROUND(C270*계산!$B$20,0))</f>
        <v/>
      </c>
    </row>
    <row r="271">
      <c r="A271" s="3" t="n"/>
      <c r="C271" s="4" t="n"/>
      <c r="E271" s="5">
        <f>IF(OR(C271="",D271="",D271="수입",계산!$B$20=""),"",ROUND(C271*계산!$B$20,0))</f>
        <v/>
      </c>
    </row>
    <row r="272">
      <c r="A272" s="3" t="n"/>
      <c r="C272" s="4" t="n"/>
      <c r="E272" s="5">
        <f>IF(OR(C272="",D272="",D272="수입",계산!$B$20=""),"",ROUND(C272*계산!$B$20,0))</f>
        <v/>
      </c>
    </row>
    <row r="273">
      <c r="A273" s="3" t="n"/>
      <c r="C273" s="4" t="n"/>
      <c r="E273" s="5">
        <f>IF(OR(C273="",D273="",D273="수입",계산!$B$20=""),"",ROUND(C273*계산!$B$20,0))</f>
        <v/>
      </c>
    </row>
    <row r="274">
      <c r="A274" s="3" t="n"/>
      <c r="C274" s="4" t="n"/>
      <c r="E274" s="5">
        <f>IF(OR(C274="",D274="",D274="수입",계산!$B$20=""),"",ROUND(C274*계산!$B$20,0))</f>
        <v/>
      </c>
    </row>
    <row r="275">
      <c r="A275" s="3" t="n"/>
      <c r="C275" s="4" t="n"/>
      <c r="E275" s="5">
        <f>IF(OR(C275="",D275="",D275="수입",계산!$B$20=""),"",ROUND(C275*계산!$B$20,0))</f>
        <v/>
      </c>
    </row>
    <row r="276">
      <c r="A276" s="3" t="n"/>
      <c r="C276" s="4" t="n"/>
      <c r="E276" s="5">
        <f>IF(OR(C276="",D276="",D276="수입",계산!$B$20=""),"",ROUND(C276*계산!$B$20,0))</f>
        <v/>
      </c>
    </row>
    <row r="277">
      <c r="A277" s="3" t="n"/>
      <c r="C277" s="4" t="n"/>
      <c r="E277" s="5">
        <f>IF(OR(C277="",D277="",D277="수입",계산!$B$20=""),"",ROUND(C277*계산!$B$20,0))</f>
        <v/>
      </c>
    </row>
    <row r="278">
      <c r="A278" s="3" t="n"/>
      <c r="C278" s="4" t="n"/>
      <c r="E278" s="5">
        <f>IF(OR(C278="",D278="",D278="수입",계산!$B$20=""),"",ROUND(C278*계산!$B$20,0))</f>
        <v/>
      </c>
    </row>
    <row r="279">
      <c r="A279" s="3" t="n"/>
      <c r="C279" s="4" t="n"/>
      <c r="E279" s="5">
        <f>IF(OR(C279="",D279="",D279="수입",계산!$B$20=""),"",ROUND(C279*계산!$B$20,0))</f>
        <v/>
      </c>
    </row>
    <row r="280">
      <c r="A280" s="3" t="n"/>
      <c r="C280" s="4" t="n"/>
      <c r="E280" s="5">
        <f>IF(OR(C280="",D280="",D280="수입",계산!$B$20=""),"",ROUND(C280*계산!$B$20,0))</f>
        <v/>
      </c>
    </row>
    <row r="281">
      <c r="A281" s="3" t="n"/>
      <c r="C281" s="4" t="n"/>
      <c r="E281" s="5">
        <f>IF(OR(C281="",D281="",D281="수입",계산!$B$20=""),"",ROUND(C281*계산!$B$20,0))</f>
        <v/>
      </c>
    </row>
    <row r="282">
      <c r="A282" s="3" t="n"/>
      <c r="C282" s="4" t="n"/>
      <c r="E282" s="5">
        <f>IF(OR(C282="",D282="",D282="수입",계산!$B$20=""),"",ROUND(C282*계산!$B$20,0))</f>
        <v/>
      </c>
    </row>
    <row r="283">
      <c r="A283" s="3" t="n"/>
      <c r="C283" s="4" t="n"/>
      <c r="E283" s="5">
        <f>IF(OR(C283="",D283="",D283="수입",계산!$B$20=""),"",ROUND(C283*계산!$B$20,0))</f>
        <v/>
      </c>
    </row>
    <row r="284">
      <c r="A284" s="3" t="n"/>
      <c r="C284" s="4" t="n"/>
      <c r="E284" s="5">
        <f>IF(OR(C284="",D284="",D284="수입",계산!$B$20=""),"",ROUND(C284*계산!$B$20,0))</f>
        <v/>
      </c>
    </row>
    <row r="285">
      <c r="A285" s="3" t="n"/>
      <c r="C285" s="4" t="n"/>
      <c r="E285" s="5">
        <f>IF(OR(C285="",D285="",D285="수입",계산!$B$20=""),"",ROUND(C285*계산!$B$20,0))</f>
        <v/>
      </c>
    </row>
    <row r="286">
      <c r="A286" s="3" t="n"/>
      <c r="C286" s="4" t="n"/>
      <c r="E286" s="5">
        <f>IF(OR(C286="",D286="",D286="수입",계산!$B$20=""),"",ROUND(C286*계산!$B$20,0))</f>
        <v/>
      </c>
    </row>
    <row r="287">
      <c r="A287" s="3" t="n"/>
      <c r="C287" s="4" t="n"/>
      <c r="E287" s="5">
        <f>IF(OR(C287="",D287="",D287="수입",계산!$B$20=""),"",ROUND(C287*계산!$B$20,0))</f>
        <v/>
      </c>
    </row>
    <row r="288">
      <c r="A288" s="3" t="n"/>
      <c r="C288" s="4" t="n"/>
      <c r="E288" s="5">
        <f>IF(OR(C288="",D288="",D288="수입",계산!$B$20=""),"",ROUND(C288*계산!$B$20,0))</f>
        <v/>
      </c>
    </row>
    <row r="289">
      <c r="A289" s="3" t="n"/>
      <c r="C289" s="4" t="n"/>
      <c r="E289" s="5">
        <f>IF(OR(C289="",D289="",D289="수입",계산!$B$20=""),"",ROUND(C289*계산!$B$20,0))</f>
        <v/>
      </c>
    </row>
    <row r="290">
      <c r="A290" s="3" t="n"/>
      <c r="C290" s="4" t="n"/>
      <c r="E290" s="5">
        <f>IF(OR(C290="",D290="",D290="수입",계산!$B$20=""),"",ROUND(C290*계산!$B$20,0))</f>
        <v/>
      </c>
    </row>
    <row r="291">
      <c r="A291" s="3" t="n"/>
      <c r="C291" s="4" t="n"/>
      <c r="E291" s="5">
        <f>IF(OR(C291="",D291="",D291="수입",계산!$B$20=""),"",ROUND(C291*계산!$B$20,0))</f>
        <v/>
      </c>
    </row>
    <row r="292">
      <c r="A292" s="3" t="n"/>
      <c r="C292" s="4" t="n"/>
      <c r="E292" s="5">
        <f>IF(OR(C292="",D292="",D292="수입",계산!$B$20=""),"",ROUND(C292*계산!$B$20,0))</f>
        <v/>
      </c>
    </row>
    <row r="293">
      <c r="A293" s="3" t="n"/>
      <c r="C293" s="4" t="n"/>
      <c r="E293" s="5">
        <f>IF(OR(C293="",D293="",D293="수입",계산!$B$20=""),"",ROUND(C293*계산!$B$20,0))</f>
        <v/>
      </c>
    </row>
    <row r="294">
      <c r="A294" s="3" t="n"/>
      <c r="C294" s="4" t="n"/>
      <c r="E294" s="5">
        <f>IF(OR(C294="",D294="",D294="수입",계산!$B$20=""),"",ROUND(C294*계산!$B$20,0))</f>
        <v/>
      </c>
    </row>
    <row r="295">
      <c r="A295" s="3" t="n"/>
      <c r="C295" s="4" t="n"/>
      <c r="E295" s="5">
        <f>IF(OR(C295="",D295="",D295="수입",계산!$B$20=""),"",ROUND(C295*계산!$B$20,0))</f>
        <v/>
      </c>
    </row>
    <row r="296">
      <c r="A296" s="3" t="n"/>
      <c r="C296" s="4" t="n"/>
      <c r="E296" s="5">
        <f>IF(OR(C296="",D296="",D296="수입",계산!$B$20=""),"",ROUND(C296*계산!$B$20,0))</f>
        <v/>
      </c>
    </row>
    <row r="297">
      <c r="A297" s="3" t="n"/>
      <c r="C297" s="4" t="n"/>
      <c r="E297" s="5">
        <f>IF(OR(C297="",D297="",D297="수입",계산!$B$20=""),"",ROUND(C297*계산!$B$20,0))</f>
        <v/>
      </c>
    </row>
    <row r="298">
      <c r="A298" s="3" t="n"/>
      <c r="C298" s="4" t="n"/>
      <c r="E298" s="5">
        <f>IF(OR(C298="",D298="",D298="수입",계산!$B$20=""),"",ROUND(C298*계산!$B$20,0))</f>
        <v/>
      </c>
    </row>
    <row r="299">
      <c r="A299" s="3" t="n"/>
      <c r="C299" s="4" t="n"/>
      <c r="E299" s="5">
        <f>IF(OR(C299="",D299="",D299="수입",계산!$B$20=""),"",ROUND(C299*계산!$B$20,0))</f>
        <v/>
      </c>
    </row>
    <row r="300">
      <c r="A300" s="3" t="n"/>
      <c r="C300" s="4" t="n"/>
      <c r="E300" s="5">
        <f>IF(OR(C300="",D300="",D300="수입",계산!$B$20=""),"",ROUND(C300*계산!$B$20,0))</f>
        <v/>
      </c>
    </row>
    <row r="301">
      <c r="A301" s="3" t="n"/>
      <c r="C301" s="4" t="n"/>
      <c r="E301" s="5">
        <f>IF(OR(C301="",D301="",D301="수입",계산!$B$20=""),"",ROUND(C301*계산!$B$20,0))</f>
        <v/>
      </c>
    </row>
    <row r="302">
      <c r="A302" s="3" t="n"/>
      <c r="C302" s="4" t="n"/>
      <c r="E302" s="5">
        <f>IF(OR(C302="",D302="",D302="수입",계산!$B$20=""),"",ROUND(C302*계산!$B$20,0))</f>
        <v/>
      </c>
    </row>
    <row r="303">
      <c r="A303" s="3" t="n"/>
      <c r="C303" s="4" t="n"/>
      <c r="E303" s="5">
        <f>IF(OR(C303="",D303="",D303="수입",계산!$B$20=""),"",ROUND(C303*계산!$B$20,0))</f>
        <v/>
      </c>
    </row>
    <row r="304">
      <c r="A304" s="3" t="n"/>
      <c r="C304" s="4" t="n"/>
      <c r="E304" s="5">
        <f>IF(OR(C304="",D304="",D304="수입",계산!$B$20=""),"",ROUND(C304*계산!$B$20,0))</f>
        <v/>
      </c>
    </row>
    <row r="305">
      <c r="A305" s="3" t="n"/>
      <c r="C305" s="4" t="n"/>
      <c r="E305" s="5">
        <f>IF(OR(C305="",D305="",D305="수입",계산!$B$20=""),"",ROUND(C305*계산!$B$20,0))</f>
        <v/>
      </c>
    </row>
    <row r="306">
      <c r="A306" s="3" t="n"/>
      <c r="C306" s="4" t="n"/>
      <c r="E306" s="5">
        <f>IF(OR(C306="",D306="",D306="수입",계산!$B$20=""),"",ROUND(C306*계산!$B$20,0))</f>
        <v/>
      </c>
    </row>
    <row r="307">
      <c r="A307" s="3" t="n"/>
      <c r="C307" s="4" t="n"/>
      <c r="E307" s="5">
        <f>IF(OR(C307="",D307="",D307="수입",계산!$B$20=""),"",ROUND(C307*계산!$B$20,0))</f>
        <v/>
      </c>
    </row>
    <row r="308">
      <c r="A308" s="3" t="n"/>
      <c r="C308" s="4" t="n"/>
      <c r="E308" s="5">
        <f>IF(OR(C308="",D308="",D308="수입",계산!$B$20=""),"",ROUND(C308*계산!$B$20,0))</f>
        <v/>
      </c>
    </row>
    <row r="309">
      <c r="A309" s="3" t="n"/>
      <c r="C309" s="4" t="n"/>
      <c r="E309" s="5">
        <f>IF(OR(C309="",D309="",D309="수입",계산!$B$20=""),"",ROUND(C309*계산!$B$20,0))</f>
        <v/>
      </c>
    </row>
    <row r="310">
      <c r="A310" s="3" t="n"/>
      <c r="C310" s="4" t="n"/>
      <c r="E310" s="5">
        <f>IF(OR(C310="",D310="",D310="수입",계산!$B$20=""),"",ROUND(C310*계산!$B$20,0))</f>
        <v/>
      </c>
    </row>
    <row r="311">
      <c r="A311" s="3" t="n"/>
      <c r="C311" s="4" t="n"/>
      <c r="E311" s="5">
        <f>IF(OR(C311="",D311="",D311="수입",계산!$B$20=""),"",ROUND(C311*계산!$B$20,0))</f>
        <v/>
      </c>
    </row>
    <row r="312">
      <c r="A312" s="3" t="n"/>
      <c r="C312" s="4" t="n"/>
      <c r="E312" s="5">
        <f>IF(OR(C312="",D312="",D312="수입",계산!$B$20=""),"",ROUND(C312*계산!$B$20,0))</f>
        <v/>
      </c>
    </row>
    <row r="313">
      <c r="A313" s="3" t="n"/>
      <c r="C313" s="4" t="n"/>
      <c r="E313" s="5">
        <f>IF(OR(C313="",D313="",D313="수입",계산!$B$20=""),"",ROUND(C313*계산!$B$20,0))</f>
        <v/>
      </c>
    </row>
    <row r="314">
      <c r="A314" s="3" t="n"/>
      <c r="C314" s="4" t="n"/>
      <c r="E314" s="5">
        <f>IF(OR(C314="",D314="",D314="수입",계산!$B$20=""),"",ROUND(C314*계산!$B$20,0))</f>
        <v/>
      </c>
    </row>
    <row r="315">
      <c r="A315" s="3" t="n"/>
      <c r="C315" s="4" t="n"/>
      <c r="E315" s="5">
        <f>IF(OR(C315="",D315="",D315="수입",계산!$B$20=""),"",ROUND(C315*계산!$B$20,0))</f>
        <v/>
      </c>
    </row>
    <row r="316">
      <c r="A316" s="3" t="n"/>
      <c r="C316" s="4" t="n"/>
      <c r="E316" s="5">
        <f>IF(OR(C316="",D316="",D316="수입",계산!$B$20=""),"",ROUND(C316*계산!$B$20,0))</f>
        <v/>
      </c>
    </row>
    <row r="317">
      <c r="A317" s="3" t="n"/>
      <c r="C317" s="4" t="n"/>
      <c r="E317" s="5">
        <f>IF(OR(C317="",D317="",D317="수입",계산!$B$20=""),"",ROUND(C317*계산!$B$20,0))</f>
        <v/>
      </c>
    </row>
    <row r="318">
      <c r="A318" s="3" t="n"/>
      <c r="C318" s="4" t="n"/>
      <c r="E318" s="5">
        <f>IF(OR(C318="",D318="",D318="수입",계산!$B$20=""),"",ROUND(C318*계산!$B$20,0))</f>
        <v/>
      </c>
    </row>
    <row r="319">
      <c r="A319" s="3" t="n"/>
      <c r="C319" s="4" t="n"/>
      <c r="E319" s="5">
        <f>IF(OR(C319="",D319="",D319="수입",계산!$B$20=""),"",ROUND(C319*계산!$B$20,0))</f>
        <v/>
      </c>
    </row>
    <row r="320">
      <c r="A320" s="3" t="n"/>
      <c r="C320" s="4" t="n"/>
      <c r="E320" s="5">
        <f>IF(OR(C320="",D320="",D320="수입",계산!$B$20=""),"",ROUND(C320*계산!$B$20,0))</f>
        <v/>
      </c>
    </row>
    <row r="321">
      <c r="A321" s="3" t="n"/>
      <c r="C321" s="4" t="n"/>
      <c r="E321" s="5">
        <f>IF(OR(C321="",D321="",D321="수입",계산!$B$20=""),"",ROUND(C321*계산!$B$20,0))</f>
        <v/>
      </c>
    </row>
    <row r="322">
      <c r="A322" s="3" t="n"/>
      <c r="C322" s="4" t="n"/>
      <c r="E322" s="5">
        <f>IF(OR(C322="",D322="",D322="수입",계산!$B$20=""),"",ROUND(C322*계산!$B$20,0))</f>
        <v/>
      </c>
    </row>
    <row r="323">
      <c r="A323" s="3" t="n"/>
      <c r="C323" s="4" t="n"/>
      <c r="E323" s="5">
        <f>IF(OR(C323="",D323="",D323="수입",계산!$B$20=""),"",ROUND(C323*계산!$B$20,0))</f>
        <v/>
      </c>
    </row>
    <row r="324">
      <c r="A324" s="3" t="n"/>
      <c r="C324" s="4" t="n"/>
      <c r="E324" s="5">
        <f>IF(OR(C324="",D324="",D324="수입",계산!$B$20=""),"",ROUND(C324*계산!$B$20,0))</f>
        <v/>
      </c>
    </row>
    <row r="325">
      <c r="A325" s="3" t="n"/>
      <c r="C325" s="4" t="n"/>
      <c r="E325" s="5">
        <f>IF(OR(C325="",D325="",D325="수입",계산!$B$20=""),"",ROUND(C325*계산!$B$20,0))</f>
        <v/>
      </c>
    </row>
    <row r="326">
      <c r="A326" s="3" t="n"/>
      <c r="C326" s="4" t="n"/>
      <c r="E326" s="5">
        <f>IF(OR(C326="",D326="",D326="수입",계산!$B$20=""),"",ROUND(C326*계산!$B$20,0))</f>
        <v/>
      </c>
    </row>
    <row r="327">
      <c r="A327" s="3" t="n"/>
      <c r="C327" s="4" t="n"/>
      <c r="E327" s="5">
        <f>IF(OR(C327="",D327="",D327="수입",계산!$B$20=""),"",ROUND(C327*계산!$B$20,0))</f>
        <v/>
      </c>
    </row>
    <row r="328">
      <c r="A328" s="3" t="n"/>
      <c r="C328" s="4" t="n"/>
      <c r="E328" s="5">
        <f>IF(OR(C328="",D328="",D328="수입",계산!$B$20=""),"",ROUND(C328*계산!$B$20,0))</f>
        <v/>
      </c>
    </row>
    <row r="329">
      <c r="A329" s="3" t="n"/>
      <c r="C329" s="4" t="n"/>
      <c r="E329" s="5">
        <f>IF(OR(C329="",D329="",D329="수입",계산!$B$20=""),"",ROUND(C329*계산!$B$20,0))</f>
        <v/>
      </c>
    </row>
    <row r="330">
      <c r="A330" s="3" t="n"/>
      <c r="C330" s="4" t="n"/>
      <c r="E330" s="5">
        <f>IF(OR(C330="",D330="",D330="수입",계산!$B$20=""),"",ROUND(C330*계산!$B$20,0))</f>
        <v/>
      </c>
    </row>
    <row r="331">
      <c r="A331" s="3" t="n"/>
      <c r="C331" s="4" t="n"/>
      <c r="E331" s="5">
        <f>IF(OR(C331="",D331="",D331="수입",계산!$B$20=""),"",ROUND(C331*계산!$B$20,0))</f>
        <v/>
      </c>
    </row>
    <row r="332">
      <c r="A332" s="3" t="n"/>
      <c r="C332" s="4" t="n"/>
      <c r="E332" s="5">
        <f>IF(OR(C332="",D332="",D332="수입",계산!$B$20=""),"",ROUND(C332*계산!$B$20,0))</f>
        <v/>
      </c>
    </row>
    <row r="333">
      <c r="A333" s="3" t="n"/>
      <c r="C333" s="4" t="n"/>
      <c r="E333" s="5">
        <f>IF(OR(C333="",D333="",D333="수입",계산!$B$20=""),"",ROUND(C333*계산!$B$20,0))</f>
        <v/>
      </c>
    </row>
    <row r="334">
      <c r="A334" s="3" t="n"/>
      <c r="C334" s="4" t="n"/>
      <c r="E334" s="5">
        <f>IF(OR(C334="",D334="",D334="수입",계산!$B$20=""),"",ROUND(C334*계산!$B$20,0))</f>
        <v/>
      </c>
    </row>
    <row r="335">
      <c r="A335" s="3" t="n"/>
      <c r="C335" s="4" t="n"/>
      <c r="E335" s="5">
        <f>IF(OR(C335="",D335="",D335="수입",계산!$B$20=""),"",ROUND(C335*계산!$B$20,0))</f>
        <v/>
      </c>
    </row>
    <row r="336">
      <c r="A336" s="3" t="n"/>
      <c r="C336" s="4" t="n"/>
      <c r="E336" s="5">
        <f>IF(OR(C336="",D336="",D336="수입",계산!$B$20=""),"",ROUND(C336*계산!$B$20,0))</f>
        <v/>
      </c>
    </row>
    <row r="337">
      <c r="A337" s="3" t="n"/>
      <c r="C337" s="4" t="n"/>
      <c r="E337" s="5">
        <f>IF(OR(C337="",D337="",D337="수입",계산!$B$20=""),"",ROUND(C337*계산!$B$20,0))</f>
        <v/>
      </c>
    </row>
    <row r="338">
      <c r="A338" s="3" t="n"/>
      <c r="C338" s="4" t="n"/>
      <c r="E338" s="5">
        <f>IF(OR(C338="",D338="",D338="수입",계산!$B$20=""),"",ROUND(C338*계산!$B$20,0))</f>
        <v/>
      </c>
    </row>
    <row r="339">
      <c r="A339" s="3" t="n"/>
      <c r="C339" s="4" t="n"/>
      <c r="E339" s="5">
        <f>IF(OR(C339="",D339="",D339="수입",계산!$B$20=""),"",ROUND(C339*계산!$B$20,0))</f>
        <v/>
      </c>
    </row>
    <row r="340">
      <c r="A340" s="3" t="n"/>
      <c r="C340" s="4" t="n"/>
      <c r="E340" s="5">
        <f>IF(OR(C340="",D340="",D340="수입",계산!$B$20=""),"",ROUND(C340*계산!$B$20,0))</f>
        <v/>
      </c>
    </row>
    <row r="341">
      <c r="A341" s="3" t="n"/>
      <c r="C341" s="4" t="n"/>
      <c r="E341" s="5">
        <f>IF(OR(C341="",D341="",D341="수입",계산!$B$20=""),"",ROUND(C341*계산!$B$20,0))</f>
        <v/>
      </c>
    </row>
    <row r="342">
      <c r="A342" s="3" t="n"/>
      <c r="C342" s="4" t="n"/>
      <c r="E342" s="5">
        <f>IF(OR(C342="",D342="",D342="수입",계산!$B$20=""),"",ROUND(C342*계산!$B$20,0))</f>
        <v/>
      </c>
    </row>
    <row r="343">
      <c r="A343" s="3" t="n"/>
      <c r="C343" s="4" t="n"/>
      <c r="E343" s="5">
        <f>IF(OR(C343="",D343="",D343="수입",계산!$B$20=""),"",ROUND(C343*계산!$B$20,0))</f>
        <v/>
      </c>
    </row>
    <row r="344">
      <c r="A344" s="3" t="n"/>
      <c r="C344" s="4" t="n"/>
      <c r="E344" s="5">
        <f>IF(OR(C344="",D344="",D344="수입",계산!$B$20=""),"",ROUND(C344*계산!$B$20,0))</f>
        <v/>
      </c>
    </row>
    <row r="345">
      <c r="A345" s="3" t="n"/>
      <c r="C345" s="4" t="n"/>
      <c r="E345" s="5">
        <f>IF(OR(C345="",D345="",D345="수입",계산!$B$20=""),"",ROUND(C345*계산!$B$20,0))</f>
        <v/>
      </c>
    </row>
    <row r="346">
      <c r="A346" s="3" t="n"/>
      <c r="C346" s="4" t="n"/>
      <c r="E346" s="5">
        <f>IF(OR(C346="",D346="",D346="수입",계산!$B$20=""),"",ROUND(C346*계산!$B$20,0))</f>
        <v/>
      </c>
    </row>
    <row r="347">
      <c r="A347" s="3" t="n"/>
      <c r="C347" s="4" t="n"/>
      <c r="E347" s="5">
        <f>IF(OR(C347="",D347="",D347="수입",계산!$B$20=""),"",ROUND(C347*계산!$B$20,0))</f>
        <v/>
      </c>
    </row>
    <row r="348">
      <c r="A348" s="3" t="n"/>
      <c r="C348" s="4" t="n"/>
      <c r="E348" s="5">
        <f>IF(OR(C348="",D348="",D348="수입",계산!$B$20=""),"",ROUND(C348*계산!$B$20,0))</f>
        <v/>
      </c>
    </row>
    <row r="349">
      <c r="A349" s="3" t="n"/>
      <c r="C349" s="4" t="n"/>
      <c r="E349" s="5">
        <f>IF(OR(C349="",D349="",D349="수입",계산!$B$20=""),"",ROUND(C349*계산!$B$20,0))</f>
        <v/>
      </c>
    </row>
    <row r="350">
      <c r="A350" s="3" t="n"/>
      <c r="C350" s="4" t="n"/>
      <c r="E350" s="5">
        <f>IF(OR(C350="",D350="",D350="수입",계산!$B$20=""),"",ROUND(C350*계산!$B$20,0))</f>
        <v/>
      </c>
    </row>
    <row r="351">
      <c r="A351" s="3" t="n"/>
      <c r="C351" s="4" t="n"/>
      <c r="E351" s="5">
        <f>IF(OR(C351="",D351="",D351="수입",계산!$B$20=""),"",ROUND(C351*계산!$B$20,0))</f>
        <v/>
      </c>
    </row>
    <row r="352">
      <c r="A352" s="3" t="n"/>
      <c r="C352" s="4" t="n"/>
      <c r="E352" s="5">
        <f>IF(OR(C352="",D352="",D352="수입",계산!$B$20=""),"",ROUND(C352*계산!$B$20,0))</f>
        <v/>
      </c>
    </row>
    <row r="353">
      <c r="A353" s="3" t="n"/>
      <c r="C353" s="4" t="n"/>
      <c r="E353" s="5">
        <f>IF(OR(C353="",D353="",D353="수입",계산!$B$20=""),"",ROUND(C353*계산!$B$20,0))</f>
        <v/>
      </c>
    </row>
    <row r="354">
      <c r="A354" s="3" t="n"/>
      <c r="C354" s="4" t="n"/>
      <c r="E354" s="5">
        <f>IF(OR(C354="",D354="",D354="수입",계산!$B$20=""),"",ROUND(C354*계산!$B$20,0))</f>
        <v/>
      </c>
    </row>
    <row r="355">
      <c r="A355" s="3" t="n"/>
      <c r="C355" s="4" t="n"/>
      <c r="E355" s="5">
        <f>IF(OR(C355="",D355="",D355="수입",계산!$B$20=""),"",ROUND(C355*계산!$B$20,0))</f>
        <v/>
      </c>
    </row>
    <row r="356">
      <c r="A356" s="3" t="n"/>
      <c r="C356" s="4" t="n"/>
      <c r="E356" s="5">
        <f>IF(OR(C356="",D356="",D356="수입",계산!$B$20=""),"",ROUND(C356*계산!$B$20,0))</f>
        <v/>
      </c>
    </row>
    <row r="357">
      <c r="A357" s="3" t="n"/>
      <c r="C357" s="4" t="n"/>
      <c r="E357" s="5">
        <f>IF(OR(C357="",D357="",D357="수입",계산!$B$20=""),"",ROUND(C357*계산!$B$20,0))</f>
        <v/>
      </c>
    </row>
    <row r="358">
      <c r="A358" s="3" t="n"/>
      <c r="C358" s="4" t="n"/>
      <c r="E358" s="5">
        <f>IF(OR(C358="",D358="",D358="수입",계산!$B$20=""),"",ROUND(C358*계산!$B$20,0))</f>
        <v/>
      </c>
    </row>
    <row r="359">
      <c r="A359" s="3" t="n"/>
      <c r="C359" s="4" t="n"/>
      <c r="E359" s="5">
        <f>IF(OR(C359="",D359="",D359="수입",계산!$B$20=""),"",ROUND(C359*계산!$B$20,0))</f>
        <v/>
      </c>
    </row>
    <row r="360">
      <c r="A360" s="3" t="n"/>
      <c r="C360" s="4" t="n"/>
      <c r="E360" s="5">
        <f>IF(OR(C360="",D360="",D360="수입",계산!$B$20=""),"",ROUND(C360*계산!$B$20,0))</f>
        <v/>
      </c>
    </row>
    <row r="361">
      <c r="A361" s="3" t="n"/>
      <c r="C361" s="4" t="n"/>
      <c r="E361" s="5">
        <f>IF(OR(C361="",D361="",D361="수입",계산!$B$20=""),"",ROUND(C361*계산!$B$20,0))</f>
        <v/>
      </c>
    </row>
    <row r="362">
      <c r="A362" s="3" t="n"/>
      <c r="C362" s="4" t="n"/>
      <c r="E362" s="5">
        <f>IF(OR(C362="",D362="",D362="수입",계산!$B$20=""),"",ROUND(C362*계산!$B$20,0))</f>
        <v/>
      </c>
    </row>
    <row r="363">
      <c r="A363" s="3" t="n"/>
      <c r="C363" s="4" t="n"/>
      <c r="E363" s="5">
        <f>IF(OR(C363="",D363="",D363="수입",계산!$B$20=""),"",ROUND(C363*계산!$B$20,0))</f>
        <v/>
      </c>
    </row>
    <row r="364">
      <c r="A364" s="3" t="n"/>
      <c r="C364" s="4" t="n"/>
      <c r="E364" s="5">
        <f>IF(OR(C364="",D364="",D364="수입",계산!$B$20=""),"",ROUND(C364*계산!$B$20,0))</f>
        <v/>
      </c>
    </row>
    <row r="365">
      <c r="A365" s="3" t="n"/>
      <c r="C365" s="4" t="n"/>
      <c r="E365" s="5">
        <f>IF(OR(C365="",D365="",D365="수입",계산!$B$20=""),"",ROUND(C365*계산!$B$20,0))</f>
        <v/>
      </c>
    </row>
    <row r="366">
      <c r="A366" s="3" t="n"/>
      <c r="C366" s="4" t="n"/>
      <c r="E366" s="5">
        <f>IF(OR(C366="",D366="",D366="수입",계산!$B$20=""),"",ROUND(C366*계산!$B$20,0))</f>
        <v/>
      </c>
    </row>
    <row r="367">
      <c r="A367" s="3" t="n"/>
      <c r="C367" s="4" t="n"/>
      <c r="E367" s="5">
        <f>IF(OR(C367="",D367="",D367="수입",계산!$B$20=""),"",ROUND(C367*계산!$B$20,0))</f>
        <v/>
      </c>
    </row>
    <row r="368">
      <c r="A368" s="3" t="n"/>
      <c r="C368" s="4" t="n"/>
      <c r="E368" s="5">
        <f>IF(OR(C368="",D368="",D368="수입",계산!$B$20=""),"",ROUND(C368*계산!$B$20,0))</f>
        <v/>
      </c>
    </row>
    <row r="369">
      <c r="A369" s="3" t="n"/>
      <c r="C369" s="4" t="n"/>
      <c r="E369" s="5">
        <f>IF(OR(C369="",D369="",D369="수입",계산!$B$20=""),"",ROUND(C369*계산!$B$20,0))</f>
        <v/>
      </c>
    </row>
    <row r="370">
      <c r="A370" s="3" t="n"/>
      <c r="C370" s="4" t="n"/>
      <c r="E370" s="5">
        <f>IF(OR(C370="",D370="",D370="수입",계산!$B$20=""),"",ROUND(C370*계산!$B$20,0))</f>
        <v/>
      </c>
    </row>
    <row r="371">
      <c r="A371" s="3" t="n"/>
      <c r="C371" s="4" t="n"/>
      <c r="E371" s="5">
        <f>IF(OR(C371="",D371="",D371="수입",계산!$B$20=""),"",ROUND(C371*계산!$B$20,0))</f>
        <v/>
      </c>
    </row>
    <row r="372">
      <c r="A372" s="3" t="n"/>
      <c r="C372" s="4" t="n"/>
      <c r="E372" s="5">
        <f>IF(OR(C372="",D372="",D372="수입",계산!$B$20=""),"",ROUND(C372*계산!$B$20,0))</f>
        <v/>
      </c>
    </row>
    <row r="373">
      <c r="A373" s="3" t="n"/>
      <c r="C373" s="4" t="n"/>
      <c r="E373" s="5">
        <f>IF(OR(C373="",D373="",D373="수입",계산!$B$20=""),"",ROUND(C373*계산!$B$20,0))</f>
        <v/>
      </c>
    </row>
    <row r="374">
      <c r="A374" s="3" t="n"/>
      <c r="C374" s="4" t="n"/>
      <c r="E374" s="5">
        <f>IF(OR(C374="",D374="",D374="수입",계산!$B$20=""),"",ROUND(C374*계산!$B$20,0))</f>
        <v/>
      </c>
    </row>
    <row r="375">
      <c r="A375" s="3" t="n"/>
      <c r="C375" s="4" t="n"/>
      <c r="E375" s="5">
        <f>IF(OR(C375="",D375="",D375="수입",계산!$B$20=""),"",ROUND(C375*계산!$B$20,0))</f>
        <v/>
      </c>
    </row>
    <row r="376">
      <c r="A376" s="3" t="n"/>
      <c r="C376" s="4" t="n"/>
      <c r="E376" s="5">
        <f>IF(OR(C376="",D376="",D376="수입",계산!$B$20=""),"",ROUND(C376*계산!$B$20,0))</f>
        <v/>
      </c>
    </row>
    <row r="377">
      <c r="A377" s="3" t="n"/>
      <c r="C377" s="4" t="n"/>
      <c r="E377" s="5">
        <f>IF(OR(C377="",D377="",D377="수입",계산!$B$20=""),"",ROUND(C377*계산!$B$20,0))</f>
        <v/>
      </c>
    </row>
    <row r="378">
      <c r="A378" s="3" t="n"/>
      <c r="C378" s="4" t="n"/>
      <c r="E378" s="5">
        <f>IF(OR(C378="",D378="",D378="수입",계산!$B$20=""),"",ROUND(C378*계산!$B$20,0))</f>
        <v/>
      </c>
    </row>
    <row r="379">
      <c r="A379" s="3" t="n"/>
      <c r="C379" s="4" t="n"/>
      <c r="E379" s="5">
        <f>IF(OR(C379="",D379="",D379="수입",계산!$B$20=""),"",ROUND(C379*계산!$B$20,0))</f>
        <v/>
      </c>
    </row>
    <row r="380">
      <c r="A380" s="3" t="n"/>
      <c r="C380" s="4" t="n"/>
      <c r="E380" s="5">
        <f>IF(OR(C380="",D380="",D380="수입",계산!$B$20=""),"",ROUND(C380*계산!$B$20,0))</f>
        <v/>
      </c>
    </row>
    <row r="381">
      <c r="A381" s="3" t="n"/>
      <c r="C381" s="4" t="n"/>
      <c r="E381" s="5">
        <f>IF(OR(C381="",D381="",D381="수입",계산!$B$20=""),"",ROUND(C381*계산!$B$20,0))</f>
        <v/>
      </c>
    </row>
    <row r="382">
      <c r="A382" s="3" t="n"/>
      <c r="C382" s="4" t="n"/>
      <c r="E382" s="5">
        <f>IF(OR(C382="",D382="",D382="수입",계산!$B$20=""),"",ROUND(C382*계산!$B$20,0))</f>
        <v/>
      </c>
    </row>
    <row r="383">
      <c r="A383" s="3" t="n"/>
      <c r="C383" s="4" t="n"/>
      <c r="E383" s="5">
        <f>IF(OR(C383="",D383="",D383="수입",계산!$B$20=""),"",ROUND(C383*계산!$B$20,0))</f>
        <v/>
      </c>
    </row>
    <row r="384">
      <c r="A384" s="3" t="n"/>
      <c r="C384" s="4" t="n"/>
      <c r="E384" s="5">
        <f>IF(OR(C384="",D384="",D384="수입",계산!$B$20=""),"",ROUND(C384*계산!$B$20,0))</f>
        <v/>
      </c>
    </row>
    <row r="385">
      <c r="A385" s="3" t="n"/>
      <c r="C385" s="4" t="n"/>
      <c r="E385" s="5">
        <f>IF(OR(C385="",D385="",D385="수입",계산!$B$20=""),"",ROUND(C385*계산!$B$20,0))</f>
        <v/>
      </c>
    </row>
    <row r="386">
      <c r="A386" s="3" t="n"/>
      <c r="C386" s="4" t="n"/>
      <c r="E386" s="5">
        <f>IF(OR(C386="",D386="",D386="수입",계산!$B$20=""),"",ROUND(C386*계산!$B$20,0))</f>
        <v/>
      </c>
    </row>
    <row r="387">
      <c r="A387" s="3" t="n"/>
      <c r="C387" s="4" t="n"/>
      <c r="E387" s="5">
        <f>IF(OR(C387="",D387="",D387="수입",계산!$B$20=""),"",ROUND(C387*계산!$B$20,0))</f>
        <v/>
      </c>
    </row>
    <row r="388">
      <c r="A388" s="3" t="n"/>
      <c r="C388" s="4" t="n"/>
      <c r="E388" s="5">
        <f>IF(OR(C388="",D388="",D388="수입",계산!$B$20=""),"",ROUND(C388*계산!$B$20,0))</f>
        <v/>
      </c>
    </row>
    <row r="389">
      <c r="A389" s="3" t="n"/>
      <c r="C389" s="4" t="n"/>
      <c r="E389" s="5">
        <f>IF(OR(C389="",D389="",D389="수입",계산!$B$20=""),"",ROUND(C389*계산!$B$20,0))</f>
        <v/>
      </c>
    </row>
    <row r="390">
      <c r="A390" s="3" t="n"/>
      <c r="C390" s="4" t="n"/>
      <c r="E390" s="5">
        <f>IF(OR(C390="",D390="",D390="수입",계산!$B$20=""),"",ROUND(C390*계산!$B$20,0))</f>
        <v/>
      </c>
    </row>
    <row r="391">
      <c r="A391" s="3" t="n"/>
      <c r="C391" s="4" t="n"/>
      <c r="E391" s="5">
        <f>IF(OR(C391="",D391="",D391="수입",계산!$B$20=""),"",ROUND(C391*계산!$B$20,0))</f>
        <v/>
      </c>
    </row>
    <row r="392">
      <c r="A392" s="3" t="n"/>
      <c r="C392" s="4" t="n"/>
      <c r="E392" s="5">
        <f>IF(OR(C392="",D392="",D392="수입",계산!$B$20=""),"",ROUND(C392*계산!$B$20,0))</f>
        <v/>
      </c>
    </row>
    <row r="393">
      <c r="A393" s="3" t="n"/>
      <c r="C393" s="4" t="n"/>
      <c r="E393" s="5">
        <f>IF(OR(C393="",D393="",D393="수입",계산!$B$20=""),"",ROUND(C393*계산!$B$20,0))</f>
        <v/>
      </c>
    </row>
    <row r="394">
      <c r="A394" s="3" t="n"/>
      <c r="C394" s="4" t="n"/>
      <c r="E394" s="5">
        <f>IF(OR(C394="",D394="",D394="수입",계산!$B$20=""),"",ROUND(C394*계산!$B$20,0))</f>
        <v/>
      </c>
    </row>
    <row r="395">
      <c r="A395" s="3" t="n"/>
      <c r="C395" s="4" t="n"/>
      <c r="E395" s="5">
        <f>IF(OR(C395="",D395="",D395="수입",계산!$B$20=""),"",ROUND(C395*계산!$B$20,0))</f>
        <v/>
      </c>
    </row>
    <row r="396">
      <c r="A396" s="3" t="n"/>
      <c r="C396" s="4" t="n"/>
      <c r="E396" s="5">
        <f>IF(OR(C396="",D396="",D396="수입",계산!$B$20=""),"",ROUND(C396*계산!$B$20,0))</f>
        <v/>
      </c>
    </row>
    <row r="397">
      <c r="A397" s="3" t="n"/>
      <c r="C397" s="4" t="n"/>
      <c r="E397" s="5">
        <f>IF(OR(C397="",D397="",D397="수입",계산!$B$20=""),"",ROUND(C397*계산!$B$20,0))</f>
        <v/>
      </c>
    </row>
    <row r="398">
      <c r="A398" s="3" t="n"/>
      <c r="C398" s="4" t="n"/>
      <c r="E398" s="5">
        <f>IF(OR(C398="",D398="",D398="수입",계산!$B$20=""),"",ROUND(C398*계산!$B$20,0))</f>
        <v/>
      </c>
    </row>
    <row r="399">
      <c r="A399" s="3" t="n"/>
      <c r="C399" s="4" t="n"/>
      <c r="E399" s="5">
        <f>IF(OR(C399="",D399="",D399="수입",계산!$B$20=""),"",ROUND(C399*계산!$B$20,0))</f>
        <v/>
      </c>
    </row>
    <row r="400">
      <c r="A400" s="3" t="n"/>
      <c r="C400" s="4" t="n"/>
      <c r="E400" s="5">
        <f>IF(OR(C400="",D400="",D400="수입",계산!$B$20=""),"",ROUND(C400*계산!$B$20,0))</f>
        <v/>
      </c>
    </row>
    <row r="401">
      <c r="A401" s="3" t="n"/>
      <c r="C401" s="4" t="n"/>
      <c r="E401" s="5">
        <f>IF(OR(C401="",D401="",D401="수입",계산!$B$20=""),"",ROUND(C401*계산!$B$20,0))</f>
        <v/>
      </c>
    </row>
    <row r="402">
      <c r="A402" s="3" t="n"/>
      <c r="C402" s="4" t="n"/>
      <c r="E402" s="5">
        <f>IF(OR(C402="",D402="",D402="수입",계산!$B$20=""),"",ROUND(C402*계산!$B$20,0))</f>
        <v/>
      </c>
    </row>
    <row r="403">
      <c r="A403" s="3" t="n"/>
      <c r="C403" s="4" t="n"/>
      <c r="E403" s="5">
        <f>IF(OR(C403="",D403="",D403="수입",계산!$B$20=""),"",ROUND(C403*계산!$B$20,0))</f>
        <v/>
      </c>
    </row>
    <row r="404">
      <c r="A404" s="3" t="n"/>
      <c r="C404" s="4" t="n"/>
      <c r="E404" s="5">
        <f>IF(OR(C404="",D404="",D404="수입",계산!$B$20=""),"",ROUND(C404*계산!$B$20,0))</f>
        <v/>
      </c>
    </row>
    <row r="405">
      <c r="A405" s="3" t="n"/>
      <c r="C405" s="4" t="n"/>
      <c r="E405" s="5">
        <f>IF(OR(C405="",D405="",D405="수입",계산!$B$20=""),"",ROUND(C405*계산!$B$20,0))</f>
        <v/>
      </c>
    </row>
    <row r="406">
      <c r="A406" s="3" t="n"/>
      <c r="C406" s="4" t="n"/>
      <c r="E406" s="5">
        <f>IF(OR(C406="",D406="",D406="수입",계산!$B$20=""),"",ROUND(C406*계산!$B$20,0))</f>
        <v/>
      </c>
    </row>
    <row r="407">
      <c r="A407" s="3" t="n"/>
      <c r="C407" s="4" t="n"/>
      <c r="E407" s="5">
        <f>IF(OR(C407="",D407="",D407="수입",계산!$B$20=""),"",ROUND(C407*계산!$B$20,0))</f>
        <v/>
      </c>
    </row>
    <row r="408">
      <c r="A408" s="3" t="n"/>
      <c r="C408" s="4" t="n"/>
      <c r="E408" s="5">
        <f>IF(OR(C408="",D408="",D408="수입",계산!$B$20=""),"",ROUND(C408*계산!$B$20,0))</f>
        <v/>
      </c>
    </row>
    <row r="409">
      <c r="A409" s="3" t="n"/>
      <c r="C409" s="4" t="n"/>
      <c r="E409" s="5">
        <f>IF(OR(C409="",D409="",D409="수입",계산!$B$20=""),"",ROUND(C409*계산!$B$20,0))</f>
        <v/>
      </c>
    </row>
    <row r="410">
      <c r="A410" s="3" t="n"/>
      <c r="C410" s="4" t="n"/>
      <c r="E410" s="5">
        <f>IF(OR(C410="",D410="",D410="수입",계산!$B$20=""),"",ROUND(C410*계산!$B$20,0))</f>
        <v/>
      </c>
    </row>
    <row r="411">
      <c r="A411" s="3" t="n"/>
      <c r="C411" s="4" t="n"/>
      <c r="E411" s="5">
        <f>IF(OR(C411="",D411="",D411="수입",계산!$B$20=""),"",ROUND(C411*계산!$B$20,0))</f>
        <v/>
      </c>
    </row>
    <row r="412">
      <c r="A412" s="3" t="n"/>
      <c r="C412" s="4" t="n"/>
      <c r="E412" s="5">
        <f>IF(OR(C412="",D412="",D412="수입",계산!$B$20=""),"",ROUND(C412*계산!$B$20,0))</f>
        <v/>
      </c>
    </row>
    <row r="413">
      <c r="A413" s="3" t="n"/>
      <c r="C413" s="4" t="n"/>
      <c r="E413" s="5">
        <f>IF(OR(C413="",D413="",D413="수입",계산!$B$20=""),"",ROUND(C413*계산!$B$20,0))</f>
        <v/>
      </c>
    </row>
    <row r="414">
      <c r="A414" s="3" t="n"/>
      <c r="C414" s="4" t="n"/>
      <c r="E414" s="5">
        <f>IF(OR(C414="",D414="",D414="수입",계산!$B$20=""),"",ROUND(C414*계산!$B$20,0))</f>
        <v/>
      </c>
    </row>
    <row r="415">
      <c r="A415" s="3" t="n"/>
      <c r="C415" s="4" t="n"/>
      <c r="E415" s="5">
        <f>IF(OR(C415="",D415="",D415="수입",계산!$B$20=""),"",ROUND(C415*계산!$B$20,0))</f>
        <v/>
      </c>
    </row>
    <row r="416">
      <c r="A416" s="3" t="n"/>
      <c r="C416" s="4" t="n"/>
      <c r="E416" s="5">
        <f>IF(OR(C416="",D416="",D416="수입",계산!$B$20=""),"",ROUND(C416*계산!$B$20,0))</f>
        <v/>
      </c>
    </row>
    <row r="417">
      <c r="A417" s="3" t="n"/>
      <c r="C417" s="4" t="n"/>
      <c r="E417" s="5">
        <f>IF(OR(C417="",D417="",D417="수입",계산!$B$20=""),"",ROUND(C417*계산!$B$20,0))</f>
        <v/>
      </c>
    </row>
    <row r="418">
      <c r="A418" s="3" t="n"/>
      <c r="C418" s="4" t="n"/>
      <c r="E418" s="5">
        <f>IF(OR(C418="",D418="",D418="수입",계산!$B$20=""),"",ROUND(C418*계산!$B$20,0))</f>
        <v/>
      </c>
    </row>
    <row r="419">
      <c r="A419" s="3" t="n"/>
      <c r="C419" s="4" t="n"/>
      <c r="E419" s="5">
        <f>IF(OR(C419="",D419="",D419="수입",계산!$B$20=""),"",ROUND(C419*계산!$B$20,0))</f>
        <v/>
      </c>
    </row>
    <row r="420">
      <c r="A420" s="3" t="n"/>
      <c r="C420" s="4" t="n"/>
      <c r="E420" s="5">
        <f>IF(OR(C420="",D420="",D420="수입",계산!$B$20=""),"",ROUND(C420*계산!$B$20,0))</f>
        <v/>
      </c>
    </row>
    <row r="421">
      <c r="A421" s="3" t="n"/>
      <c r="C421" s="4" t="n"/>
      <c r="E421" s="5">
        <f>IF(OR(C421="",D421="",D421="수입",계산!$B$20=""),"",ROUND(C421*계산!$B$20,0))</f>
        <v/>
      </c>
    </row>
    <row r="422">
      <c r="A422" s="3" t="n"/>
      <c r="C422" s="4" t="n"/>
      <c r="E422" s="5">
        <f>IF(OR(C422="",D422="",D422="수입",계산!$B$20=""),"",ROUND(C422*계산!$B$20,0))</f>
        <v/>
      </c>
    </row>
    <row r="423">
      <c r="A423" s="3" t="n"/>
      <c r="C423" s="4" t="n"/>
      <c r="E423" s="5">
        <f>IF(OR(C423="",D423="",D423="수입",계산!$B$20=""),"",ROUND(C423*계산!$B$20,0))</f>
        <v/>
      </c>
    </row>
    <row r="424">
      <c r="A424" s="3" t="n"/>
      <c r="C424" s="4" t="n"/>
      <c r="E424" s="5">
        <f>IF(OR(C424="",D424="",D424="수입",계산!$B$20=""),"",ROUND(C424*계산!$B$20,0))</f>
        <v/>
      </c>
    </row>
    <row r="425">
      <c r="A425" s="3" t="n"/>
      <c r="C425" s="4" t="n"/>
      <c r="E425" s="5">
        <f>IF(OR(C425="",D425="",D425="수입",계산!$B$20=""),"",ROUND(C425*계산!$B$20,0))</f>
        <v/>
      </c>
    </row>
    <row r="426">
      <c r="A426" s="3" t="n"/>
      <c r="C426" s="4" t="n"/>
      <c r="E426" s="5">
        <f>IF(OR(C426="",D426="",D426="수입",계산!$B$20=""),"",ROUND(C426*계산!$B$20,0))</f>
        <v/>
      </c>
    </row>
    <row r="427">
      <c r="A427" s="3" t="n"/>
      <c r="C427" s="4" t="n"/>
      <c r="E427" s="5">
        <f>IF(OR(C427="",D427="",D427="수입",계산!$B$20=""),"",ROUND(C427*계산!$B$20,0))</f>
        <v/>
      </c>
    </row>
    <row r="428">
      <c r="A428" s="3" t="n"/>
      <c r="C428" s="4" t="n"/>
      <c r="E428" s="5">
        <f>IF(OR(C428="",D428="",D428="수입",계산!$B$20=""),"",ROUND(C428*계산!$B$20,0))</f>
        <v/>
      </c>
    </row>
    <row r="429">
      <c r="A429" s="3" t="n"/>
      <c r="C429" s="4" t="n"/>
      <c r="E429" s="5">
        <f>IF(OR(C429="",D429="",D429="수입",계산!$B$20=""),"",ROUND(C429*계산!$B$20,0))</f>
        <v/>
      </c>
    </row>
    <row r="430">
      <c r="A430" s="3" t="n"/>
      <c r="C430" s="4" t="n"/>
      <c r="E430" s="5">
        <f>IF(OR(C430="",D430="",D430="수입",계산!$B$20=""),"",ROUND(C430*계산!$B$20,0))</f>
        <v/>
      </c>
    </row>
    <row r="431">
      <c r="A431" s="3" t="n"/>
      <c r="C431" s="4" t="n"/>
      <c r="E431" s="5">
        <f>IF(OR(C431="",D431="",D431="수입",계산!$B$20=""),"",ROUND(C431*계산!$B$20,0))</f>
        <v/>
      </c>
    </row>
    <row r="432">
      <c r="A432" s="3" t="n"/>
      <c r="C432" s="4" t="n"/>
      <c r="E432" s="5">
        <f>IF(OR(C432="",D432="",D432="수입",계산!$B$20=""),"",ROUND(C432*계산!$B$20,0))</f>
        <v/>
      </c>
    </row>
    <row r="433">
      <c r="A433" s="3" t="n"/>
      <c r="C433" s="4" t="n"/>
      <c r="E433" s="5">
        <f>IF(OR(C433="",D433="",D433="수입",계산!$B$20=""),"",ROUND(C433*계산!$B$20,0))</f>
        <v/>
      </c>
    </row>
    <row r="434">
      <c r="A434" s="3" t="n"/>
      <c r="C434" s="4" t="n"/>
      <c r="E434" s="5">
        <f>IF(OR(C434="",D434="",D434="수입",계산!$B$20=""),"",ROUND(C434*계산!$B$20,0))</f>
        <v/>
      </c>
    </row>
    <row r="435">
      <c r="A435" s="3" t="n"/>
      <c r="C435" s="4" t="n"/>
      <c r="E435" s="5">
        <f>IF(OR(C435="",D435="",D435="수입",계산!$B$20=""),"",ROUND(C435*계산!$B$20,0))</f>
        <v/>
      </c>
    </row>
    <row r="436">
      <c r="A436" s="3" t="n"/>
      <c r="C436" s="4" t="n"/>
      <c r="E436" s="5">
        <f>IF(OR(C436="",D436="",D436="수입",계산!$B$20=""),"",ROUND(C436*계산!$B$20,0))</f>
        <v/>
      </c>
    </row>
    <row r="437">
      <c r="A437" s="3" t="n"/>
      <c r="C437" s="4" t="n"/>
      <c r="E437" s="5">
        <f>IF(OR(C437="",D437="",D437="수입",계산!$B$20=""),"",ROUND(C437*계산!$B$20,0))</f>
        <v/>
      </c>
    </row>
    <row r="438">
      <c r="A438" s="3" t="n"/>
      <c r="C438" s="4" t="n"/>
      <c r="E438" s="5">
        <f>IF(OR(C438="",D438="",D438="수입",계산!$B$20=""),"",ROUND(C438*계산!$B$20,0))</f>
        <v/>
      </c>
    </row>
    <row r="439">
      <c r="A439" s="3" t="n"/>
      <c r="C439" s="4" t="n"/>
      <c r="E439" s="5">
        <f>IF(OR(C439="",D439="",D439="수입",계산!$B$20=""),"",ROUND(C439*계산!$B$20,0))</f>
        <v/>
      </c>
    </row>
    <row r="440">
      <c r="A440" s="3" t="n"/>
      <c r="C440" s="4" t="n"/>
      <c r="E440" s="5">
        <f>IF(OR(C440="",D440="",D440="수입",계산!$B$20=""),"",ROUND(C440*계산!$B$20,0))</f>
        <v/>
      </c>
    </row>
    <row r="441">
      <c r="A441" s="3" t="n"/>
      <c r="C441" s="4" t="n"/>
      <c r="E441" s="5">
        <f>IF(OR(C441="",D441="",D441="수입",계산!$B$20=""),"",ROUND(C441*계산!$B$20,0))</f>
        <v/>
      </c>
    </row>
    <row r="442">
      <c r="A442" s="3" t="n"/>
      <c r="C442" s="4" t="n"/>
      <c r="E442" s="5">
        <f>IF(OR(C442="",D442="",D442="수입",계산!$B$20=""),"",ROUND(C442*계산!$B$20,0))</f>
        <v/>
      </c>
    </row>
    <row r="443">
      <c r="A443" s="3" t="n"/>
      <c r="C443" s="4" t="n"/>
      <c r="E443" s="5">
        <f>IF(OR(C443="",D443="",D443="수입",계산!$B$20=""),"",ROUND(C443*계산!$B$20,0))</f>
        <v/>
      </c>
    </row>
    <row r="444">
      <c r="A444" s="3" t="n"/>
      <c r="C444" s="4" t="n"/>
      <c r="E444" s="5">
        <f>IF(OR(C444="",D444="",D444="수입",계산!$B$20=""),"",ROUND(C444*계산!$B$20,0))</f>
        <v/>
      </c>
    </row>
    <row r="445">
      <c r="A445" s="3" t="n"/>
      <c r="C445" s="4" t="n"/>
      <c r="E445" s="5">
        <f>IF(OR(C445="",D445="",D445="수입",계산!$B$20=""),"",ROUND(C445*계산!$B$20,0))</f>
        <v/>
      </c>
    </row>
    <row r="446">
      <c r="A446" s="3" t="n"/>
      <c r="C446" s="4" t="n"/>
      <c r="E446" s="5">
        <f>IF(OR(C446="",D446="",D446="수입",계산!$B$20=""),"",ROUND(C446*계산!$B$20,0))</f>
        <v/>
      </c>
    </row>
    <row r="447">
      <c r="A447" s="3" t="n"/>
      <c r="C447" s="4" t="n"/>
      <c r="E447" s="5">
        <f>IF(OR(C447="",D447="",D447="수입",계산!$B$20=""),"",ROUND(C447*계산!$B$20,0))</f>
        <v/>
      </c>
    </row>
    <row r="448">
      <c r="A448" s="3" t="n"/>
      <c r="C448" s="4" t="n"/>
      <c r="E448" s="5">
        <f>IF(OR(C448="",D448="",D448="수입",계산!$B$20=""),"",ROUND(C448*계산!$B$20,0))</f>
        <v/>
      </c>
    </row>
    <row r="449">
      <c r="A449" s="3" t="n"/>
      <c r="C449" s="4" t="n"/>
      <c r="E449" s="5">
        <f>IF(OR(C449="",D449="",D449="수입",계산!$B$20=""),"",ROUND(C449*계산!$B$20,0))</f>
        <v/>
      </c>
    </row>
    <row r="450">
      <c r="A450" s="3" t="n"/>
      <c r="C450" s="4" t="n"/>
      <c r="E450" s="5">
        <f>IF(OR(C450="",D450="",D450="수입",계산!$B$20=""),"",ROUND(C450*계산!$B$20,0))</f>
        <v/>
      </c>
    </row>
    <row r="451">
      <c r="A451" s="3" t="n"/>
      <c r="C451" s="4" t="n"/>
      <c r="E451" s="5">
        <f>IF(OR(C451="",D451="",D451="수입",계산!$B$20=""),"",ROUND(C451*계산!$B$20,0))</f>
        <v/>
      </c>
    </row>
    <row r="452">
      <c r="A452" s="3" t="n"/>
      <c r="C452" s="4" t="n"/>
      <c r="E452" s="5">
        <f>IF(OR(C452="",D452="",D452="수입",계산!$B$20=""),"",ROUND(C452*계산!$B$20,0))</f>
        <v/>
      </c>
    </row>
    <row r="453">
      <c r="A453" s="3" t="n"/>
      <c r="C453" s="4" t="n"/>
      <c r="E453" s="5">
        <f>IF(OR(C453="",D453="",D453="수입",계산!$B$20=""),"",ROUND(C453*계산!$B$20,0))</f>
        <v/>
      </c>
    </row>
    <row r="454">
      <c r="A454" s="3" t="n"/>
      <c r="C454" s="4" t="n"/>
      <c r="E454" s="5">
        <f>IF(OR(C454="",D454="",D454="수입",계산!$B$20=""),"",ROUND(C454*계산!$B$20,0))</f>
        <v/>
      </c>
    </row>
    <row r="455">
      <c r="A455" s="3" t="n"/>
      <c r="C455" s="4" t="n"/>
      <c r="E455" s="5">
        <f>IF(OR(C455="",D455="",D455="수입",계산!$B$20=""),"",ROUND(C455*계산!$B$20,0))</f>
        <v/>
      </c>
    </row>
    <row r="456">
      <c r="A456" s="3" t="n"/>
      <c r="C456" s="4" t="n"/>
      <c r="E456" s="5">
        <f>IF(OR(C456="",D456="",D456="수입",계산!$B$20=""),"",ROUND(C456*계산!$B$20,0))</f>
        <v/>
      </c>
    </row>
    <row r="457">
      <c r="A457" s="3" t="n"/>
      <c r="C457" s="4" t="n"/>
      <c r="E457" s="5">
        <f>IF(OR(C457="",D457="",D457="수입",계산!$B$20=""),"",ROUND(C457*계산!$B$20,0))</f>
        <v/>
      </c>
    </row>
    <row r="458">
      <c r="A458" s="3" t="n"/>
      <c r="C458" s="4" t="n"/>
      <c r="E458" s="5">
        <f>IF(OR(C458="",D458="",D458="수입",계산!$B$20=""),"",ROUND(C458*계산!$B$20,0))</f>
        <v/>
      </c>
    </row>
    <row r="459">
      <c r="A459" s="3" t="n"/>
      <c r="C459" s="4" t="n"/>
      <c r="E459" s="5">
        <f>IF(OR(C459="",D459="",D459="수입",계산!$B$20=""),"",ROUND(C459*계산!$B$20,0))</f>
        <v/>
      </c>
    </row>
    <row r="460">
      <c r="A460" s="3" t="n"/>
      <c r="C460" s="4" t="n"/>
      <c r="E460" s="5">
        <f>IF(OR(C460="",D460="",D460="수입",계산!$B$20=""),"",ROUND(C460*계산!$B$20,0))</f>
        <v/>
      </c>
    </row>
    <row r="461">
      <c r="A461" s="3" t="n"/>
      <c r="C461" s="4" t="n"/>
      <c r="E461" s="5">
        <f>IF(OR(C461="",D461="",D461="수입",계산!$B$20=""),"",ROUND(C461*계산!$B$20,0))</f>
        <v/>
      </c>
    </row>
    <row r="462">
      <c r="A462" s="3" t="n"/>
      <c r="C462" s="4" t="n"/>
      <c r="E462" s="5">
        <f>IF(OR(C462="",D462="",D462="수입",계산!$B$20=""),"",ROUND(C462*계산!$B$20,0))</f>
        <v/>
      </c>
    </row>
    <row r="463">
      <c r="A463" s="3" t="n"/>
      <c r="C463" s="4" t="n"/>
      <c r="E463" s="5">
        <f>IF(OR(C463="",D463="",D463="수입",계산!$B$20=""),"",ROUND(C463*계산!$B$20,0))</f>
        <v/>
      </c>
    </row>
    <row r="464">
      <c r="A464" s="3" t="n"/>
      <c r="C464" s="4" t="n"/>
      <c r="E464" s="5">
        <f>IF(OR(C464="",D464="",D464="수입",계산!$B$20=""),"",ROUND(C464*계산!$B$20,0))</f>
        <v/>
      </c>
    </row>
    <row r="465">
      <c r="A465" s="3" t="n"/>
      <c r="C465" s="4" t="n"/>
      <c r="E465" s="5">
        <f>IF(OR(C465="",D465="",D465="수입",계산!$B$20=""),"",ROUND(C465*계산!$B$20,0))</f>
        <v/>
      </c>
    </row>
    <row r="466">
      <c r="A466" s="3" t="n"/>
      <c r="C466" s="4" t="n"/>
      <c r="E466" s="5">
        <f>IF(OR(C466="",D466="",D466="수입",계산!$B$20=""),"",ROUND(C466*계산!$B$20,0))</f>
        <v/>
      </c>
    </row>
    <row r="467">
      <c r="A467" s="3" t="n"/>
      <c r="C467" s="4" t="n"/>
      <c r="E467" s="5">
        <f>IF(OR(C467="",D467="",D467="수입",계산!$B$20=""),"",ROUND(C467*계산!$B$20,0))</f>
        <v/>
      </c>
    </row>
    <row r="468">
      <c r="A468" s="3" t="n"/>
      <c r="C468" s="4" t="n"/>
      <c r="E468" s="5">
        <f>IF(OR(C468="",D468="",D468="수입",계산!$B$20=""),"",ROUND(C468*계산!$B$20,0))</f>
        <v/>
      </c>
    </row>
    <row r="469">
      <c r="A469" s="3" t="n"/>
      <c r="C469" s="4" t="n"/>
      <c r="E469" s="5">
        <f>IF(OR(C469="",D469="",D469="수입",계산!$B$20=""),"",ROUND(C469*계산!$B$20,0))</f>
        <v/>
      </c>
    </row>
    <row r="470">
      <c r="A470" s="3" t="n"/>
      <c r="C470" s="4" t="n"/>
      <c r="E470" s="5">
        <f>IF(OR(C470="",D470="",D470="수입",계산!$B$20=""),"",ROUND(C470*계산!$B$20,0))</f>
        <v/>
      </c>
    </row>
    <row r="471">
      <c r="A471" s="3" t="n"/>
      <c r="C471" s="4" t="n"/>
      <c r="E471" s="5">
        <f>IF(OR(C471="",D471="",D471="수입",계산!$B$20=""),"",ROUND(C471*계산!$B$20,0))</f>
        <v/>
      </c>
    </row>
    <row r="472">
      <c r="A472" s="3" t="n"/>
      <c r="C472" s="4" t="n"/>
      <c r="E472" s="5">
        <f>IF(OR(C472="",D472="",D472="수입",계산!$B$20=""),"",ROUND(C472*계산!$B$20,0))</f>
        <v/>
      </c>
    </row>
    <row r="473">
      <c r="A473" s="3" t="n"/>
      <c r="C473" s="4" t="n"/>
      <c r="E473" s="5">
        <f>IF(OR(C473="",D473="",D473="수입",계산!$B$20=""),"",ROUND(C473*계산!$B$20,0))</f>
        <v/>
      </c>
    </row>
    <row r="474">
      <c r="A474" s="3" t="n"/>
      <c r="C474" s="4" t="n"/>
      <c r="E474" s="5">
        <f>IF(OR(C474="",D474="",D474="수입",계산!$B$20=""),"",ROUND(C474*계산!$B$20,0))</f>
        <v/>
      </c>
    </row>
    <row r="475">
      <c r="A475" s="3" t="n"/>
      <c r="C475" s="4" t="n"/>
      <c r="E475" s="5">
        <f>IF(OR(C475="",D475="",D475="수입",계산!$B$20=""),"",ROUND(C475*계산!$B$20,0))</f>
        <v/>
      </c>
    </row>
    <row r="476">
      <c r="A476" s="3" t="n"/>
      <c r="C476" s="4" t="n"/>
      <c r="E476" s="5">
        <f>IF(OR(C476="",D476="",D476="수입",계산!$B$20=""),"",ROUND(C476*계산!$B$20,0))</f>
        <v/>
      </c>
    </row>
    <row r="477">
      <c r="A477" s="3" t="n"/>
      <c r="C477" s="4" t="n"/>
      <c r="E477" s="5">
        <f>IF(OR(C477="",D477="",D477="수입",계산!$B$20=""),"",ROUND(C477*계산!$B$20,0))</f>
        <v/>
      </c>
    </row>
    <row r="478">
      <c r="A478" s="3" t="n"/>
      <c r="C478" s="4" t="n"/>
      <c r="E478" s="5">
        <f>IF(OR(C478="",D478="",D478="수입",계산!$B$20=""),"",ROUND(C478*계산!$B$20,0))</f>
        <v/>
      </c>
    </row>
    <row r="479">
      <c r="A479" s="3" t="n"/>
      <c r="C479" s="4" t="n"/>
      <c r="E479" s="5">
        <f>IF(OR(C479="",D479="",D479="수입",계산!$B$20=""),"",ROUND(C479*계산!$B$20,0))</f>
        <v/>
      </c>
    </row>
    <row r="480">
      <c r="A480" s="3" t="n"/>
      <c r="C480" s="4" t="n"/>
      <c r="E480" s="5">
        <f>IF(OR(C480="",D480="",D480="수입",계산!$B$20=""),"",ROUND(C480*계산!$B$20,0))</f>
        <v/>
      </c>
    </row>
    <row r="481">
      <c r="A481" s="3" t="n"/>
      <c r="C481" s="4" t="n"/>
      <c r="E481" s="5">
        <f>IF(OR(C481="",D481="",D481="수입",계산!$B$20=""),"",ROUND(C481*계산!$B$20,0))</f>
        <v/>
      </c>
    </row>
    <row r="482">
      <c r="A482" s="3" t="n"/>
      <c r="C482" s="4" t="n"/>
      <c r="E482" s="5">
        <f>IF(OR(C482="",D482="",D482="수입",계산!$B$20=""),"",ROUND(C482*계산!$B$20,0))</f>
        <v/>
      </c>
    </row>
    <row r="483">
      <c r="A483" s="3" t="n"/>
      <c r="C483" s="4" t="n"/>
      <c r="E483" s="5">
        <f>IF(OR(C483="",D483="",D483="수입",계산!$B$20=""),"",ROUND(C483*계산!$B$20,0))</f>
        <v/>
      </c>
    </row>
    <row r="484">
      <c r="A484" s="3" t="n"/>
      <c r="C484" s="4" t="n"/>
      <c r="E484" s="5">
        <f>IF(OR(C484="",D484="",D484="수입",계산!$B$20=""),"",ROUND(C484*계산!$B$20,0))</f>
        <v/>
      </c>
    </row>
    <row r="485">
      <c r="A485" s="3" t="n"/>
      <c r="C485" s="4" t="n"/>
      <c r="E485" s="5">
        <f>IF(OR(C485="",D485="",D485="수입",계산!$B$20=""),"",ROUND(C485*계산!$B$20,0))</f>
        <v/>
      </c>
    </row>
    <row r="486">
      <c r="A486" s="3" t="n"/>
      <c r="C486" s="4" t="n"/>
      <c r="E486" s="5">
        <f>IF(OR(C486="",D486="",D486="수입",계산!$B$20=""),"",ROUND(C486*계산!$B$20,0))</f>
        <v/>
      </c>
    </row>
    <row r="487">
      <c r="A487" s="3" t="n"/>
      <c r="C487" s="4" t="n"/>
      <c r="E487" s="5">
        <f>IF(OR(C487="",D487="",D487="수입",계산!$B$20=""),"",ROUND(C487*계산!$B$20,0))</f>
        <v/>
      </c>
    </row>
    <row r="488">
      <c r="A488" s="3" t="n"/>
      <c r="C488" s="4" t="n"/>
      <c r="E488" s="5">
        <f>IF(OR(C488="",D488="",D488="수입",계산!$B$20=""),"",ROUND(C488*계산!$B$20,0))</f>
        <v/>
      </c>
    </row>
    <row r="489">
      <c r="A489" s="3" t="n"/>
      <c r="C489" s="4" t="n"/>
      <c r="E489" s="5">
        <f>IF(OR(C489="",D489="",D489="수입",계산!$B$20=""),"",ROUND(C489*계산!$B$20,0))</f>
        <v/>
      </c>
    </row>
    <row r="490">
      <c r="A490" s="3" t="n"/>
      <c r="C490" s="4" t="n"/>
      <c r="E490" s="5">
        <f>IF(OR(C490="",D490="",D490="수입",계산!$B$20=""),"",ROUND(C490*계산!$B$20,0))</f>
        <v/>
      </c>
    </row>
    <row r="491">
      <c r="A491" s="3" t="n"/>
      <c r="C491" s="4" t="n"/>
      <c r="E491" s="5">
        <f>IF(OR(C491="",D491="",D491="수입",계산!$B$20=""),"",ROUND(C491*계산!$B$20,0))</f>
        <v/>
      </c>
    </row>
    <row r="492">
      <c r="A492" s="3" t="n"/>
      <c r="C492" s="4" t="n"/>
      <c r="E492" s="5">
        <f>IF(OR(C492="",D492="",D492="수입",계산!$B$20=""),"",ROUND(C492*계산!$B$20,0))</f>
        <v/>
      </c>
    </row>
    <row r="493">
      <c r="A493" s="3" t="n"/>
      <c r="C493" s="4" t="n"/>
      <c r="E493" s="5">
        <f>IF(OR(C493="",D493="",D493="수입",계산!$B$20=""),"",ROUND(C493*계산!$B$20,0))</f>
        <v/>
      </c>
    </row>
    <row r="494">
      <c r="A494" s="3" t="n"/>
      <c r="C494" s="4" t="n"/>
      <c r="E494" s="5">
        <f>IF(OR(C494="",D494="",D494="수입",계산!$B$20=""),"",ROUND(C494*계산!$B$20,0))</f>
        <v/>
      </c>
    </row>
    <row r="495">
      <c r="A495" s="3" t="n"/>
      <c r="C495" s="4" t="n"/>
      <c r="E495" s="5">
        <f>IF(OR(C495="",D495="",D495="수입",계산!$B$20=""),"",ROUND(C495*계산!$B$20,0))</f>
        <v/>
      </c>
    </row>
    <row r="496">
      <c r="A496" s="3" t="n"/>
      <c r="C496" s="4" t="n"/>
      <c r="E496" s="5">
        <f>IF(OR(C496="",D496="",D496="수입",계산!$B$20=""),"",ROUND(C496*계산!$B$20,0))</f>
        <v/>
      </c>
    </row>
    <row r="497">
      <c r="A497" s="3" t="n"/>
      <c r="C497" s="4" t="n"/>
      <c r="E497" s="5">
        <f>IF(OR(C497="",D497="",D497="수입",계산!$B$20=""),"",ROUND(C497*계산!$B$20,0))</f>
        <v/>
      </c>
    </row>
    <row r="498">
      <c r="A498" s="3" t="n"/>
      <c r="C498" s="4" t="n"/>
      <c r="E498" s="5">
        <f>IF(OR(C498="",D498="",D498="수입",계산!$B$20=""),"",ROUND(C498*계산!$B$20,0))</f>
        <v/>
      </c>
    </row>
    <row r="499">
      <c r="A499" s="3" t="n"/>
      <c r="C499" s="4" t="n"/>
      <c r="E499" s="5">
        <f>IF(OR(C499="",D499="",D499="수입",계산!$B$20=""),"",ROUND(C499*계산!$B$20,0))</f>
        <v/>
      </c>
    </row>
    <row r="500">
      <c r="A500" s="3" t="n"/>
      <c r="C500" s="4" t="n"/>
      <c r="E500" s="5">
        <f>IF(OR(C500="",D500="",D500="수입",계산!$B$20=""),"",ROUND(C500*계산!$B$20,0))</f>
        <v/>
      </c>
    </row>
    <row r="501">
      <c r="A501" s="3" t="n"/>
      <c r="C501" s="4" t="n"/>
      <c r="E501" s="5">
        <f>IF(OR(C501="",D501="",D501="수입",계산!$B$20=""),"",ROUND(C501*계산!$B$20,0))</f>
        <v/>
      </c>
    </row>
    <row r="502">
      <c r="A502" s="3" t="n"/>
      <c r="C502" s="4" t="n"/>
      <c r="E502" s="5">
        <f>IF(OR(C502="",D502="",D502="수입",계산!$B$20=""),"",ROUND(C502*계산!$B$20,0))</f>
        <v/>
      </c>
    </row>
  </sheetData>
  <dataValidations count="1">
    <dataValidation sqref="D3:D502" showDropDown="0" showInputMessage="0" showErrorMessage="0" allowBlank="1" type="list">
      <formula1>=계산!$H$2:$H$14</formula1>
    </dataValidation>
  </dataValidation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3:G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6" customWidth="1" min="7" max="7"/>
  </cols>
  <sheetData>
    <row r="3">
      <c r="B3" s="10" t="inlineStr">
        <is>
          <t>은퇴 나이</t>
        </is>
      </c>
    </row>
    <row r="4">
      <c r="B4" s="11">
        <f>계산!B30</f>
        <v/>
      </c>
    </row>
    <row r="5"/>
    <row r="6"/>
    <row r="7">
      <c r="B7" s="10">
        <f>계산!B31</f>
        <v/>
      </c>
    </row>
    <row r="9">
      <c r="B9" s="12" t="inlineStr">
        <is>
          <t>연 지출</t>
        </is>
      </c>
      <c r="D9" s="12" t="inlineStr">
        <is>
          <t>필요 자산</t>
        </is>
      </c>
      <c r="F9" s="12" t="inlineStr">
        <is>
          <t>현재 자산</t>
        </is>
      </c>
    </row>
    <row r="10">
      <c r="B10" s="13">
        <f>계산!B6*12</f>
        <v/>
      </c>
      <c r="C10" s="14" t="n"/>
      <c r="D10" s="13">
        <f>계산!B32</f>
        <v/>
      </c>
      <c r="E10" s="14" t="n"/>
      <c r="F10" s="13">
        <f>D13</f>
        <v/>
      </c>
      <c r="G10" s="14" t="n"/>
    </row>
    <row r="12">
      <c r="B12" s="15" t="inlineStr">
        <is>
          <t>현재 나이</t>
        </is>
      </c>
      <c r="D12" s="16" t="n">
        <v>30</v>
      </c>
      <c r="E12" s="17" t="n"/>
      <c r="F12" s="18" t="n"/>
      <c r="G12" s="10" t="inlineStr">
        <is>
          <t>세</t>
        </is>
      </c>
    </row>
    <row r="13">
      <c r="B13" s="15" t="inlineStr">
        <is>
          <t>현재 자산</t>
        </is>
      </c>
      <c r="D13" s="19" t="n">
        <v>30000000</v>
      </c>
      <c r="E13" s="17" t="n"/>
      <c r="F13" s="18" t="n"/>
      <c r="G13" s="10" t="inlineStr">
        <is>
          <t>원</t>
        </is>
      </c>
    </row>
    <row r="14">
      <c r="B14" s="15" t="inlineStr">
        <is>
          <t>연 수익률</t>
        </is>
      </c>
      <c r="D14" s="20" t="n">
        <v>5</v>
      </c>
      <c r="E14" s="17" t="n"/>
      <c r="F14" s="18" t="n"/>
      <c r="G14" s="10" t="inlineStr">
        <is>
          <t>%</t>
        </is>
      </c>
    </row>
    <row r="15">
      <c r="B15" s="15" t="inlineStr">
        <is>
          <t>물가</t>
        </is>
      </c>
      <c r="D15" s="20" t="n">
        <v>3</v>
      </c>
      <c r="E15" s="17" t="n"/>
      <c r="F15" s="18" t="n"/>
      <c r="G15" s="10" t="inlineStr">
        <is>
          <t>%</t>
        </is>
      </c>
    </row>
    <row r="18">
      <c r="B18" s="21" t="inlineStr">
        <is>
          <t>파이어맵 계산기와 같은 식 · firemap.kr</t>
        </is>
      </c>
    </row>
  </sheetData>
  <mergeCells count="8">
    <mergeCell ref="D13:F13"/>
    <mergeCell ref="D14:F14"/>
    <mergeCell ref="D10:E10"/>
    <mergeCell ref="F10:G10"/>
    <mergeCell ref="B10:C10"/>
    <mergeCell ref="D12:F12"/>
    <mergeCell ref="B4:D6"/>
    <mergeCell ref="D15:F15"/>
  </mergeCells>
  <hyperlinks>
    <hyperlink xmlns:r="http://schemas.openxmlformats.org/officeDocument/2006/relationships" ref="B18" r:id="rId1"/>
  </hyperlinks>
  <pageMargins left="0.75" right="0.75" top="1" bottom="1" header="0.5" footer="0.5"/>
  <pageSetup orientation="landscape" fitToWidth="1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2">
      <c r="B2" s="22" t="inlineStr">
        <is>
          <t>쓰는 법</t>
        </is>
      </c>
    </row>
    <row r="3">
      <c r="B3" s="23" t="inlineStr">
        <is>
          <t>1. 「월 가계부」에 날짜·항목·금액을 넣고 분류를 목록에서 고릅니다. 월급 같은 들어온 돈은 분류를 「수입」으로 둡니다.</t>
        </is>
      </c>
    </row>
    <row r="4">
      <c r="B4" s="23" t="inlineStr">
        <is>
          <t>2. 카드사·가계부 앱에서 내려받은 내역의 날짜·내용·금액 세 열을 A~C열에 그대로 붙여 넣을 수 있습니다. 열 순서가 다르면 순서만 맞춰 주세요.</t>
        </is>
      </c>
    </row>
    <row r="5">
      <c r="B5" s="23" t="inlineStr">
        <is>
          <t>3. 지출 줄 오른쪽 「은퇴 +N일」은 그 지출이 매달 반복된다고 가정할 때 은퇴 나이가 며칠 늦어지는지입니다.</t>
        </is>
      </c>
    </row>
    <row r="6">
      <c r="B6" s="23" t="inlineStr">
        <is>
          <t>4. 「은퇴 나이」 시트에 현재 나이·현재 자산·연 수익률·물가 네 칸을 넣으면 가장 최근 달의 수입·지출로 은퇴 나이를 계산합니다.</t>
        </is>
      </c>
    </row>
    <row r="7">
      <c r="B7" s="23" t="inlineStr">
        <is>
          <t>5. 예시 줄(2026년 9~10월)은 지우고 쓰세요. 다음 달에 줄을 더하면 「지난달보다」가 바뀝니다.</t>
        </is>
      </c>
    </row>
    <row r="8">
      <c r="B8" s="23" t="inlineStr"/>
    </row>
    <row r="9">
      <c r="B9" s="22" t="inlineStr">
        <is>
          <t>계산 가정</t>
        </is>
      </c>
    </row>
    <row r="10">
      <c r="B10" s="23" t="inlineStr">
        <is>
          <t>· 최근 달 (수입 − 지출)을 은퇴할 때까지 매달 모으고, 은퇴 뒤에는 그달 지출을 매년 물가만큼 늘려 꺼내 씁니다.</t>
        </is>
      </c>
    </row>
    <row r="11">
      <c r="B11" s="23" t="inlineStr">
        <is>
          <t>· 90세까지 자산이 남는 가장 이른 나이를 찾습니다(70세까지). 국민연금·퇴직금·부동산·세금은 넣지 않았습니다.</t>
        </is>
      </c>
    </row>
    <row r="12">
      <c r="B12" s="23" t="inlineStr">
        <is>
          <t>· 「이번 달 지출대로면 지난달보다 N개월 빨라져요·늦어져요」는 앞뒤 두 해 결과 사이를 나눠 어림한 값입니다.</t>
        </is>
      </c>
    </row>
    <row r="13">
      <c r="B13" s="23" t="inlineStr">
        <is>
          <t>· 「나이별 자산」 그래프는 은퇴 나이에 일을 그만두면 90세까지 자산이 어떻게 바뀌는지, 「월별 저축률」은 최근 12개월 (수입 − 지출) ÷ 수입입니다.</t>
        </is>
      </c>
    </row>
    <row r="14">
      <c r="B14" s="23" t="inlineStr">
        <is>
          <t>· 「은퇴 +N일」은 월 지출이 10만원 늘 때 바뀌는 날 수에 비례해 어림한 값입니다.</t>
        </is>
      </c>
    </row>
    <row r="15">
      <c r="B15" s="23" t="inlineStr"/>
    </row>
    <row r="16">
      <c r="B16" s="22" t="inlineStr">
        <is>
          <t>알림</t>
        </is>
      </c>
    </row>
    <row r="17">
      <c r="B17" s="23" t="inlineStr">
        <is>
          <t>· 이 파일은 계산 도구이며 투자 조언이 아닙니다. 특정 종목·금융상품을 추천하지 않고, 수익을 보장하지 않습니다.</t>
        </is>
      </c>
    </row>
    <row r="18">
      <c r="B18" s="23" t="inlineStr">
        <is>
          <t>· 지출 분류: 통계청 가계동향조사 소비지출 12대 비목.</t>
        </is>
      </c>
    </row>
    <row r="19">
      <c r="B19" s="23" t="inlineStr">
        <is>
          <t>· 기준일 2026-10-01</t>
        </is>
      </c>
    </row>
    <row r="20">
      <c r="B20" s="24" t="inlineStr">
        <is>
          <t>firemap.kr</t>
        </is>
      </c>
    </row>
  </sheetData>
  <hyperlinks>
    <hyperlink xmlns:r="http://schemas.openxmlformats.org/officeDocument/2006/relationships" ref="B20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나이</t>
        </is>
      </c>
      <c r="B1">
        <f>'은퇴 나이'!D12</f>
        <v/>
      </c>
      <c r="H1" t="inlineStr">
        <is>
          <t>분류 목록</t>
        </is>
      </c>
      <c r="CB1" t="inlineStr">
        <is>
          <t>y</t>
        </is>
      </c>
      <c r="CC1" t="inlineStr">
        <is>
          <t>할인 인출</t>
        </is>
      </c>
      <c r="CE1" t="inlineStr">
        <is>
          <t>나이</t>
        </is>
      </c>
      <c r="CF1" t="inlineStr">
        <is>
          <t>자산</t>
        </is>
      </c>
    </row>
    <row r="2">
      <c r="A2" t="inlineStr">
        <is>
          <t>자산</t>
        </is>
      </c>
      <c r="B2">
        <f>'은퇴 나이'!D13</f>
        <v/>
      </c>
      <c r="H2" t="inlineStr">
        <is>
          <t>수입</t>
        </is>
      </c>
      <c r="CB2" t="n">
        <v>1</v>
      </c>
      <c r="CC2">
        <f>IF($B$1+CB2&gt;90,0,12*$B$6*(1+$B$4)^CB2/(1+$B$3)^(CB2-1))</f>
        <v/>
      </c>
      <c r="CE2">
        <f>IF($B$1+0&gt;90,NA(),$B$1+0)</f>
        <v/>
      </c>
      <c r="CF2">
        <f>IF(OR($B$21="",$B$1+0&gt;90),NA(),INDEX($C$40:$BU$90,$B$21-$B$1+1,1))</f>
        <v/>
      </c>
    </row>
    <row r="3">
      <c r="A3" t="inlineStr">
        <is>
          <t>수익률</t>
        </is>
      </c>
      <c r="B3">
        <f>'은퇴 나이'!D14/100</f>
        <v/>
      </c>
      <c r="H3" t="inlineStr">
        <is>
          <t>식료품·비주류음료</t>
        </is>
      </c>
      <c r="CB3" t="n">
        <v>2</v>
      </c>
      <c r="CC3">
        <f>IF($B$1+CB3&gt;90,0,12*$B$6*(1+$B$4)^CB3/(1+$B$3)^(CB3-1))</f>
        <v/>
      </c>
      <c r="CE3">
        <f>IF($B$1+1&gt;90,NA(),$B$1+1)</f>
        <v/>
      </c>
      <c r="CF3">
        <f>IF(OR($B$21="",$B$1+1&gt;90),NA(),INDEX($C$40:$BU$90,$B$21-$B$1+1,2))</f>
        <v/>
      </c>
    </row>
    <row r="4">
      <c r="A4" t="inlineStr">
        <is>
          <t>물가</t>
        </is>
      </c>
      <c r="B4">
        <f>'은퇴 나이'!D15/100</f>
        <v/>
      </c>
      <c r="H4" t="inlineStr">
        <is>
          <t>주류·담배</t>
        </is>
      </c>
      <c r="CB4" t="n">
        <v>3</v>
      </c>
      <c r="CC4">
        <f>IF($B$1+CB4&gt;90,0,12*$B$6*(1+$B$4)^CB4/(1+$B$3)^(CB4-1))</f>
        <v/>
      </c>
      <c r="CE4">
        <f>IF($B$1+2&gt;90,NA(),$B$1+2)</f>
        <v/>
      </c>
      <c r="CF4">
        <f>IF(OR($B$21="",$B$1+2&gt;90),NA(),INDEX($C$40:$BU$90,$B$21-$B$1+1,3))</f>
        <v/>
      </c>
    </row>
    <row r="5">
      <c r="A5" t="inlineStr">
        <is>
          <t>최근 달</t>
        </is>
      </c>
      <c r="B5">
        <f>IF(COUNT('월 가계부'!$A$3:$A$502)=0,"",DATE(YEAR(MAX('월 가계부'!$A$3:$A$502)),MONTH(MAX('월 가계부'!$A$3:$A$502)),1))</f>
        <v/>
      </c>
      <c r="H5" t="inlineStr">
        <is>
          <t>의류·신발</t>
        </is>
      </c>
      <c r="CB5" t="n">
        <v>4</v>
      </c>
      <c r="CC5">
        <f>IF($B$1+CB5&gt;90,0,12*$B$6*(1+$B$4)^CB5/(1+$B$3)^(CB5-1))</f>
        <v/>
      </c>
      <c r="CE5">
        <f>IF($B$1+3&gt;90,NA(),$B$1+3)</f>
        <v/>
      </c>
      <c r="CF5">
        <f>IF(OR($B$21="",$B$1+3&gt;90),NA(),INDEX($C$40:$BU$90,$B$21-$B$1+1,4))</f>
        <v/>
      </c>
    </row>
    <row r="6">
      <c r="A6" t="inlineStr">
        <is>
          <t>이번 달 지출</t>
        </is>
      </c>
      <c r="B6">
        <f>IF(B5="",0,INDEX('월 가계부'!$I$3:$I$14,12))</f>
        <v/>
      </c>
      <c r="H6" t="inlineStr">
        <is>
          <t>주거·수도·광열</t>
        </is>
      </c>
      <c r="CB6" t="n">
        <v>5</v>
      </c>
      <c r="CC6">
        <f>IF($B$1+CB6&gt;90,0,12*$B$6*(1+$B$4)^CB6/(1+$B$3)^(CB6-1))</f>
        <v/>
      </c>
      <c r="CE6">
        <f>IF($B$1+4&gt;90,NA(),$B$1+4)</f>
        <v/>
      </c>
      <c r="CF6">
        <f>IF(OR($B$21="",$B$1+4&gt;90),NA(),INDEX($C$40:$BU$90,$B$21-$B$1+1,5))</f>
        <v/>
      </c>
    </row>
    <row r="7">
      <c r="A7" t="inlineStr">
        <is>
          <t>이번 달 저축</t>
        </is>
      </c>
      <c r="B7">
        <f>IF(B5="",0,INDEX('월 가계부'!$J$3:$J$14,12))</f>
        <v/>
      </c>
      <c r="H7" t="inlineStr">
        <is>
          <t>가정용품·가사서비스</t>
        </is>
      </c>
      <c r="CB7" t="n">
        <v>6</v>
      </c>
      <c r="CC7">
        <f>IF($B$1+CB7&gt;90,0,12*$B$6*(1+$B$4)^CB7/(1+$B$3)^(CB7-1))</f>
        <v/>
      </c>
      <c r="CE7">
        <f>IF($B$1+5&gt;90,NA(),$B$1+5)</f>
        <v/>
      </c>
      <c r="CF7">
        <f>IF(OR($B$21="",$B$1+5&gt;90),NA(),INDEX($C$40:$BU$90,$B$21-$B$1+1,6))</f>
        <v/>
      </c>
    </row>
    <row r="8">
      <c r="A8" t="inlineStr">
        <is>
          <t>지난달 지출</t>
        </is>
      </c>
      <c r="B8">
        <f>IF(B5="",0,INDEX('월 가계부'!$I$3:$I$14,11))</f>
        <v/>
      </c>
      <c r="H8" t="inlineStr">
        <is>
          <t>보건</t>
        </is>
      </c>
      <c r="CB8" t="n">
        <v>7</v>
      </c>
      <c r="CC8">
        <f>IF($B$1+CB8&gt;90,0,12*$B$6*(1+$B$4)^CB8/(1+$B$3)^(CB8-1))</f>
        <v/>
      </c>
      <c r="CE8">
        <f>IF($B$1+6&gt;90,NA(),$B$1+6)</f>
        <v/>
      </c>
      <c r="CF8">
        <f>IF(OR($B$21="",$B$1+6&gt;90),NA(),INDEX($C$40:$BU$90,$B$21-$B$1+1,7))</f>
        <v/>
      </c>
    </row>
    <row r="9">
      <c r="A9" t="inlineStr">
        <is>
          <t>지난달 저축</t>
        </is>
      </c>
      <c r="B9">
        <f>IF(B5="",0,INDEX('월 가계부'!$J$3:$J$14,11))</f>
        <v/>
      </c>
      <c r="H9" t="inlineStr">
        <is>
          <t>교통</t>
        </is>
      </c>
      <c r="CB9" t="n">
        <v>8</v>
      </c>
      <c r="CC9">
        <f>IF($B$1+CB9&gt;90,0,12*$B$6*(1+$B$4)^CB9/(1+$B$3)^(CB9-1))</f>
        <v/>
      </c>
      <c r="CE9">
        <f>IF($B$1+7&gt;90,NA(),$B$1+7)</f>
        <v/>
      </c>
      <c r="CF9">
        <f>IF(OR($B$21="",$B$1+7&gt;90),NA(),INDEX($C$40:$BU$90,$B$21-$B$1+1,8))</f>
        <v/>
      </c>
    </row>
    <row r="10">
      <c r="A10" t="inlineStr">
        <is>
          <t>기울기 증가분</t>
        </is>
      </c>
      <c r="B10" t="n">
        <v>100000</v>
      </c>
      <c r="H10" t="inlineStr">
        <is>
          <t>통신</t>
        </is>
      </c>
      <c r="CB10" t="n">
        <v>9</v>
      </c>
      <c r="CC10">
        <f>IF($B$1+CB10&gt;90,0,12*$B$6*(1+$B$4)^CB10/(1+$B$3)^(CB10-1))</f>
        <v/>
      </c>
      <c r="CE10">
        <f>IF($B$1+8&gt;90,NA(),$B$1+8)</f>
        <v/>
      </c>
      <c r="CF10">
        <f>IF(OR($B$21="",$B$1+8&gt;90),NA(),INDEX($C$40:$BU$90,$B$21-$B$1+1,9))</f>
        <v/>
      </c>
    </row>
    <row r="11">
      <c r="H11" t="inlineStr">
        <is>
          <t>오락·문화</t>
        </is>
      </c>
      <c r="CB11" t="n">
        <v>10</v>
      </c>
      <c r="CC11">
        <f>IF($B$1+CB11&gt;90,0,12*$B$6*(1+$B$4)^CB11/(1+$B$3)^(CB11-1))</f>
        <v/>
      </c>
      <c r="CE11">
        <f>IF($B$1+9&gt;90,NA(),$B$1+9)</f>
        <v/>
      </c>
      <c r="CF11">
        <f>IF(OR($B$21="",$B$1+9&gt;90),NA(),INDEX($C$40:$BU$90,$B$21-$B$1+1,10))</f>
        <v/>
      </c>
    </row>
    <row r="12">
      <c r="H12" t="inlineStr">
        <is>
          <t>교육</t>
        </is>
      </c>
      <c r="CB12" t="n">
        <v>11</v>
      </c>
      <c r="CC12">
        <f>IF($B$1+CB12&gt;90,0,12*$B$6*(1+$B$4)^CB12/(1+$B$3)^(CB12-1))</f>
        <v/>
      </c>
      <c r="CE12">
        <f>IF($B$1+10&gt;90,NA(),$B$1+10)</f>
        <v/>
      </c>
      <c r="CF12">
        <f>IF(OR($B$21="",$B$1+10&gt;90),NA(),INDEX($C$40:$BU$90,$B$21-$B$1+1,11))</f>
        <v/>
      </c>
    </row>
    <row r="13">
      <c r="H13" t="inlineStr">
        <is>
          <t>음식·숙박</t>
        </is>
      </c>
      <c r="CB13" t="n">
        <v>12</v>
      </c>
      <c r="CC13">
        <f>IF($B$1+CB13&gt;90,0,12*$B$6*(1+$B$4)^CB13/(1+$B$3)^(CB13-1))</f>
        <v/>
      </c>
      <c r="CE13">
        <f>IF($B$1+11&gt;90,NA(),$B$1+11)</f>
        <v/>
      </c>
      <c r="CF13">
        <f>IF(OR($B$21="",$B$1+11&gt;90),NA(),INDEX($C$40:$BU$90,$B$21-$B$1+1,12))</f>
        <v/>
      </c>
    </row>
    <row r="14">
      <c r="H14" t="inlineStr">
        <is>
          <t>기타상품·서비스</t>
        </is>
      </c>
      <c r="CB14" t="n">
        <v>13</v>
      </c>
      <c r="CC14">
        <f>IF($B$1+CB14&gt;90,0,12*$B$6*(1+$B$4)^CB14/(1+$B$3)^(CB14-1))</f>
        <v/>
      </c>
      <c r="CE14">
        <f>IF($B$1+12&gt;90,NA(),$B$1+12)</f>
        <v/>
      </c>
      <c r="CF14">
        <f>IF(OR($B$21="",$B$1+12&gt;90),NA(),INDEX($C$40:$BU$90,$B$21-$B$1+1,13))</f>
        <v/>
      </c>
    </row>
    <row r="15">
      <c r="CB15" t="n">
        <v>14</v>
      </c>
      <c r="CC15">
        <f>IF($B$1+CB15&gt;90,0,12*$B$6*(1+$B$4)^CB15/(1+$B$3)^(CB15-1))</f>
        <v/>
      </c>
      <c r="CE15">
        <f>IF($B$1+13&gt;90,NA(),$B$1+13)</f>
        <v/>
      </c>
      <c r="CF15">
        <f>IF(OR($B$21="",$B$1+13&gt;90),NA(),INDEX($C$40:$BU$90,$B$21-$B$1+1,14))</f>
        <v/>
      </c>
    </row>
    <row r="16">
      <c r="CB16" t="n">
        <v>15</v>
      </c>
      <c r="CC16">
        <f>IF($B$1+CB16&gt;90,0,12*$B$6*(1+$B$4)^CB16/(1+$B$3)^(CB16-1))</f>
        <v/>
      </c>
      <c r="CE16">
        <f>IF($B$1+14&gt;90,NA(),$B$1+14)</f>
        <v/>
      </c>
      <c r="CF16">
        <f>IF(OR($B$21="",$B$1+14&gt;90),NA(),INDEX($C$40:$BU$90,$B$21-$B$1+1,15))</f>
        <v/>
      </c>
    </row>
    <row r="17">
      <c r="CB17" t="n">
        <v>16</v>
      </c>
      <c r="CC17">
        <f>IF($B$1+CB17&gt;90,0,12*$B$6*(1+$B$4)^CB17/(1+$B$3)^(CB17-1))</f>
        <v/>
      </c>
      <c r="CE17">
        <f>IF($B$1+15&gt;90,NA(),$B$1+15)</f>
        <v/>
      </c>
      <c r="CF17">
        <f>IF(OR($B$21="",$B$1+15&gt;90),NA(),INDEX($C$40:$BU$90,$B$21-$B$1+1,16))</f>
        <v/>
      </c>
    </row>
    <row r="18">
      <c r="CB18" t="n">
        <v>17</v>
      </c>
      <c r="CC18">
        <f>IF($B$1+CB18&gt;90,0,12*$B$6*(1+$B$4)^CB18/(1+$B$3)^(CB18-1))</f>
        <v/>
      </c>
      <c r="CE18">
        <f>IF($B$1+16&gt;90,NA(),$B$1+16)</f>
        <v/>
      </c>
      <c r="CF18">
        <f>IF(OR($B$21="",$B$1+16&gt;90),NA(),INDEX($C$40:$BU$90,$B$21-$B$1+1,17))</f>
        <v/>
      </c>
    </row>
    <row r="19">
      <c r="CB19" t="n">
        <v>18</v>
      </c>
      <c r="CC19">
        <f>IF($B$1+CB19&gt;90,0,12*$B$6*(1+$B$4)^CB19/(1+$B$3)^(CB19-1))</f>
        <v/>
      </c>
      <c r="CE19">
        <f>IF($B$1+17&gt;90,NA(),$B$1+17)</f>
        <v/>
      </c>
      <c r="CF19">
        <f>IF(OR($B$21="",$B$1+17&gt;90),NA(),INDEX($C$40:$BU$90,$B$21-$B$1+1,18))</f>
        <v/>
      </c>
    </row>
    <row r="20">
      <c r="A20" t="inlineStr">
        <is>
          <t>+N일 기울기(일/원)</t>
        </is>
      </c>
      <c r="B20">
        <f>IF(OR(C37="",C93=""),"",(C93-C37)*365/$B$10)</f>
        <v/>
      </c>
      <c r="CB20" t="n">
        <v>19</v>
      </c>
      <c r="CC20">
        <f>IF($B$1+CB20&gt;90,0,12*$B$6*(1+$B$4)^CB20/(1+$B$3)^(CB20-1))</f>
        <v/>
      </c>
      <c r="CE20">
        <f>IF($B$1+18&gt;90,NA(),$B$1+18)</f>
        <v/>
      </c>
      <c r="CF20">
        <f>IF(OR($B$21="",$B$1+18&gt;90),NA(),INDEX($C$40:$BU$90,$B$21-$B$1+1,19))</f>
        <v/>
      </c>
    </row>
    <row r="21">
      <c r="A21" t="inlineStr">
        <is>
          <t>웹과 같은 해 단위 나이</t>
        </is>
      </c>
      <c r="B21">
        <f>IF(B37=999,"",B37)</f>
        <v/>
      </c>
      <c r="CB21" t="n">
        <v>20</v>
      </c>
      <c r="CC21">
        <f>IF($B$1+CB21&gt;90,0,12*$B$6*(1+$B$4)^CB21/(1+$B$3)^(CB21-1))</f>
        <v/>
      </c>
      <c r="CE21">
        <f>IF($B$1+19&gt;90,NA(),$B$1+19)</f>
        <v/>
      </c>
      <c r="CF21">
        <f>IF(OR($B$21="",$B$1+19&gt;90),NA(),INDEX($C$40:$BU$90,$B$21-$B$1+1,20))</f>
        <v/>
      </c>
    </row>
    <row r="22">
      <c r="CB22" t="n">
        <v>21</v>
      </c>
      <c r="CC22">
        <f>IF($B$1+CB22&gt;90,0,12*$B$6*(1+$B$4)^CB22/(1+$B$3)^(CB22-1))</f>
        <v/>
      </c>
      <c r="CE22">
        <f>IF($B$1+20&gt;90,NA(),$B$1+20)</f>
        <v/>
      </c>
      <c r="CF22">
        <f>IF(OR($B$21="",$B$1+20&gt;90),NA(),INDEX($C$40:$BU$90,$B$21-$B$1+1,21))</f>
        <v/>
      </c>
    </row>
    <row r="23">
      <c r="CB23" t="n">
        <v>22</v>
      </c>
      <c r="CC23">
        <f>IF($B$1+CB23&gt;90,0,12*$B$6*(1+$B$4)^CB23/(1+$B$3)^(CB23-1))</f>
        <v/>
      </c>
      <c r="CE23">
        <f>IF($B$1+21&gt;90,NA(),$B$1+21)</f>
        <v/>
      </c>
      <c r="CF23">
        <f>IF(OR($B$21="",$B$1+21&gt;90),NA(),INDEX($C$40:$BU$90,$B$21-$B$1+1,22))</f>
        <v/>
      </c>
    </row>
    <row r="24">
      <c r="CB24" t="n">
        <v>23</v>
      </c>
      <c r="CC24">
        <f>IF($B$1+CB24&gt;90,0,12*$B$6*(1+$B$4)^CB24/(1+$B$3)^(CB24-1))</f>
        <v/>
      </c>
      <c r="CE24">
        <f>IF($B$1+22&gt;90,NA(),$B$1+22)</f>
        <v/>
      </c>
      <c r="CF24">
        <f>IF(OR($B$21="",$B$1+22&gt;90),NA(),INDEX($C$40:$BU$90,$B$21-$B$1+1,23))</f>
        <v/>
      </c>
    </row>
    <row r="25">
      <c r="CB25" t="n">
        <v>24</v>
      </c>
      <c r="CC25">
        <f>IF($B$1+CB25&gt;90,0,12*$B$6*(1+$B$4)^CB25/(1+$B$3)^(CB25-1))</f>
        <v/>
      </c>
      <c r="CE25">
        <f>IF($B$1+23&gt;90,NA(),$B$1+23)</f>
        <v/>
      </c>
      <c r="CF25">
        <f>IF(OR($B$21="",$B$1+23&gt;90),NA(),INDEX($C$40:$BU$90,$B$21-$B$1+1,24))</f>
        <v/>
      </c>
    </row>
    <row r="26">
      <c r="CB26" t="n">
        <v>25</v>
      </c>
      <c r="CC26">
        <f>IF($B$1+CB26&gt;90,0,12*$B$6*(1+$B$4)^CB26/(1+$B$3)^(CB26-1))</f>
        <v/>
      </c>
      <c r="CE26">
        <f>IF($B$1+24&gt;90,NA(),$B$1+24)</f>
        <v/>
      </c>
      <c r="CF26">
        <f>IF(OR($B$21="",$B$1+24&gt;90),NA(),INDEX($C$40:$BU$90,$B$21-$B$1+1,25))</f>
        <v/>
      </c>
    </row>
    <row r="27">
      <c r="CB27" t="n">
        <v>26</v>
      </c>
      <c r="CC27">
        <f>IF($B$1+CB27&gt;90,0,12*$B$6*(1+$B$4)^CB27/(1+$B$3)^(CB27-1))</f>
        <v/>
      </c>
      <c r="CE27">
        <f>IF($B$1+25&gt;90,NA(),$B$1+25)</f>
        <v/>
      </c>
      <c r="CF27">
        <f>IF(OR($B$21="",$B$1+25&gt;90),NA(),INDEX($C$40:$BU$90,$B$21-$B$1+1,26))</f>
        <v/>
      </c>
    </row>
    <row r="28">
      <c r="CB28" t="n">
        <v>27</v>
      </c>
      <c r="CC28">
        <f>IF($B$1+CB28&gt;90,0,12*$B$6*(1+$B$4)^CB28/(1+$B$3)^(CB28-1))</f>
        <v/>
      </c>
      <c r="CE28">
        <f>IF($B$1+26&gt;90,NA(),$B$1+26)</f>
        <v/>
      </c>
      <c r="CF28">
        <f>IF(OR($B$21="",$B$1+26&gt;90),NA(),INDEX($C$40:$BU$90,$B$21-$B$1+1,27))</f>
        <v/>
      </c>
    </row>
    <row r="29">
      <c r="CB29" t="n">
        <v>28</v>
      </c>
      <c r="CC29">
        <f>IF($B$1+CB29&gt;90,0,12*$B$6*(1+$B$4)^CB29/(1+$B$3)^(CB29-1))</f>
        <v/>
      </c>
      <c r="CE29">
        <f>IF($B$1+27&gt;90,NA(),$B$1+27)</f>
        <v/>
      </c>
      <c r="CF29">
        <f>IF(OR($B$21="",$B$1+27&gt;90),NA(),INDEX($C$40:$BU$90,$B$21-$B$1+1,28))</f>
        <v/>
      </c>
    </row>
    <row r="30">
      <c r="A30" t="inlineStr">
        <is>
          <t>큰 숫자</t>
        </is>
      </c>
      <c r="B30">
        <f>IF(B5="","가계부를 넣어 주세요",IF(D37="","70세 넘음",IF(B37=$B$1,"지금",B37&amp;"세")))</f>
        <v/>
      </c>
      <c r="CB30" t="n">
        <v>29</v>
      </c>
      <c r="CC30">
        <f>IF($B$1+CB30&gt;90,0,12*$B$6*(1+$B$4)^CB30/(1+$B$3)^(CB30-1))</f>
        <v/>
      </c>
      <c r="CE30">
        <f>IF($B$1+28&gt;90,NA(),$B$1+28)</f>
        <v/>
      </c>
      <c r="CF30">
        <f>IF(OR($B$21="",$B$1+28&gt;90),NA(),INDEX($C$40:$BU$90,$B$21-$B$1+1,29))</f>
        <v/>
      </c>
    </row>
    <row r="31">
      <c r="A31" t="inlineStr">
        <is>
          <t>지난달 대비</t>
        </is>
      </c>
      <c r="B31">
        <f>IF(OR(B8=0,D37="",D149=""),"",IF(D37=D149,"지난달과 같음","이번 달 지출대로면 지난달보다 "&amp;ABS(D37-D149)&amp;"개월 "&amp;IF(D37&lt;D149,"빨라져요","늦어져요")))</f>
        <v/>
      </c>
      <c r="CB31" t="n">
        <v>30</v>
      </c>
      <c r="CC31">
        <f>IF($B$1+CB31&gt;90,0,12*$B$6*(1+$B$4)^CB31/(1+$B$3)^(CB31-1))</f>
        <v/>
      </c>
      <c r="CE31">
        <f>IF($B$1+29&gt;90,NA(),$B$1+29)</f>
        <v/>
      </c>
      <c r="CF31">
        <f>IF(OR($B$21="",$B$1+29&gt;90),NA(),INDEX($C$40:$BU$90,$B$21-$B$1+1,30))</f>
        <v/>
      </c>
    </row>
    <row r="32">
      <c r="A32" t="inlineStr">
        <is>
          <t>필요 자산</t>
        </is>
      </c>
      <c r="B32">
        <f>CEILING(SUM(CC2:CC71),1)</f>
        <v/>
      </c>
      <c r="CB32" t="n">
        <v>31</v>
      </c>
      <c r="CC32">
        <f>IF($B$1+CB32&gt;90,0,12*$B$6*(1+$B$4)^CB32/(1+$B$3)^(CB32-1))</f>
        <v/>
      </c>
      <c r="CE32">
        <f>IF($B$1+30&gt;90,NA(),$B$1+30)</f>
        <v/>
      </c>
      <c r="CF32">
        <f>IF(OR($B$21="",$B$1+30&gt;90),NA(),INDEX($C$40:$BU$90,$B$21-$B$1+1,31))</f>
        <v/>
      </c>
    </row>
    <row r="33">
      <c r="CB33" t="n">
        <v>32</v>
      </c>
      <c r="CC33">
        <f>IF($B$1+CB33&gt;90,0,12*$B$6*(1+$B$4)^CB33/(1+$B$3)^(CB33-1))</f>
        <v/>
      </c>
      <c r="CE33">
        <f>IF($B$1+31&gt;90,NA(),$B$1+31)</f>
        <v/>
      </c>
      <c r="CF33">
        <f>IF(OR($B$21="",$B$1+31&gt;90),NA(),INDEX($C$40:$BU$90,$B$21-$B$1+1,32))</f>
        <v/>
      </c>
    </row>
    <row r="34">
      <c r="CB34" t="n">
        <v>33</v>
      </c>
      <c r="CC34">
        <f>IF($B$1+CB34&gt;90,0,12*$B$6*(1+$B$4)^CB34/(1+$B$3)^(CB34-1))</f>
        <v/>
      </c>
      <c r="CE34">
        <f>IF($B$1+32&gt;90,NA(),$B$1+32)</f>
        <v/>
      </c>
      <c r="CF34">
        <f>IF(OR($B$21="",$B$1+32&gt;90),NA(),INDEX($C$40:$BU$90,$B$21-$B$1+1,33))</f>
        <v/>
      </c>
    </row>
    <row r="35">
      <c r="CB35" t="n">
        <v>34</v>
      </c>
      <c r="CC35">
        <f>IF($B$1+CB35&gt;90,0,12*$B$6*(1+$B$4)^CB35/(1+$B$3)^(CB35-1))</f>
        <v/>
      </c>
      <c r="CE35">
        <f>IF($B$1+33&gt;90,NA(),$B$1+33)</f>
        <v/>
      </c>
      <c r="CF35">
        <f>IF(OR($B$21="",$B$1+33&gt;90),NA(),INDEX($C$40:$BU$90,$B$21-$B$1+1,34))</f>
        <v/>
      </c>
    </row>
    <row r="36">
      <c r="CB36" t="n">
        <v>35</v>
      </c>
      <c r="CC36">
        <f>IF($B$1+CB36&gt;90,0,12*$B$6*(1+$B$4)^CB36/(1+$B$3)^(CB36-1))</f>
        <v/>
      </c>
      <c r="CE36">
        <f>IF($B$1+34&gt;90,NA(),$B$1+34)</f>
        <v/>
      </c>
      <c r="CF36">
        <f>IF(OR($B$21="",$B$1+34&gt;90),NA(),INDEX($C$40:$BU$90,$B$21-$B$1+1,35))</f>
        <v/>
      </c>
    </row>
    <row r="37">
      <c r="A37" t="inlineStr">
        <is>
          <t>결과 0</t>
        </is>
      </c>
      <c r="B37">
        <f>MIN(BW40:BW90)</f>
        <v/>
      </c>
      <c r="C37">
        <f>IF(B37=999,"",IF(B37=$B$1,$B$1,B37-1+(-INDEX(BV40:BV90,B37-$B$1))/(INDEX(BV40:BV90,B37-$B$1+1)-INDEX(BV40:BV90,B37-$B$1))))</f>
        <v/>
      </c>
      <c r="D37">
        <f>IF(C37="","",ROUND(C37*12,0))</f>
        <v/>
      </c>
      <c r="CB37" t="n">
        <v>36</v>
      </c>
      <c r="CC37">
        <f>IF($B$1+CB37&gt;90,0,12*$B$6*(1+$B$4)^CB37/(1+$B$3)^(CB37-1))</f>
        <v/>
      </c>
      <c r="CE37">
        <f>IF($B$1+35&gt;90,NA(),$B$1+35)</f>
        <v/>
      </c>
      <c r="CF37">
        <f>IF(OR($B$21="",$B$1+35&gt;90),NA(),INDEX($C$40:$BU$90,$B$21-$B$1+1,36))</f>
        <v/>
      </c>
    </row>
    <row r="38">
      <c r="CB38" t="n">
        <v>37</v>
      </c>
      <c r="CC38">
        <f>IF($B$1+CB38&gt;90,0,12*$B$6*(1+$B$4)^CB38/(1+$B$3)^(CB38-1))</f>
        <v/>
      </c>
      <c r="CE38">
        <f>IF($B$1+36&gt;90,NA(),$B$1+36)</f>
        <v/>
      </c>
      <c r="CF38">
        <f>IF(OR($B$21="",$B$1+36&gt;90),NA(),INDEX($C$40:$BU$90,$B$21-$B$1+1,37))</f>
        <v/>
      </c>
    </row>
    <row r="39">
      <c r="A39" t="inlineStr">
        <is>
          <t>시나리오 0</t>
        </is>
      </c>
      <c r="B39" t="inlineStr">
        <is>
          <t>R</t>
        </is>
      </c>
      <c r="C39" t="n">
        <v>0</v>
      </c>
      <c r="D39" t="n">
        <v>1</v>
      </c>
      <c r="E39" t="n">
        <v>2</v>
      </c>
      <c r="F39" t="n">
        <v>3</v>
      </c>
      <c r="G39" t="n">
        <v>4</v>
      </c>
      <c r="H39" t="n">
        <v>5</v>
      </c>
      <c r="I39" t="n">
        <v>6</v>
      </c>
      <c r="J39" t="n">
        <v>7</v>
      </c>
      <c r="K39" t="n">
        <v>8</v>
      </c>
      <c r="L39" t="n">
        <v>9</v>
      </c>
      <c r="M39" t="n">
        <v>10</v>
      </c>
      <c r="N39" t="n">
        <v>11</v>
      </c>
      <c r="O39" t="n">
        <v>12</v>
      </c>
      <c r="P39" t="n">
        <v>13</v>
      </c>
      <c r="Q39" t="n">
        <v>14</v>
      </c>
      <c r="R39" t="n">
        <v>15</v>
      </c>
      <c r="S39" t="n">
        <v>16</v>
      </c>
      <c r="T39" t="n">
        <v>17</v>
      </c>
      <c r="U39" t="n">
        <v>18</v>
      </c>
      <c r="V39" t="n">
        <v>19</v>
      </c>
      <c r="W39" t="n">
        <v>20</v>
      </c>
      <c r="X39" t="n">
        <v>21</v>
      </c>
      <c r="Y39" t="n">
        <v>22</v>
      </c>
      <c r="Z39" t="n">
        <v>23</v>
      </c>
      <c r="AA39" t="n">
        <v>24</v>
      </c>
      <c r="AB39" t="n">
        <v>25</v>
      </c>
      <c r="AC39" t="n">
        <v>26</v>
      </c>
      <c r="AD39" t="n">
        <v>27</v>
      </c>
      <c r="AE39" t="n">
        <v>28</v>
      </c>
      <c r="AF39" t="n">
        <v>29</v>
      </c>
      <c r="AG39" t="n">
        <v>30</v>
      </c>
      <c r="AH39" t="n">
        <v>31</v>
      </c>
      <c r="AI39" t="n">
        <v>32</v>
      </c>
      <c r="AJ39" t="n">
        <v>33</v>
      </c>
      <c r="AK39" t="n">
        <v>34</v>
      </c>
      <c r="AL39" t="n">
        <v>35</v>
      </c>
      <c r="AM39" t="n">
        <v>36</v>
      </c>
      <c r="AN39" t="n">
        <v>37</v>
      </c>
      <c r="AO39" t="n">
        <v>38</v>
      </c>
      <c r="AP39" t="n">
        <v>39</v>
      </c>
      <c r="AQ39" t="n">
        <v>40</v>
      </c>
      <c r="AR39" t="n">
        <v>41</v>
      </c>
      <c r="AS39" t="n">
        <v>42</v>
      </c>
      <c r="AT39" t="n">
        <v>43</v>
      </c>
      <c r="AU39" t="n">
        <v>44</v>
      </c>
      <c r="AV39" t="n">
        <v>45</v>
      </c>
      <c r="AW39" t="n">
        <v>46</v>
      </c>
      <c r="AX39" t="n">
        <v>47</v>
      </c>
      <c r="AY39" t="n">
        <v>48</v>
      </c>
      <c r="AZ39" t="n">
        <v>49</v>
      </c>
      <c r="BA39" t="n">
        <v>50</v>
      </c>
      <c r="BB39" t="n">
        <v>51</v>
      </c>
      <c r="BC39" t="n">
        <v>52</v>
      </c>
      <c r="BD39" t="n">
        <v>53</v>
      </c>
      <c r="BE39" t="n">
        <v>54</v>
      </c>
      <c r="BF39" t="n">
        <v>55</v>
      </c>
      <c r="BG39" t="n">
        <v>56</v>
      </c>
      <c r="BH39" t="n">
        <v>57</v>
      </c>
      <c r="BI39" t="n">
        <v>58</v>
      </c>
      <c r="BJ39" t="n">
        <v>59</v>
      </c>
      <c r="BK39" t="n">
        <v>60</v>
      </c>
      <c r="BL39" t="n">
        <v>61</v>
      </c>
      <c r="BM39" t="n">
        <v>62</v>
      </c>
      <c r="BN39" t="n">
        <v>63</v>
      </c>
      <c r="BO39" t="n">
        <v>64</v>
      </c>
      <c r="BP39" t="n">
        <v>65</v>
      </c>
      <c r="BQ39" t="n">
        <v>66</v>
      </c>
      <c r="BR39" t="n">
        <v>67</v>
      </c>
      <c r="BS39" t="n">
        <v>68</v>
      </c>
      <c r="BT39" t="n">
        <v>69</v>
      </c>
      <c r="BU39" t="n">
        <v>70</v>
      </c>
      <c r="BV39" t="inlineStr">
        <is>
          <t>90세 자산</t>
        </is>
      </c>
      <c r="BW39" t="inlineStr">
        <is>
          <t>가능 R</t>
        </is>
      </c>
      <c r="CB39" t="n">
        <v>38</v>
      </c>
      <c r="CC39">
        <f>IF($B$1+CB39&gt;90,0,12*$B$6*(1+$B$4)^CB39/(1+$B$3)^(CB39-1))</f>
        <v/>
      </c>
      <c r="CE39">
        <f>IF($B$1+37&gt;90,NA(),$B$1+37)</f>
        <v/>
      </c>
      <c r="CF39">
        <f>IF(OR($B$21="",$B$1+37&gt;90),NA(),INDEX($C$40:$BU$90,$B$21-$B$1+1,38))</f>
        <v/>
      </c>
    </row>
    <row r="40">
      <c r="A40" t="n">
        <v>0</v>
      </c>
      <c r="B40">
        <f>$B$1+0</f>
        <v/>
      </c>
      <c r="C40">
        <f>$B$2</f>
        <v/>
      </c>
      <c r="D40">
        <f>IF($B$1+1&gt;90,C40,(C40+IF($B$1+1&lt;=$B40,12*$B$7,-12*$B$6*(1+$B$4)^1))*IF(C40+IF($B$1+1&lt;=$B40,12*$B$7,-12*$B$6*(1+$B$4)^1)&gt;0,1+$B$3,1))</f>
        <v/>
      </c>
      <c r="E40">
        <f>IF($B$1+2&gt;90,D40,(D40+IF($B$1+2&lt;=$B40,12*$B$7,-12*$B$6*(1+$B$4)^2))*IF(D40+IF($B$1+2&lt;=$B40,12*$B$7,-12*$B$6*(1+$B$4)^2)&gt;0,1+$B$3,1))</f>
        <v/>
      </c>
      <c r="F40">
        <f>IF($B$1+3&gt;90,E40,(E40+IF($B$1+3&lt;=$B40,12*$B$7,-12*$B$6*(1+$B$4)^3))*IF(E40+IF($B$1+3&lt;=$B40,12*$B$7,-12*$B$6*(1+$B$4)^3)&gt;0,1+$B$3,1))</f>
        <v/>
      </c>
      <c r="G40">
        <f>IF($B$1+4&gt;90,F40,(F40+IF($B$1+4&lt;=$B40,12*$B$7,-12*$B$6*(1+$B$4)^4))*IF(F40+IF($B$1+4&lt;=$B40,12*$B$7,-12*$B$6*(1+$B$4)^4)&gt;0,1+$B$3,1))</f>
        <v/>
      </c>
      <c r="H40">
        <f>IF($B$1+5&gt;90,G40,(G40+IF($B$1+5&lt;=$B40,12*$B$7,-12*$B$6*(1+$B$4)^5))*IF(G40+IF($B$1+5&lt;=$B40,12*$B$7,-12*$B$6*(1+$B$4)^5)&gt;0,1+$B$3,1))</f>
        <v/>
      </c>
      <c r="I40">
        <f>IF($B$1+6&gt;90,H40,(H40+IF($B$1+6&lt;=$B40,12*$B$7,-12*$B$6*(1+$B$4)^6))*IF(H40+IF($B$1+6&lt;=$B40,12*$B$7,-12*$B$6*(1+$B$4)^6)&gt;0,1+$B$3,1))</f>
        <v/>
      </c>
      <c r="J40">
        <f>IF($B$1+7&gt;90,I40,(I40+IF($B$1+7&lt;=$B40,12*$B$7,-12*$B$6*(1+$B$4)^7))*IF(I40+IF($B$1+7&lt;=$B40,12*$B$7,-12*$B$6*(1+$B$4)^7)&gt;0,1+$B$3,1))</f>
        <v/>
      </c>
      <c r="K40">
        <f>IF($B$1+8&gt;90,J40,(J40+IF($B$1+8&lt;=$B40,12*$B$7,-12*$B$6*(1+$B$4)^8))*IF(J40+IF($B$1+8&lt;=$B40,12*$B$7,-12*$B$6*(1+$B$4)^8)&gt;0,1+$B$3,1))</f>
        <v/>
      </c>
      <c r="L40">
        <f>IF($B$1+9&gt;90,K40,(K40+IF($B$1+9&lt;=$B40,12*$B$7,-12*$B$6*(1+$B$4)^9))*IF(K40+IF($B$1+9&lt;=$B40,12*$B$7,-12*$B$6*(1+$B$4)^9)&gt;0,1+$B$3,1))</f>
        <v/>
      </c>
      <c r="M40">
        <f>IF($B$1+10&gt;90,L40,(L40+IF($B$1+10&lt;=$B40,12*$B$7,-12*$B$6*(1+$B$4)^10))*IF(L40+IF($B$1+10&lt;=$B40,12*$B$7,-12*$B$6*(1+$B$4)^10)&gt;0,1+$B$3,1))</f>
        <v/>
      </c>
      <c r="N40">
        <f>IF($B$1+11&gt;90,M40,(M40+IF($B$1+11&lt;=$B40,12*$B$7,-12*$B$6*(1+$B$4)^11))*IF(M40+IF($B$1+11&lt;=$B40,12*$B$7,-12*$B$6*(1+$B$4)^11)&gt;0,1+$B$3,1))</f>
        <v/>
      </c>
      <c r="O40">
        <f>IF($B$1+12&gt;90,N40,(N40+IF($B$1+12&lt;=$B40,12*$B$7,-12*$B$6*(1+$B$4)^12))*IF(N40+IF($B$1+12&lt;=$B40,12*$B$7,-12*$B$6*(1+$B$4)^12)&gt;0,1+$B$3,1))</f>
        <v/>
      </c>
      <c r="P40">
        <f>IF($B$1+13&gt;90,O40,(O40+IF($B$1+13&lt;=$B40,12*$B$7,-12*$B$6*(1+$B$4)^13))*IF(O40+IF($B$1+13&lt;=$B40,12*$B$7,-12*$B$6*(1+$B$4)^13)&gt;0,1+$B$3,1))</f>
        <v/>
      </c>
      <c r="Q40">
        <f>IF($B$1+14&gt;90,P40,(P40+IF($B$1+14&lt;=$B40,12*$B$7,-12*$B$6*(1+$B$4)^14))*IF(P40+IF($B$1+14&lt;=$B40,12*$B$7,-12*$B$6*(1+$B$4)^14)&gt;0,1+$B$3,1))</f>
        <v/>
      </c>
      <c r="R40">
        <f>IF($B$1+15&gt;90,Q40,(Q40+IF($B$1+15&lt;=$B40,12*$B$7,-12*$B$6*(1+$B$4)^15))*IF(Q40+IF($B$1+15&lt;=$B40,12*$B$7,-12*$B$6*(1+$B$4)^15)&gt;0,1+$B$3,1))</f>
        <v/>
      </c>
      <c r="S40">
        <f>IF($B$1+16&gt;90,R40,(R40+IF($B$1+16&lt;=$B40,12*$B$7,-12*$B$6*(1+$B$4)^16))*IF(R40+IF($B$1+16&lt;=$B40,12*$B$7,-12*$B$6*(1+$B$4)^16)&gt;0,1+$B$3,1))</f>
        <v/>
      </c>
      <c r="T40">
        <f>IF($B$1+17&gt;90,S40,(S40+IF($B$1+17&lt;=$B40,12*$B$7,-12*$B$6*(1+$B$4)^17))*IF(S40+IF($B$1+17&lt;=$B40,12*$B$7,-12*$B$6*(1+$B$4)^17)&gt;0,1+$B$3,1))</f>
        <v/>
      </c>
      <c r="U40">
        <f>IF($B$1+18&gt;90,T40,(T40+IF($B$1+18&lt;=$B40,12*$B$7,-12*$B$6*(1+$B$4)^18))*IF(T40+IF($B$1+18&lt;=$B40,12*$B$7,-12*$B$6*(1+$B$4)^18)&gt;0,1+$B$3,1))</f>
        <v/>
      </c>
      <c r="V40">
        <f>IF($B$1+19&gt;90,U40,(U40+IF($B$1+19&lt;=$B40,12*$B$7,-12*$B$6*(1+$B$4)^19))*IF(U40+IF($B$1+19&lt;=$B40,12*$B$7,-12*$B$6*(1+$B$4)^19)&gt;0,1+$B$3,1))</f>
        <v/>
      </c>
      <c r="W40">
        <f>IF($B$1+20&gt;90,V40,(V40+IF($B$1+20&lt;=$B40,12*$B$7,-12*$B$6*(1+$B$4)^20))*IF(V40+IF($B$1+20&lt;=$B40,12*$B$7,-12*$B$6*(1+$B$4)^20)&gt;0,1+$B$3,1))</f>
        <v/>
      </c>
      <c r="X40">
        <f>IF($B$1+21&gt;90,W40,(W40+IF($B$1+21&lt;=$B40,12*$B$7,-12*$B$6*(1+$B$4)^21))*IF(W40+IF($B$1+21&lt;=$B40,12*$B$7,-12*$B$6*(1+$B$4)^21)&gt;0,1+$B$3,1))</f>
        <v/>
      </c>
      <c r="Y40">
        <f>IF($B$1+22&gt;90,X40,(X40+IF($B$1+22&lt;=$B40,12*$B$7,-12*$B$6*(1+$B$4)^22))*IF(X40+IF($B$1+22&lt;=$B40,12*$B$7,-12*$B$6*(1+$B$4)^22)&gt;0,1+$B$3,1))</f>
        <v/>
      </c>
      <c r="Z40">
        <f>IF($B$1+23&gt;90,Y40,(Y40+IF($B$1+23&lt;=$B40,12*$B$7,-12*$B$6*(1+$B$4)^23))*IF(Y40+IF($B$1+23&lt;=$B40,12*$B$7,-12*$B$6*(1+$B$4)^23)&gt;0,1+$B$3,1))</f>
        <v/>
      </c>
      <c r="AA40">
        <f>IF($B$1+24&gt;90,Z40,(Z40+IF($B$1+24&lt;=$B40,12*$B$7,-12*$B$6*(1+$B$4)^24))*IF(Z40+IF($B$1+24&lt;=$B40,12*$B$7,-12*$B$6*(1+$B$4)^24)&gt;0,1+$B$3,1))</f>
        <v/>
      </c>
      <c r="AB40">
        <f>IF($B$1+25&gt;90,AA40,(AA40+IF($B$1+25&lt;=$B40,12*$B$7,-12*$B$6*(1+$B$4)^25))*IF(AA40+IF($B$1+25&lt;=$B40,12*$B$7,-12*$B$6*(1+$B$4)^25)&gt;0,1+$B$3,1))</f>
        <v/>
      </c>
      <c r="AC40">
        <f>IF($B$1+26&gt;90,AB40,(AB40+IF($B$1+26&lt;=$B40,12*$B$7,-12*$B$6*(1+$B$4)^26))*IF(AB40+IF($B$1+26&lt;=$B40,12*$B$7,-12*$B$6*(1+$B$4)^26)&gt;0,1+$B$3,1))</f>
        <v/>
      </c>
      <c r="AD40">
        <f>IF($B$1+27&gt;90,AC40,(AC40+IF($B$1+27&lt;=$B40,12*$B$7,-12*$B$6*(1+$B$4)^27))*IF(AC40+IF($B$1+27&lt;=$B40,12*$B$7,-12*$B$6*(1+$B$4)^27)&gt;0,1+$B$3,1))</f>
        <v/>
      </c>
      <c r="AE40">
        <f>IF($B$1+28&gt;90,AD40,(AD40+IF($B$1+28&lt;=$B40,12*$B$7,-12*$B$6*(1+$B$4)^28))*IF(AD40+IF($B$1+28&lt;=$B40,12*$B$7,-12*$B$6*(1+$B$4)^28)&gt;0,1+$B$3,1))</f>
        <v/>
      </c>
      <c r="AF40">
        <f>IF($B$1+29&gt;90,AE40,(AE40+IF($B$1+29&lt;=$B40,12*$B$7,-12*$B$6*(1+$B$4)^29))*IF(AE40+IF($B$1+29&lt;=$B40,12*$B$7,-12*$B$6*(1+$B$4)^29)&gt;0,1+$B$3,1))</f>
        <v/>
      </c>
      <c r="AG40">
        <f>IF($B$1+30&gt;90,AF40,(AF40+IF($B$1+30&lt;=$B40,12*$B$7,-12*$B$6*(1+$B$4)^30))*IF(AF40+IF($B$1+30&lt;=$B40,12*$B$7,-12*$B$6*(1+$B$4)^30)&gt;0,1+$B$3,1))</f>
        <v/>
      </c>
      <c r="AH40">
        <f>IF($B$1+31&gt;90,AG40,(AG40+IF($B$1+31&lt;=$B40,12*$B$7,-12*$B$6*(1+$B$4)^31))*IF(AG40+IF($B$1+31&lt;=$B40,12*$B$7,-12*$B$6*(1+$B$4)^31)&gt;0,1+$B$3,1))</f>
        <v/>
      </c>
      <c r="AI40">
        <f>IF($B$1+32&gt;90,AH40,(AH40+IF($B$1+32&lt;=$B40,12*$B$7,-12*$B$6*(1+$B$4)^32))*IF(AH40+IF($B$1+32&lt;=$B40,12*$B$7,-12*$B$6*(1+$B$4)^32)&gt;0,1+$B$3,1))</f>
        <v/>
      </c>
      <c r="AJ40">
        <f>IF($B$1+33&gt;90,AI40,(AI40+IF($B$1+33&lt;=$B40,12*$B$7,-12*$B$6*(1+$B$4)^33))*IF(AI40+IF($B$1+33&lt;=$B40,12*$B$7,-12*$B$6*(1+$B$4)^33)&gt;0,1+$B$3,1))</f>
        <v/>
      </c>
      <c r="AK40">
        <f>IF($B$1+34&gt;90,AJ40,(AJ40+IF($B$1+34&lt;=$B40,12*$B$7,-12*$B$6*(1+$B$4)^34))*IF(AJ40+IF($B$1+34&lt;=$B40,12*$B$7,-12*$B$6*(1+$B$4)^34)&gt;0,1+$B$3,1))</f>
        <v/>
      </c>
      <c r="AL40">
        <f>IF($B$1+35&gt;90,AK40,(AK40+IF($B$1+35&lt;=$B40,12*$B$7,-12*$B$6*(1+$B$4)^35))*IF(AK40+IF($B$1+35&lt;=$B40,12*$B$7,-12*$B$6*(1+$B$4)^35)&gt;0,1+$B$3,1))</f>
        <v/>
      </c>
      <c r="AM40">
        <f>IF($B$1+36&gt;90,AL40,(AL40+IF($B$1+36&lt;=$B40,12*$B$7,-12*$B$6*(1+$B$4)^36))*IF(AL40+IF($B$1+36&lt;=$B40,12*$B$7,-12*$B$6*(1+$B$4)^36)&gt;0,1+$B$3,1))</f>
        <v/>
      </c>
      <c r="AN40">
        <f>IF($B$1+37&gt;90,AM40,(AM40+IF($B$1+37&lt;=$B40,12*$B$7,-12*$B$6*(1+$B$4)^37))*IF(AM40+IF($B$1+37&lt;=$B40,12*$B$7,-12*$B$6*(1+$B$4)^37)&gt;0,1+$B$3,1))</f>
        <v/>
      </c>
      <c r="AO40">
        <f>IF($B$1+38&gt;90,AN40,(AN40+IF($B$1+38&lt;=$B40,12*$B$7,-12*$B$6*(1+$B$4)^38))*IF(AN40+IF($B$1+38&lt;=$B40,12*$B$7,-12*$B$6*(1+$B$4)^38)&gt;0,1+$B$3,1))</f>
        <v/>
      </c>
      <c r="AP40">
        <f>IF($B$1+39&gt;90,AO40,(AO40+IF($B$1+39&lt;=$B40,12*$B$7,-12*$B$6*(1+$B$4)^39))*IF(AO40+IF($B$1+39&lt;=$B40,12*$B$7,-12*$B$6*(1+$B$4)^39)&gt;0,1+$B$3,1))</f>
        <v/>
      </c>
      <c r="AQ40">
        <f>IF($B$1+40&gt;90,AP40,(AP40+IF($B$1+40&lt;=$B40,12*$B$7,-12*$B$6*(1+$B$4)^40))*IF(AP40+IF($B$1+40&lt;=$B40,12*$B$7,-12*$B$6*(1+$B$4)^40)&gt;0,1+$B$3,1))</f>
        <v/>
      </c>
      <c r="AR40">
        <f>IF($B$1+41&gt;90,AQ40,(AQ40+IF($B$1+41&lt;=$B40,12*$B$7,-12*$B$6*(1+$B$4)^41))*IF(AQ40+IF($B$1+41&lt;=$B40,12*$B$7,-12*$B$6*(1+$B$4)^41)&gt;0,1+$B$3,1))</f>
        <v/>
      </c>
      <c r="AS40">
        <f>IF($B$1+42&gt;90,AR40,(AR40+IF($B$1+42&lt;=$B40,12*$B$7,-12*$B$6*(1+$B$4)^42))*IF(AR40+IF($B$1+42&lt;=$B40,12*$B$7,-12*$B$6*(1+$B$4)^42)&gt;0,1+$B$3,1))</f>
        <v/>
      </c>
      <c r="AT40">
        <f>IF($B$1+43&gt;90,AS40,(AS40+IF($B$1+43&lt;=$B40,12*$B$7,-12*$B$6*(1+$B$4)^43))*IF(AS40+IF($B$1+43&lt;=$B40,12*$B$7,-12*$B$6*(1+$B$4)^43)&gt;0,1+$B$3,1))</f>
        <v/>
      </c>
      <c r="AU40">
        <f>IF($B$1+44&gt;90,AT40,(AT40+IF($B$1+44&lt;=$B40,12*$B$7,-12*$B$6*(1+$B$4)^44))*IF(AT40+IF($B$1+44&lt;=$B40,12*$B$7,-12*$B$6*(1+$B$4)^44)&gt;0,1+$B$3,1))</f>
        <v/>
      </c>
      <c r="AV40">
        <f>IF($B$1+45&gt;90,AU40,(AU40+IF($B$1+45&lt;=$B40,12*$B$7,-12*$B$6*(1+$B$4)^45))*IF(AU40+IF($B$1+45&lt;=$B40,12*$B$7,-12*$B$6*(1+$B$4)^45)&gt;0,1+$B$3,1))</f>
        <v/>
      </c>
      <c r="AW40">
        <f>IF($B$1+46&gt;90,AV40,(AV40+IF($B$1+46&lt;=$B40,12*$B$7,-12*$B$6*(1+$B$4)^46))*IF(AV40+IF($B$1+46&lt;=$B40,12*$B$7,-12*$B$6*(1+$B$4)^46)&gt;0,1+$B$3,1))</f>
        <v/>
      </c>
      <c r="AX40">
        <f>IF($B$1+47&gt;90,AW40,(AW40+IF($B$1+47&lt;=$B40,12*$B$7,-12*$B$6*(1+$B$4)^47))*IF(AW40+IF($B$1+47&lt;=$B40,12*$B$7,-12*$B$6*(1+$B$4)^47)&gt;0,1+$B$3,1))</f>
        <v/>
      </c>
      <c r="AY40">
        <f>IF($B$1+48&gt;90,AX40,(AX40+IF($B$1+48&lt;=$B40,12*$B$7,-12*$B$6*(1+$B$4)^48))*IF(AX40+IF($B$1+48&lt;=$B40,12*$B$7,-12*$B$6*(1+$B$4)^48)&gt;0,1+$B$3,1))</f>
        <v/>
      </c>
      <c r="AZ40">
        <f>IF($B$1+49&gt;90,AY40,(AY40+IF($B$1+49&lt;=$B40,12*$B$7,-12*$B$6*(1+$B$4)^49))*IF(AY40+IF($B$1+49&lt;=$B40,12*$B$7,-12*$B$6*(1+$B$4)^49)&gt;0,1+$B$3,1))</f>
        <v/>
      </c>
      <c r="BA40">
        <f>IF($B$1+50&gt;90,AZ40,(AZ40+IF($B$1+50&lt;=$B40,12*$B$7,-12*$B$6*(1+$B$4)^50))*IF(AZ40+IF($B$1+50&lt;=$B40,12*$B$7,-12*$B$6*(1+$B$4)^50)&gt;0,1+$B$3,1))</f>
        <v/>
      </c>
      <c r="BB40">
        <f>IF($B$1+51&gt;90,BA40,(BA40+IF($B$1+51&lt;=$B40,12*$B$7,-12*$B$6*(1+$B$4)^51))*IF(BA40+IF($B$1+51&lt;=$B40,12*$B$7,-12*$B$6*(1+$B$4)^51)&gt;0,1+$B$3,1))</f>
        <v/>
      </c>
      <c r="BC40">
        <f>IF($B$1+52&gt;90,BB40,(BB40+IF($B$1+52&lt;=$B40,12*$B$7,-12*$B$6*(1+$B$4)^52))*IF(BB40+IF($B$1+52&lt;=$B40,12*$B$7,-12*$B$6*(1+$B$4)^52)&gt;0,1+$B$3,1))</f>
        <v/>
      </c>
      <c r="BD40">
        <f>IF($B$1+53&gt;90,BC40,(BC40+IF($B$1+53&lt;=$B40,12*$B$7,-12*$B$6*(1+$B$4)^53))*IF(BC40+IF($B$1+53&lt;=$B40,12*$B$7,-12*$B$6*(1+$B$4)^53)&gt;0,1+$B$3,1))</f>
        <v/>
      </c>
      <c r="BE40">
        <f>IF($B$1+54&gt;90,BD40,(BD40+IF($B$1+54&lt;=$B40,12*$B$7,-12*$B$6*(1+$B$4)^54))*IF(BD40+IF($B$1+54&lt;=$B40,12*$B$7,-12*$B$6*(1+$B$4)^54)&gt;0,1+$B$3,1))</f>
        <v/>
      </c>
      <c r="BF40">
        <f>IF($B$1+55&gt;90,BE40,(BE40+IF($B$1+55&lt;=$B40,12*$B$7,-12*$B$6*(1+$B$4)^55))*IF(BE40+IF($B$1+55&lt;=$B40,12*$B$7,-12*$B$6*(1+$B$4)^55)&gt;0,1+$B$3,1))</f>
        <v/>
      </c>
      <c r="BG40">
        <f>IF($B$1+56&gt;90,BF40,(BF40+IF($B$1+56&lt;=$B40,12*$B$7,-12*$B$6*(1+$B$4)^56))*IF(BF40+IF($B$1+56&lt;=$B40,12*$B$7,-12*$B$6*(1+$B$4)^56)&gt;0,1+$B$3,1))</f>
        <v/>
      </c>
      <c r="BH40">
        <f>IF($B$1+57&gt;90,BG40,(BG40+IF($B$1+57&lt;=$B40,12*$B$7,-12*$B$6*(1+$B$4)^57))*IF(BG40+IF($B$1+57&lt;=$B40,12*$B$7,-12*$B$6*(1+$B$4)^57)&gt;0,1+$B$3,1))</f>
        <v/>
      </c>
      <c r="BI40">
        <f>IF($B$1+58&gt;90,BH40,(BH40+IF($B$1+58&lt;=$B40,12*$B$7,-12*$B$6*(1+$B$4)^58))*IF(BH40+IF($B$1+58&lt;=$B40,12*$B$7,-12*$B$6*(1+$B$4)^58)&gt;0,1+$B$3,1))</f>
        <v/>
      </c>
      <c r="BJ40">
        <f>IF($B$1+59&gt;90,BI40,(BI40+IF($B$1+59&lt;=$B40,12*$B$7,-12*$B$6*(1+$B$4)^59))*IF(BI40+IF($B$1+59&lt;=$B40,12*$B$7,-12*$B$6*(1+$B$4)^59)&gt;0,1+$B$3,1))</f>
        <v/>
      </c>
      <c r="BK40">
        <f>IF($B$1+60&gt;90,BJ40,(BJ40+IF($B$1+60&lt;=$B40,12*$B$7,-12*$B$6*(1+$B$4)^60))*IF(BJ40+IF($B$1+60&lt;=$B40,12*$B$7,-12*$B$6*(1+$B$4)^60)&gt;0,1+$B$3,1))</f>
        <v/>
      </c>
      <c r="BL40">
        <f>IF($B$1+61&gt;90,BK40,(BK40+IF($B$1+61&lt;=$B40,12*$B$7,-12*$B$6*(1+$B$4)^61))*IF(BK40+IF($B$1+61&lt;=$B40,12*$B$7,-12*$B$6*(1+$B$4)^61)&gt;0,1+$B$3,1))</f>
        <v/>
      </c>
      <c r="BM40">
        <f>IF($B$1+62&gt;90,BL40,(BL40+IF($B$1+62&lt;=$B40,12*$B$7,-12*$B$6*(1+$B$4)^62))*IF(BL40+IF($B$1+62&lt;=$B40,12*$B$7,-12*$B$6*(1+$B$4)^62)&gt;0,1+$B$3,1))</f>
        <v/>
      </c>
      <c r="BN40">
        <f>IF($B$1+63&gt;90,BM40,(BM40+IF($B$1+63&lt;=$B40,12*$B$7,-12*$B$6*(1+$B$4)^63))*IF(BM40+IF($B$1+63&lt;=$B40,12*$B$7,-12*$B$6*(1+$B$4)^63)&gt;0,1+$B$3,1))</f>
        <v/>
      </c>
      <c r="BO40">
        <f>IF($B$1+64&gt;90,BN40,(BN40+IF($B$1+64&lt;=$B40,12*$B$7,-12*$B$6*(1+$B$4)^64))*IF(BN40+IF($B$1+64&lt;=$B40,12*$B$7,-12*$B$6*(1+$B$4)^64)&gt;0,1+$B$3,1))</f>
        <v/>
      </c>
      <c r="BP40">
        <f>IF($B$1+65&gt;90,BO40,(BO40+IF($B$1+65&lt;=$B40,12*$B$7,-12*$B$6*(1+$B$4)^65))*IF(BO40+IF($B$1+65&lt;=$B40,12*$B$7,-12*$B$6*(1+$B$4)^65)&gt;0,1+$B$3,1))</f>
        <v/>
      </c>
      <c r="BQ40">
        <f>IF($B$1+66&gt;90,BP40,(BP40+IF($B$1+66&lt;=$B40,12*$B$7,-12*$B$6*(1+$B$4)^66))*IF(BP40+IF($B$1+66&lt;=$B40,12*$B$7,-12*$B$6*(1+$B$4)^66)&gt;0,1+$B$3,1))</f>
        <v/>
      </c>
      <c r="BR40">
        <f>IF($B$1+67&gt;90,BQ40,(BQ40+IF($B$1+67&lt;=$B40,12*$B$7,-12*$B$6*(1+$B$4)^67))*IF(BQ40+IF($B$1+67&lt;=$B40,12*$B$7,-12*$B$6*(1+$B$4)^67)&gt;0,1+$B$3,1))</f>
        <v/>
      </c>
      <c r="BS40">
        <f>IF($B$1+68&gt;90,BR40,(BR40+IF($B$1+68&lt;=$B40,12*$B$7,-12*$B$6*(1+$B$4)^68))*IF(BR40+IF($B$1+68&lt;=$B40,12*$B$7,-12*$B$6*(1+$B$4)^68)&gt;0,1+$B$3,1))</f>
        <v/>
      </c>
      <c r="BT40">
        <f>IF($B$1+69&gt;90,BS40,(BS40+IF($B$1+69&lt;=$B40,12*$B$7,-12*$B$6*(1+$B$4)^69))*IF(BS40+IF($B$1+69&lt;=$B40,12*$B$7,-12*$B$6*(1+$B$4)^69)&gt;0,1+$B$3,1))</f>
        <v/>
      </c>
      <c r="BU40">
        <f>IF($B$1+70&gt;90,BT40,(BT40+IF($B$1+70&lt;=$B40,12*$B$7,-12*$B$6*(1+$B$4)^70))*IF(BT40+IF($B$1+70&lt;=$B40,12*$B$7,-12*$B$6*(1+$B$4)^70)&gt;0,1+$B$3,1))</f>
        <v/>
      </c>
      <c r="BV40">
        <f>BU40</f>
        <v/>
      </c>
      <c r="BW40">
        <f>IF(AND($B40&lt;=70,BV40&gt;0),$B40,999)</f>
        <v/>
      </c>
      <c r="CB40" t="n">
        <v>39</v>
      </c>
      <c r="CC40">
        <f>IF($B$1+CB40&gt;90,0,12*$B$6*(1+$B$4)^CB40/(1+$B$3)^(CB40-1))</f>
        <v/>
      </c>
      <c r="CE40">
        <f>IF($B$1+38&gt;90,NA(),$B$1+38)</f>
        <v/>
      </c>
      <c r="CF40">
        <f>IF(OR($B$21="",$B$1+38&gt;90),NA(),INDEX($C$40:$BU$90,$B$21-$B$1+1,39))</f>
        <v/>
      </c>
    </row>
    <row r="41">
      <c r="A41" t="n">
        <v>1</v>
      </c>
      <c r="B41">
        <f>$B$1+1</f>
        <v/>
      </c>
      <c r="C41">
        <f>$B$2</f>
        <v/>
      </c>
      <c r="D41">
        <f>IF($B$1+1&gt;90,C41,(C41+IF($B$1+1&lt;=$B41,12*$B$7,-12*$B$6*(1+$B$4)^1))*IF(C41+IF($B$1+1&lt;=$B41,12*$B$7,-12*$B$6*(1+$B$4)^1)&gt;0,1+$B$3,1))</f>
        <v/>
      </c>
      <c r="E41">
        <f>IF($B$1+2&gt;90,D41,(D41+IF($B$1+2&lt;=$B41,12*$B$7,-12*$B$6*(1+$B$4)^2))*IF(D41+IF($B$1+2&lt;=$B41,12*$B$7,-12*$B$6*(1+$B$4)^2)&gt;0,1+$B$3,1))</f>
        <v/>
      </c>
      <c r="F41">
        <f>IF($B$1+3&gt;90,E41,(E41+IF($B$1+3&lt;=$B41,12*$B$7,-12*$B$6*(1+$B$4)^3))*IF(E41+IF($B$1+3&lt;=$B41,12*$B$7,-12*$B$6*(1+$B$4)^3)&gt;0,1+$B$3,1))</f>
        <v/>
      </c>
      <c r="G41">
        <f>IF($B$1+4&gt;90,F41,(F41+IF($B$1+4&lt;=$B41,12*$B$7,-12*$B$6*(1+$B$4)^4))*IF(F41+IF($B$1+4&lt;=$B41,12*$B$7,-12*$B$6*(1+$B$4)^4)&gt;0,1+$B$3,1))</f>
        <v/>
      </c>
      <c r="H41">
        <f>IF($B$1+5&gt;90,G41,(G41+IF($B$1+5&lt;=$B41,12*$B$7,-12*$B$6*(1+$B$4)^5))*IF(G41+IF($B$1+5&lt;=$B41,12*$B$7,-12*$B$6*(1+$B$4)^5)&gt;0,1+$B$3,1))</f>
        <v/>
      </c>
      <c r="I41">
        <f>IF($B$1+6&gt;90,H41,(H41+IF($B$1+6&lt;=$B41,12*$B$7,-12*$B$6*(1+$B$4)^6))*IF(H41+IF($B$1+6&lt;=$B41,12*$B$7,-12*$B$6*(1+$B$4)^6)&gt;0,1+$B$3,1))</f>
        <v/>
      </c>
      <c r="J41">
        <f>IF($B$1+7&gt;90,I41,(I41+IF($B$1+7&lt;=$B41,12*$B$7,-12*$B$6*(1+$B$4)^7))*IF(I41+IF($B$1+7&lt;=$B41,12*$B$7,-12*$B$6*(1+$B$4)^7)&gt;0,1+$B$3,1))</f>
        <v/>
      </c>
      <c r="K41">
        <f>IF($B$1+8&gt;90,J41,(J41+IF($B$1+8&lt;=$B41,12*$B$7,-12*$B$6*(1+$B$4)^8))*IF(J41+IF($B$1+8&lt;=$B41,12*$B$7,-12*$B$6*(1+$B$4)^8)&gt;0,1+$B$3,1))</f>
        <v/>
      </c>
      <c r="L41">
        <f>IF($B$1+9&gt;90,K41,(K41+IF($B$1+9&lt;=$B41,12*$B$7,-12*$B$6*(1+$B$4)^9))*IF(K41+IF($B$1+9&lt;=$B41,12*$B$7,-12*$B$6*(1+$B$4)^9)&gt;0,1+$B$3,1))</f>
        <v/>
      </c>
      <c r="M41">
        <f>IF($B$1+10&gt;90,L41,(L41+IF($B$1+10&lt;=$B41,12*$B$7,-12*$B$6*(1+$B$4)^10))*IF(L41+IF($B$1+10&lt;=$B41,12*$B$7,-12*$B$6*(1+$B$4)^10)&gt;0,1+$B$3,1))</f>
        <v/>
      </c>
      <c r="N41">
        <f>IF($B$1+11&gt;90,M41,(M41+IF($B$1+11&lt;=$B41,12*$B$7,-12*$B$6*(1+$B$4)^11))*IF(M41+IF($B$1+11&lt;=$B41,12*$B$7,-12*$B$6*(1+$B$4)^11)&gt;0,1+$B$3,1))</f>
        <v/>
      </c>
      <c r="O41">
        <f>IF($B$1+12&gt;90,N41,(N41+IF($B$1+12&lt;=$B41,12*$B$7,-12*$B$6*(1+$B$4)^12))*IF(N41+IF($B$1+12&lt;=$B41,12*$B$7,-12*$B$6*(1+$B$4)^12)&gt;0,1+$B$3,1))</f>
        <v/>
      </c>
      <c r="P41">
        <f>IF($B$1+13&gt;90,O41,(O41+IF($B$1+13&lt;=$B41,12*$B$7,-12*$B$6*(1+$B$4)^13))*IF(O41+IF($B$1+13&lt;=$B41,12*$B$7,-12*$B$6*(1+$B$4)^13)&gt;0,1+$B$3,1))</f>
        <v/>
      </c>
      <c r="Q41">
        <f>IF($B$1+14&gt;90,P41,(P41+IF($B$1+14&lt;=$B41,12*$B$7,-12*$B$6*(1+$B$4)^14))*IF(P41+IF($B$1+14&lt;=$B41,12*$B$7,-12*$B$6*(1+$B$4)^14)&gt;0,1+$B$3,1))</f>
        <v/>
      </c>
      <c r="R41">
        <f>IF($B$1+15&gt;90,Q41,(Q41+IF($B$1+15&lt;=$B41,12*$B$7,-12*$B$6*(1+$B$4)^15))*IF(Q41+IF($B$1+15&lt;=$B41,12*$B$7,-12*$B$6*(1+$B$4)^15)&gt;0,1+$B$3,1))</f>
        <v/>
      </c>
      <c r="S41">
        <f>IF($B$1+16&gt;90,R41,(R41+IF($B$1+16&lt;=$B41,12*$B$7,-12*$B$6*(1+$B$4)^16))*IF(R41+IF($B$1+16&lt;=$B41,12*$B$7,-12*$B$6*(1+$B$4)^16)&gt;0,1+$B$3,1))</f>
        <v/>
      </c>
      <c r="T41">
        <f>IF($B$1+17&gt;90,S41,(S41+IF($B$1+17&lt;=$B41,12*$B$7,-12*$B$6*(1+$B$4)^17))*IF(S41+IF($B$1+17&lt;=$B41,12*$B$7,-12*$B$6*(1+$B$4)^17)&gt;0,1+$B$3,1))</f>
        <v/>
      </c>
      <c r="U41">
        <f>IF($B$1+18&gt;90,T41,(T41+IF($B$1+18&lt;=$B41,12*$B$7,-12*$B$6*(1+$B$4)^18))*IF(T41+IF($B$1+18&lt;=$B41,12*$B$7,-12*$B$6*(1+$B$4)^18)&gt;0,1+$B$3,1))</f>
        <v/>
      </c>
      <c r="V41">
        <f>IF($B$1+19&gt;90,U41,(U41+IF($B$1+19&lt;=$B41,12*$B$7,-12*$B$6*(1+$B$4)^19))*IF(U41+IF($B$1+19&lt;=$B41,12*$B$7,-12*$B$6*(1+$B$4)^19)&gt;0,1+$B$3,1))</f>
        <v/>
      </c>
      <c r="W41">
        <f>IF($B$1+20&gt;90,V41,(V41+IF($B$1+20&lt;=$B41,12*$B$7,-12*$B$6*(1+$B$4)^20))*IF(V41+IF($B$1+20&lt;=$B41,12*$B$7,-12*$B$6*(1+$B$4)^20)&gt;0,1+$B$3,1))</f>
        <v/>
      </c>
      <c r="X41">
        <f>IF($B$1+21&gt;90,W41,(W41+IF($B$1+21&lt;=$B41,12*$B$7,-12*$B$6*(1+$B$4)^21))*IF(W41+IF($B$1+21&lt;=$B41,12*$B$7,-12*$B$6*(1+$B$4)^21)&gt;0,1+$B$3,1))</f>
        <v/>
      </c>
      <c r="Y41">
        <f>IF($B$1+22&gt;90,X41,(X41+IF($B$1+22&lt;=$B41,12*$B$7,-12*$B$6*(1+$B$4)^22))*IF(X41+IF($B$1+22&lt;=$B41,12*$B$7,-12*$B$6*(1+$B$4)^22)&gt;0,1+$B$3,1))</f>
        <v/>
      </c>
      <c r="Z41">
        <f>IF($B$1+23&gt;90,Y41,(Y41+IF($B$1+23&lt;=$B41,12*$B$7,-12*$B$6*(1+$B$4)^23))*IF(Y41+IF($B$1+23&lt;=$B41,12*$B$7,-12*$B$6*(1+$B$4)^23)&gt;0,1+$B$3,1))</f>
        <v/>
      </c>
      <c r="AA41">
        <f>IF($B$1+24&gt;90,Z41,(Z41+IF($B$1+24&lt;=$B41,12*$B$7,-12*$B$6*(1+$B$4)^24))*IF(Z41+IF($B$1+24&lt;=$B41,12*$B$7,-12*$B$6*(1+$B$4)^24)&gt;0,1+$B$3,1))</f>
        <v/>
      </c>
      <c r="AB41">
        <f>IF($B$1+25&gt;90,AA41,(AA41+IF($B$1+25&lt;=$B41,12*$B$7,-12*$B$6*(1+$B$4)^25))*IF(AA41+IF($B$1+25&lt;=$B41,12*$B$7,-12*$B$6*(1+$B$4)^25)&gt;0,1+$B$3,1))</f>
        <v/>
      </c>
      <c r="AC41">
        <f>IF($B$1+26&gt;90,AB41,(AB41+IF($B$1+26&lt;=$B41,12*$B$7,-12*$B$6*(1+$B$4)^26))*IF(AB41+IF($B$1+26&lt;=$B41,12*$B$7,-12*$B$6*(1+$B$4)^26)&gt;0,1+$B$3,1))</f>
        <v/>
      </c>
      <c r="AD41">
        <f>IF($B$1+27&gt;90,AC41,(AC41+IF($B$1+27&lt;=$B41,12*$B$7,-12*$B$6*(1+$B$4)^27))*IF(AC41+IF($B$1+27&lt;=$B41,12*$B$7,-12*$B$6*(1+$B$4)^27)&gt;0,1+$B$3,1))</f>
        <v/>
      </c>
      <c r="AE41">
        <f>IF($B$1+28&gt;90,AD41,(AD41+IF($B$1+28&lt;=$B41,12*$B$7,-12*$B$6*(1+$B$4)^28))*IF(AD41+IF($B$1+28&lt;=$B41,12*$B$7,-12*$B$6*(1+$B$4)^28)&gt;0,1+$B$3,1))</f>
        <v/>
      </c>
      <c r="AF41">
        <f>IF($B$1+29&gt;90,AE41,(AE41+IF($B$1+29&lt;=$B41,12*$B$7,-12*$B$6*(1+$B$4)^29))*IF(AE41+IF($B$1+29&lt;=$B41,12*$B$7,-12*$B$6*(1+$B$4)^29)&gt;0,1+$B$3,1))</f>
        <v/>
      </c>
      <c r="AG41">
        <f>IF($B$1+30&gt;90,AF41,(AF41+IF($B$1+30&lt;=$B41,12*$B$7,-12*$B$6*(1+$B$4)^30))*IF(AF41+IF($B$1+30&lt;=$B41,12*$B$7,-12*$B$6*(1+$B$4)^30)&gt;0,1+$B$3,1))</f>
        <v/>
      </c>
      <c r="AH41">
        <f>IF($B$1+31&gt;90,AG41,(AG41+IF($B$1+31&lt;=$B41,12*$B$7,-12*$B$6*(1+$B$4)^31))*IF(AG41+IF($B$1+31&lt;=$B41,12*$B$7,-12*$B$6*(1+$B$4)^31)&gt;0,1+$B$3,1))</f>
        <v/>
      </c>
      <c r="AI41">
        <f>IF($B$1+32&gt;90,AH41,(AH41+IF($B$1+32&lt;=$B41,12*$B$7,-12*$B$6*(1+$B$4)^32))*IF(AH41+IF($B$1+32&lt;=$B41,12*$B$7,-12*$B$6*(1+$B$4)^32)&gt;0,1+$B$3,1))</f>
        <v/>
      </c>
      <c r="AJ41">
        <f>IF($B$1+33&gt;90,AI41,(AI41+IF($B$1+33&lt;=$B41,12*$B$7,-12*$B$6*(1+$B$4)^33))*IF(AI41+IF($B$1+33&lt;=$B41,12*$B$7,-12*$B$6*(1+$B$4)^33)&gt;0,1+$B$3,1))</f>
        <v/>
      </c>
      <c r="AK41">
        <f>IF($B$1+34&gt;90,AJ41,(AJ41+IF($B$1+34&lt;=$B41,12*$B$7,-12*$B$6*(1+$B$4)^34))*IF(AJ41+IF($B$1+34&lt;=$B41,12*$B$7,-12*$B$6*(1+$B$4)^34)&gt;0,1+$B$3,1))</f>
        <v/>
      </c>
      <c r="AL41">
        <f>IF($B$1+35&gt;90,AK41,(AK41+IF($B$1+35&lt;=$B41,12*$B$7,-12*$B$6*(1+$B$4)^35))*IF(AK41+IF($B$1+35&lt;=$B41,12*$B$7,-12*$B$6*(1+$B$4)^35)&gt;0,1+$B$3,1))</f>
        <v/>
      </c>
      <c r="AM41">
        <f>IF($B$1+36&gt;90,AL41,(AL41+IF($B$1+36&lt;=$B41,12*$B$7,-12*$B$6*(1+$B$4)^36))*IF(AL41+IF($B$1+36&lt;=$B41,12*$B$7,-12*$B$6*(1+$B$4)^36)&gt;0,1+$B$3,1))</f>
        <v/>
      </c>
      <c r="AN41">
        <f>IF($B$1+37&gt;90,AM41,(AM41+IF($B$1+37&lt;=$B41,12*$B$7,-12*$B$6*(1+$B$4)^37))*IF(AM41+IF($B$1+37&lt;=$B41,12*$B$7,-12*$B$6*(1+$B$4)^37)&gt;0,1+$B$3,1))</f>
        <v/>
      </c>
      <c r="AO41">
        <f>IF($B$1+38&gt;90,AN41,(AN41+IF($B$1+38&lt;=$B41,12*$B$7,-12*$B$6*(1+$B$4)^38))*IF(AN41+IF($B$1+38&lt;=$B41,12*$B$7,-12*$B$6*(1+$B$4)^38)&gt;0,1+$B$3,1))</f>
        <v/>
      </c>
      <c r="AP41">
        <f>IF($B$1+39&gt;90,AO41,(AO41+IF($B$1+39&lt;=$B41,12*$B$7,-12*$B$6*(1+$B$4)^39))*IF(AO41+IF($B$1+39&lt;=$B41,12*$B$7,-12*$B$6*(1+$B$4)^39)&gt;0,1+$B$3,1))</f>
        <v/>
      </c>
      <c r="AQ41">
        <f>IF($B$1+40&gt;90,AP41,(AP41+IF($B$1+40&lt;=$B41,12*$B$7,-12*$B$6*(1+$B$4)^40))*IF(AP41+IF($B$1+40&lt;=$B41,12*$B$7,-12*$B$6*(1+$B$4)^40)&gt;0,1+$B$3,1))</f>
        <v/>
      </c>
      <c r="AR41">
        <f>IF($B$1+41&gt;90,AQ41,(AQ41+IF($B$1+41&lt;=$B41,12*$B$7,-12*$B$6*(1+$B$4)^41))*IF(AQ41+IF($B$1+41&lt;=$B41,12*$B$7,-12*$B$6*(1+$B$4)^41)&gt;0,1+$B$3,1))</f>
        <v/>
      </c>
      <c r="AS41">
        <f>IF($B$1+42&gt;90,AR41,(AR41+IF($B$1+42&lt;=$B41,12*$B$7,-12*$B$6*(1+$B$4)^42))*IF(AR41+IF($B$1+42&lt;=$B41,12*$B$7,-12*$B$6*(1+$B$4)^42)&gt;0,1+$B$3,1))</f>
        <v/>
      </c>
      <c r="AT41">
        <f>IF($B$1+43&gt;90,AS41,(AS41+IF($B$1+43&lt;=$B41,12*$B$7,-12*$B$6*(1+$B$4)^43))*IF(AS41+IF($B$1+43&lt;=$B41,12*$B$7,-12*$B$6*(1+$B$4)^43)&gt;0,1+$B$3,1))</f>
        <v/>
      </c>
      <c r="AU41">
        <f>IF($B$1+44&gt;90,AT41,(AT41+IF($B$1+44&lt;=$B41,12*$B$7,-12*$B$6*(1+$B$4)^44))*IF(AT41+IF($B$1+44&lt;=$B41,12*$B$7,-12*$B$6*(1+$B$4)^44)&gt;0,1+$B$3,1))</f>
        <v/>
      </c>
      <c r="AV41">
        <f>IF($B$1+45&gt;90,AU41,(AU41+IF($B$1+45&lt;=$B41,12*$B$7,-12*$B$6*(1+$B$4)^45))*IF(AU41+IF($B$1+45&lt;=$B41,12*$B$7,-12*$B$6*(1+$B$4)^45)&gt;0,1+$B$3,1))</f>
        <v/>
      </c>
      <c r="AW41">
        <f>IF($B$1+46&gt;90,AV41,(AV41+IF($B$1+46&lt;=$B41,12*$B$7,-12*$B$6*(1+$B$4)^46))*IF(AV41+IF($B$1+46&lt;=$B41,12*$B$7,-12*$B$6*(1+$B$4)^46)&gt;0,1+$B$3,1))</f>
        <v/>
      </c>
      <c r="AX41">
        <f>IF($B$1+47&gt;90,AW41,(AW41+IF($B$1+47&lt;=$B41,12*$B$7,-12*$B$6*(1+$B$4)^47))*IF(AW41+IF($B$1+47&lt;=$B41,12*$B$7,-12*$B$6*(1+$B$4)^47)&gt;0,1+$B$3,1))</f>
        <v/>
      </c>
      <c r="AY41">
        <f>IF($B$1+48&gt;90,AX41,(AX41+IF($B$1+48&lt;=$B41,12*$B$7,-12*$B$6*(1+$B$4)^48))*IF(AX41+IF($B$1+48&lt;=$B41,12*$B$7,-12*$B$6*(1+$B$4)^48)&gt;0,1+$B$3,1))</f>
        <v/>
      </c>
      <c r="AZ41">
        <f>IF($B$1+49&gt;90,AY41,(AY41+IF($B$1+49&lt;=$B41,12*$B$7,-12*$B$6*(1+$B$4)^49))*IF(AY41+IF($B$1+49&lt;=$B41,12*$B$7,-12*$B$6*(1+$B$4)^49)&gt;0,1+$B$3,1))</f>
        <v/>
      </c>
      <c r="BA41">
        <f>IF($B$1+50&gt;90,AZ41,(AZ41+IF($B$1+50&lt;=$B41,12*$B$7,-12*$B$6*(1+$B$4)^50))*IF(AZ41+IF($B$1+50&lt;=$B41,12*$B$7,-12*$B$6*(1+$B$4)^50)&gt;0,1+$B$3,1))</f>
        <v/>
      </c>
      <c r="BB41">
        <f>IF($B$1+51&gt;90,BA41,(BA41+IF($B$1+51&lt;=$B41,12*$B$7,-12*$B$6*(1+$B$4)^51))*IF(BA41+IF($B$1+51&lt;=$B41,12*$B$7,-12*$B$6*(1+$B$4)^51)&gt;0,1+$B$3,1))</f>
        <v/>
      </c>
      <c r="BC41">
        <f>IF($B$1+52&gt;90,BB41,(BB41+IF($B$1+52&lt;=$B41,12*$B$7,-12*$B$6*(1+$B$4)^52))*IF(BB41+IF($B$1+52&lt;=$B41,12*$B$7,-12*$B$6*(1+$B$4)^52)&gt;0,1+$B$3,1))</f>
        <v/>
      </c>
      <c r="BD41">
        <f>IF($B$1+53&gt;90,BC41,(BC41+IF($B$1+53&lt;=$B41,12*$B$7,-12*$B$6*(1+$B$4)^53))*IF(BC41+IF($B$1+53&lt;=$B41,12*$B$7,-12*$B$6*(1+$B$4)^53)&gt;0,1+$B$3,1))</f>
        <v/>
      </c>
      <c r="BE41">
        <f>IF($B$1+54&gt;90,BD41,(BD41+IF($B$1+54&lt;=$B41,12*$B$7,-12*$B$6*(1+$B$4)^54))*IF(BD41+IF($B$1+54&lt;=$B41,12*$B$7,-12*$B$6*(1+$B$4)^54)&gt;0,1+$B$3,1))</f>
        <v/>
      </c>
      <c r="BF41">
        <f>IF($B$1+55&gt;90,BE41,(BE41+IF($B$1+55&lt;=$B41,12*$B$7,-12*$B$6*(1+$B$4)^55))*IF(BE41+IF($B$1+55&lt;=$B41,12*$B$7,-12*$B$6*(1+$B$4)^55)&gt;0,1+$B$3,1))</f>
        <v/>
      </c>
      <c r="BG41">
        <f>IF($B$1+56&gt;90,BF41,(BF41+IF($B$1+56&lt;=$B41,12*$B$7,-12*$B$6*(1+$B$4)^56))*IF(BF41+IF($B$1+56&lt;=$B41,12*$B$7,-12*$B$6*(1+$B$4)^56)&gt;0,1+$B$3,1))</f>
        <v/>
      </c>
      <c r="BH41">
        <f>IF($B$1+57&gt;90,BG41,(BG41+IF($B$1+57&lt;=$B41,12*$B$7,-12*$B$6*(1+$B$4)^57))*IF(BG41+IF($B$1+57&lt;=$B41,12*$B$7,-12*$B$6*(1+$B$4)^57)&gt;0,1+$B$3,1))</f>
        <v/>
      </c>
      <c r="BI41">
        <f>IF($B$1+58&gt;90,BH41,(BH41+IF($B$1+58&lt;=$B41,12*$B$7,-12*$B$6*(1+$B$4)^58))*IF(BH41+IF($B$1+58&lt;=$B41,12*$B$7,-12*$B$6*(1+$B$4)^58)&gt;0,1+$B$3,1))</f>
        <v/>
      </c>
      <c r="BJ41">
        <f>IF($B$1+59&gt;90,BI41,(BI41+IF($B$1+59&lt;=$B41,12*$B$7,-12*$B$6*(1+$B$4)^59))*IF(BI41+IF($B$1+59&lt;=$B41,12*$B$7,-12*$B$6*(1+$B$4)^59)&gt;0,1+$B$3,1))</f>
        <v/>
      </c>
      <c r="BK41">
        <f>IF($B$1+60&gt;90,BJ41,(BJ41+IF($B$1+60&lt;=$B41,12*$B$7,-12*$B$6*(1+$B$4)^60))*IF(BJ41+IF($B$1+60&lt;=$B41,12*$B$7,-12*$B$6*(1+$B$4)^60)&gt;0,1+$B$3,1))</f>
        <v/>
      </c>
      <c r="BL41">
        <f>IF($B$1+61&gt;90,BK41,(BK41+IF($B$1+61&lt;=$B41,12*$B$7,-12*$B$6*(1+$B$4)^61))*IF(BK41+IF($B$1+61&lt;=$B41,12*$B$7,-12*$B$6*(1+$B$4)^61)&gt;0,1+$B$3,1))</f>
        <v/>
      </c>
      <c r="BM41">
        <f>IF($B$1+62&gt;90,BL41,(BL41+IF($B$1+62&lt;=$B41,12*$B$7,-12*$B$6*(1+$B$4)^62))*IF(BL41+IF($B$1+62&lt;=$B41,12*$B$7,-12*$B$6*(1+$B$4)^62)&gt;0,1+$B$3,1))</f>
        <v/>
      </c>
      <c r="BN41">
        <f>IF($B$1+63&gt;90,BM41,(BM41+IF($B$1+63&lt;=$B41,12*$B$7,-12*$B$6*(1+$B$4)^63))*IF(BM41+IF($B$1+63&lt;=$B41,12*$B$7,-12*$B$6*(1+$B$4)^63)&gt;0,1+$B$3,1))</f>
        <v/>
      </c>
      <c r="BO41">
        <f>IF($B$1+64&gt;90,BN41,(BN41+IF($B$1+64&lt;=$B41,12*$B$7,-12*$B$6*(1+$B$4)^64))*IF(BN41+IF($B$1+64&lt;=$B41,12*$B$7,-12*$B$6*(1+$B$4)^64)&gt;0,1+$B$3,1))</f>
        <v/>
      </c>
      <c r="BP41">
        <f>IF($B$1+65&gt;90,BO41,(BO41+IF($B$1+65&lt;=$B41,12*$B$7,-12*$B$6*(1+$B$4)^65))*IF(BO41+IF($B$1+65&lt;=$B41,12*$B$7,-12*$B$6*(1+$B$4)^65)&gt;0,1+$B$3,1))</f>
        <v/>
      </c>
      <c r="BQ41">
        <f>IF($B$1+66&gt;90,BP41,(BP41+IF($B$1+66&lt;=$B41,12*$B$7,-12*$B$6*(1+$B$4)^66))*IF(BP41+IF($B$1+66&lt;=$B41,12*$B$7,-12*$B$6*(1+$B$4)^66)&gt;0,1+$B$3,1))</f>
        <v/>
      </c>
      <c r="BR41">
        <f>IF($B$1+67&gt;90,BQ41,(BQ41+IF($B$1+67&lt;=$B41,12*$B$7,-12*$B$6*(1+$B$4)^67))*IF(BQ41+IF($B$1+67&lt;=$B41,12*$B$7,-12*$B$6*(1+$B$4)^67)&gt;0,1+$B$3,1))</f>
        <v/>
      </c>
      <c r="BS41">
        <f>IF($B$1+68&gt;90,BR41,(BR41+IF($B$1+68&lt;=$B41,12*$B$7,-12*$B$6*(1+$B$4)^68))*IF(BR41+IF($B$1+68&lt;=$B41,12*$B$7,-12*$B$6*(1+$B$4)^68)&gt;0,1+$B$3,1))</f>
        <v/>
      </c>
      <c r="BT41">
        <f>IF($B$1+69&gt;90,BS41,(BS41+IF($B$1+69&lt;=$B41,12*$B$7,-12*$B$6*(1+$B$4)^69))*IF(BS41+IF($B$1+69&lt;=$B41,12*$B$7,-12*$B$6*(1+$B$4)^69)&gt;0,1+$B$3,1))</f>
        <v/>
      </c>
      <c r="BU41">
        <f>IF($B$1+70&gt;90,BT41,(BT41+IF($B$1+70&lt;=$B41,12*$B$7,-12*$B$6*(1+$B$4)^70))*IF(BT41+IF($B$1+70&lt;=$B41,12*$B$7,-12*$B$6*(1+$B$4)^70)&gt;0,1+$B$3,1))</f>
        <v/>
      </c>
      <c r="BV41">
        <f>BU41</f>
        <v/>
      </c>
      <c r="BW41">
        <f>IF(AND($B41&lt;=70,BV41&gt;0),$B41,999)</f>
        <v/>
      </c>
      <c r="CB41" t="n">
        <v>40</v>
      </c>
      <c r="CC41">
        <f>IF($B$1+CB41&gt;90,0,12*$B$6*(1+$B$4)^CB41/(1+$B$3)^(CB41-1))</f>
        <v/>
      </c>
      <c r="CE41">
        <f>IF($B$1+39&gt;90,NA(),$B$1+39)</f>
        <v/>
      </c>
      <c r="CF41">
        <f>IF(OR($B$21="",$B$1+39&gt;90),NA(),INDEX($C$40:$BU$90,$B$21-$B$1+1,40))</f>
        <v/>
      </c>
    </row>
    <row r="42">
      <c r="A42" t="n">
        <v>2</v>
      </c>
      <c r="B42">
        <f>$B$1+2</f>
        <v/>
      </c>
      <c r="C42">
        <f>$B$2</f>
        <v/>
      </c>
      <c r="D42">
        <f>IF($B$1+1&gt;90,C42,(C42+IF($B$1+1&lt;=$B42,12*$B$7,-12*$B$6*(1+$B$4)^1))*IF(C42+IF($B$1+1&lt;=$B42,12*$B$7,-12*$B$6*(1+$B$4)^1)&gt;0,1+$B$3,1))</f>
        <v/>
      </c>
      <c r="E42">
        <f>IF($B$1+2&gt;90,D42,(D42+IF($B$1+2&lt;=$B42,12*$B$7,-12*$B$6*(1+$B$4)^2))*IF(D42+IF($B$1+2&lt;=$B42,12*$B$7,-12*$B$6*(1+$B$4)^2)&gt;0,1+$B$3,1))</f>
        <v/>
      </c>
      <c r="F42">
        <f>IF($B$1+3&gt;90,E42,(E42+IF($B$1+3&lt;=$B42,12*$B$7,-12*$B$6*(1+$B$4)^3))*IF(E42+IF($B$1+3&lt;=$B42,12*$B$7,-12*$B$6*(1+$B$4)^3)&gt;0,1+$B$3,1))</f>
        <v/>
      </c>
      <c r="G42">
        <f>IF($B$1+4&gt;90,F42,(F42+IF($B$1+4&lt;=$B42,12*$B$7,-12*$B$6*(1+$B$4)^4))*IF(F42+IF($B$1+4&lt;=$B42,12*$B$7,-12*$B$6*(1+$B$4)^4)&gt;0,1+$B$3,1))</f>
        <v/>
      </c>
      <c r="H42">
        <f>IF($B$1+5&gt;90,G42,(G42+IF($B$1+5&lt;=$B42,12*$B$7,-12*$B$6*(1+$B$4)^5))*IF(G42+IF($B$1+5&lt;=$B42,12*$B$7,-12*$B$6*(1+$B$4)^5)&gt;0,1+$B$3,1))</f>
        <v/>
      </c>
      <c r="I42">
        <f>IF($B$1+6&gt;90,H42,(H42+IF($B$1+6&lt;=$B42,12*$B$7,-12*$B$6*(1+$B$4)^6))*IF(H42+IF($B$1+6&lt;=$B42,12*$B$7,-12*$B$6*(1+$B$4)^6)&gt;0,1+$B$3,1))</f>
        <v/>
      </c>
      <c r="J42">
        <f>IF($B$1+7&gt;90,I42,(I42+IF($B$1+7&lt;=$B42,12*$B$7,-12*$B$6*(1+$B$4)^7))*IF(I42+IF($B$1+7&lt;=$B42,12*$B$7,-12*$B$6*(1+$B$4)^7)&gt;0,1+$B$3,1))</f>
        <v/>
      </c>
      <c r="K42">
        <f>IF($B$1+8&gt;90,J42,(J42+IF($B$1+8&lt;=$B42,12*$B$7,-12*$B$6*(1+$B$4)^8))*IF(J42+IF($B$1+8&lt;=$B42,12*$B$7,-12*$B$6*(1+$B$4)^8)&gt;0,1+$B$3,1))</f>
        <v/>
      </c>
      <c r="L42">
        <f>IF($B$1+9&gt;90,K42,(K42+IF($B$1+9&lt;=$B42,12*$B$7,-12*$B$6*(1+$B$4)^9))*IF(K42+IF($B$1+9&lt;=$B42,12*$B$7,-12*$B$6*(1+$B$4)^9)&gt;0,1+$B$3,1))</f>
        <v/>
      </c>
      <c r="M42">
        <f>IF($B$1+10&gt;90,L42,(L42+IF($B$1+10&lt;=$B42,12*$B$7,-12*$B$6*(1+$B$4)^10))*IF(L42+IF($B$1+10&lt;=$B42,12*$B$7,-12*$B$6*(1+$B$4)^10)&gt;0,1+$B$3,1))</f>
        <v/>
      </c>
      <c r="N42">
        <f>IF($B$1+11&gt;90,M42,(M42+IF($B$1+11&lt;=$B42,12*$B$7,-12*$B$6*(1+$B$4)^11))*IF(M42+IF($B$1+11&lt;=$B42,12*$B$7,-12*$B$6*(1+$B$4)^11)&gt;0,1+$B$3,1))</f>
        <v/>
      </c>
      <c r="O42">
        <f>IF($B$1+12&gt;90,N42,(N42+IF($B$1+12&lt;=$B42,12*$B$7,-12*$B$6*(1+$B$4)^12))*IF(N42+IF($B$1+12&lt;=$B42,12*$B$7,-12*$B$6*(1+$B$4)^12)&gt;0,1+$B$3,1))</f>
        <v/>
      </c>
      <c r="P42">
        <f>IF($B$1+13&gt;90,O42,(O42+IF($B$1+13&lt;=$B42,12*$B$7,-12*$B$6*(1+$B$4)^13))*IF(O42+IF($B$1+13&lt;=$B42,12*$B$7,-12*$B$6*(1+$B$4)^13)&gt;0,1+$B$3,1))</f>
        <v/>
      </c>
      <c r="Q42">
        <f>IF($B$1+14&gt;90,P42,(P42+IF($B$1+14&lt;=$B42,12*$B$7,-12*$B$6*(1+$B$4)^14))*IF(P42+IF($B$1+14&lt;=$B42,12*$B$7,-12*$B$6*(1+$B$4)^14)&gt;0,1+$B$3,1))</f>
        <v/>
      </c>
      <c r="R42">
        <f>IF($B$1+15&gt;90,Q42,(Q42+IF($B$1+15&lt;=$B42,12*$B$7,-12*$B$6*(1+$B$4)^15))*IF(Q42+IF($B$1+15&lt;=$B42,12*$B$7,-12*$B$6*(1+$B$4)^15)&gt;0,1+$B$3,1))</f>
        <v/>
      </c>
      <c r="S42">
        <f>IF($B$1+16&gt;90,R42,(R42+IF($B$1+16&lt;=$B42,12*$B$7,-12*$B$6*(1+$B$4)^16))*IF(R42+IF($B$1+16&lt;=$B42,12*$B$7,-12*$B$6*(1+$B$4)^16)&gt;0,1+$B$3,1))</f>
        <v/>
      </c>
      <c r="T42">
        <f>IF($B$1+17&gt;90,S42,(S42+IF($B$1+17&lt;=$B42,12*$B$7,-12*$B$6*(1+$B$4)^17))*IF(S42+IF($B$1+17&lt;=$B42,12*$B$7,-12*$B$6*(1+$B$4)^17)&gt;0,1+$B$3,1))</f>
        <v/>
      </c>
      <c r="U42">
        <f>IF($B$1+18&gt;90,T42,(T42+IF($B$1+18&lt;=$B42,12*$B$7,-12*$B$6*(1+$B$4)^18))*IF(T42+IF($B$1+18&lt;=$B42,12*$B$7,-12*$B$6*(1+$B$4)^18)&gt;0,1+$B$3,1))</f>
        <v/>
      </c>
      <c r="V42">
        <f>IF($B$1+19&gt;90,U42,(U42+IF($B$1+19&lt;=$B42,12*$B$7,-12*$B$6*(1+$B$4)^19))*IF(U42+IF($B$1+19&lt;=$B42,12*$B$7,-12*$B$6*(1+$B$4)^19)&gt;0,1+$B$3,1))</f>
        <v/>
      </c>
      <c r="W42">
        <f>IF($B$1+20&gt;90,V42,(V42+IF($B$1+20&lt;=$B42,12*$B$7,-12*$B$6*(1+$B$4)^20))*IF(V42+IF($B$1+20&lt;=$B42,12*$B$7,-12*$B$6*(1+$B$4)^20)&gt;0,1+$B$3,1))</f>
        <v/>
      </c>
      <c r="X42">
        <f>IF($B$1+21&gt;90,W42,(W42+IF($B$1+21&lt;=$B42,12*$B$7,-12*$B$6*(1+$B$4)^21))*IF(W42+IF($B$1+21&lt;=$B42,12*$B$7,-12*$B$6*(1+$B$4)^21)&gt;0,1+$B$3,1))</f>
        <v/>
      </c>
      <c r="Y42">
        <f>IF($B$1+22&gt;90,X42,(X42+IF($B$1+22&lt;=$B42,12*$B$7,-12*$B$6*(1+$B$4)^22))*IF(X42+IF($B$1+22&lt;=$B42,12*$B$7,-12*$B$6*(1+$B$4)^22)&gt;0,1+$B$3,1))</f>
        <v/>
      </c>
      <c r="Z42">
        <f>IF($B$1+23&gt;90,Y42,(Y42+IF($B$1+23&lt;=$B42,12*$B$7,-12*$B$6*(1+$B$4)^23))*IF(Y42+IF($B$1+23&lt;=$B42,12*$B$7,-12*$B$6*(1+$B$4)^23)&gt;0,1+$B$3,1))</f>
        <v/>
      </c>
      <c r="AA42">
        <f>IF($B$1+24&gt;90,Z42,(Z42+IF($B$1+24&lt;=$B42,12*$B$7,-12*$B$6*(1+$B$4)^24))*IF(Z42+IF($B$1+24&lt;=$B42,12*$B$7,-12*$B$6*(1+$B$4)^24)&gt;0,1+$B$3,1))</f>
        <v/>
      </c>
      <c r="AB42">
        <f>IF($B$1+25&gt;90,AA42,(AA42+IF($B$1+25&lt;=$B42,12*$B$7,-12*$B$6*(1+$B$4)^25))*IF(AA42+IF($B$1+25&lt;=$B42,12*$B$7,-12*$B$6*(1+$B$4)^25)&gt;0,1+$B$3,1))</f>
        <v/>
      </c>
      <c r="AC42">
        <f>IF($B$1+26&gt;90,AB42,(AB42+IF($B$1+26&lt;=$B42,12*$B$7,-12*$B$6*(1+$B$4)^26))*IF(AB42+IF($B$1+26&lt;=$B42,12*$B$7,-12*$B$6*(1+$B$4)^26)&gt;0,1+$B$3,1))</f>
        <v/>
      </c>
      <c r="AD42">
        <f>IF($B$1+27&gt;90,AC42,(AC42+IF($B$1+27&lt;=$B42,12*$B$7,-12*$B$6*(1+$B$4)^27))*IF(AC42+IF($B$1+27&lt;=$B42,12*$B$7,-12*$B$6*(1+$B$4)^27)&gt;0,1+$B$3,1))</f>
        <v/>
      </c>
      <c r="AE42">
        <f>IF($B$1+28&gt;90,AD42,(AD42+IF($B$1+28&lt;=$B42,12*$B$7,-12*$B$6*(1+$B$4)^28))*IF(AD42+IF($B$1+28&lt;=$B42,12*$B$7,-12*$B$6*(1+$B$4)^28)&gt;0,1+$B$3,1))</f>
        <v/>
      </c>
      <c r="AF42">
        <f>IF($B$1+29&gt;90,AE42,(AE42+IF($B$1+29&lt;=$B42,12*$B$7,-12*$B$6*(1+$B$4)^29))*IF(AE42+IF($B$1+29&lt;=$B42,12*$B$7,-12*$B$6*(1+$B$4)^29)&gt;0,1+$B$3,1))</f>
        <v/>
      </c>
      <c r="AG42">
        <f>IF($B$1+30&gt;90,AF42,(AF42+IF($B$1+30&lt;=$B42,12*$B$7,-12*$B$6*(1+$B$4)^30))*IF(AF42+IF($B$1+30&lt;=$B42,12*$B$7,-12*$B$6*(1+$B$4)^30)&gt;0,1+$B$3,1))</f>
        <v/>
      </c>
      <c r="AH42">
        <f>IF($B$1+31&gt;90,AG42,(AG42+IF($B$1+31&lt;=$B42,12*$B$7,-12*$B$6*(1+$B$4)^31))*IF(AG42+IF($B$1+31&lt;=$B42,12*$B$7,-12*$B$6*(1+$B$4)^31)&gt;0,1+$B$3,1))</f>
        <v/>
      </c>
      <c r="AI42">
        <f>IF($B$1+32&gt;90,AH42,(AH42+IF($B$1+32&lt;=$B42,12*$B$7,-12*$B$6*(1+$B$4)^32))*IF(AH42+IF($B$1+32&lt;=$B42,12*$B$7,-12*$B$6*(1+$B$4)^32)&gt;0,1+$B$3,1))</f>
        <v/>
      </c>
      <c r="AJ42">
        <f>IF($B$1+33&gt;90,AI42,(AI42+IF($B$1+33&lt;=$B42,12*$B$7,-12*$B$6*(1+$B$4)^33))*IF(AI42+IF($B$1+33&lt;=$B42,12*$B$7,-12*$B$6*(1+$B$4)^33)&gt;0,1+$B$3,1))</f>
        <v/>
      </c>
      <c r="AK42">
        <f>IF($B$1+34&gt;90,AJ42,(AJ42+IF($B$1+34&lt;=$B42,12*$B$7,-12*$B$6*(1+$B$4)^34))*IF(AJ42+IF($B$1+34&lt;=$B42,12*$B$7,-12*$B$6*(1+$B$4)^34)&gt;0,1+$B$3,1))</f>
        <v/>
      </c>
      <c r="AL42">
        <f>IF($B$1+35&gt;90,AK42,(AK42+IF($B$1+35&lt;=$B42,12*$B$7,-12*$B$6*(1+$B$4)^35))*IF(AK42+IF($B$1+35&lt;=$B42,12*$B$7,-12*$B$6*(1+$B$4)^35)&gt;0,1+$B$3,1))</f>
        <v/>
      </c>
      <c r="AM42">
        <f>IF($B$1+36&gt;90,AL42,(AL42+IF($B$1+36&lt;=$B42,12*$B$7,-12*$B$6*(1+$B$4)^36))*IF(AL42+IF($B$1+36&lt;=$B42,12*$B$7,-12*$B$6*(1+$B$4)^36)&gt;0,1+$B$3,1))</f>
        <v/>
      </c>
      <c r="AN42">
        <f>IF($B$1+37&gt;90,AM42,(AM42+IF($B$1+37&lt;=$B42,12*$B$7,-12*$B$6*(1+$B$4)^37))*IF(AM42+IF($B$1+37&lt;=$B42,12*$B$7,-12*$B$6*(1+$B$4)^37)&gt;0,1+$B$3,1))</f>
        <v/>
      </c>
      <c r="AO42">
        <f>IF($B$1+38&gt;90,AN42,(AN42+IF($B$1+38&lt;=$B42,12*$B$7,-12*$B$6*(1+$B$4)^38))*IF(AN42+IF($B$1+38&lt;=$B42,12*$B$7,-12*$B$6*(1+$B$4)^38)&gt;0,1+$B$3,1))</f>
        <v/>
      </c>
      <c r="AP42">
        <f>IF($B$1+39&gt;90,AO42,(AO42+IF($B$1+39&lt;=$B42,12*$B$7,-12*$B$6*(1+$B$4)^39))*IF(AO42+IF($B$1+39&lt;=$B42,12*$B$7,-12*$B$6*(1+$B$4)^39)&gt;0,1+$B$3,1))</f>
        <v/>
      </c>
      <c r="AQ42">
        <f>IF($B$1+40&gt;90,AP42,(AP42+IF($B$1+40&lt;=$B42,12*$B$7,-12*$B$6*(1+$B$4)^40))*IF(AP42+IF($B$1+40&lt;=$B42,12*$B$7,-12*$B$6*(1+$B$4)^40)&gt;0,1+$B$3,1))</f>
        <v/>
      </c>
      <c r="AR42">
        <f>IF($B$1+41&gt;90,AQ42,(AQ42+IF($B$1+41&lt;=$B42,12*$B$7,-12*$B$6*(1+$B$4)^41))*IF(AQ42+IF($B$1+41&lt;=$B42,12*$B$7,-12*$B$6*(1+$B$4)^41)&gt;0,1+$B$3,1))</f>
        <v/>
      </c>
      <c r="AS42">
        <f>IF($B$1+42&gt;90,AR42,(AR42+IF($B$1+42&lt;=$B42,12*$B$7,-12*$B$6*(1+$B$4)^42))*IF(AR42+IF($B$1+42&lt;=$B42,12*$B$7,-12*$B$6*(1+$B$4)^42)&gt;0,1+$B$3,1))</f>
        <v/>
      </c>
      <c r="AT42">
        <f>IF($B$1+43&gt;90,AS42,(AS42+IF($B$1+43&lt;=$B42,12*$B$7,-12*$B$6*(1+$B$4)^43))*IF(AS42+IF($B$1+43&lt;=$B42,12*$B$7,-12*$B$6*(1+$B$4)^43)&gt;0,1+$B$3,1))</f>
        <v/>
      </c>
      <c r="AU42">
        <f>IF($B$1+44&gt;90,AT42,(AT42+IF($B$1+44&lt;=$B42,12*$B$7,-12*$B$6*(1+$B$4)^44))*IF(AT42+IF($B$1+44&lt;=$B42,12*$B$7,-12*$B$6*(1+$B$4)^44)&gt;0,1+$B$3,1))</f>
        <v/>
      </c>
      <c r="AV42">
        <f>IF($B$1+45&gt;90,AU42,(AU42+IF($B$1+45&lt;=$B42,12*$B$7,-12*$B$6*(1+$B$4)^45))*IF(AU42+IF($B$1+45&lt;=$B42,12*$B$7,-12*$B$6*(1+$B$4)^45)&gt;0,1+$B$3,1))</f>
        <v/>
      </c>
      <c r="AW42">
        <f>IF($B$1+46&gt;90,AV42,(AV42+IF($B$1+46&lt;=$B42,12*$B$7,-12*$B$6*(1+$B$4)^46))*IF(AV42+IF($B$1+46&lt;=$B42,12*$B$7,-12*$B$6*(1+$B$4)^46)&gt;0,1+$B$3,1))</f>
        <v/>
      </c>
      <c r="AX42">
        <f>IF($B$1+47&gt;90,AW42,(AW42+IF($B$1+47&lt;=$B42,12*$B$7,-12*$B$6*(1+$B$4)^47))*IF(AW42+IF($B$1+47&lt;=$B42,12*$B$7,-12*$B$6*(1+$B$4)^47)&gt;0,1+$B$3,1))</f>
        <v/>
      </c>
      <c r="AY42">
        <f>IF($B$1+48&gt;90,AX42,(AX42+IF($B$1+48&lt;=$B42,12*$B$7,-12*$B$6*(1+$B$4)^48))*IF(AX42+IF($B$1+48&lt;=$B42,12*$B$7,-12*$B$6*(1+$B$4)^48)&gt;0,1+$B$3,1))</f>
        <v/>
      </c>
      <c r="AZ42">
        <f>IF($B$1+49&gt;90,AY42,(AY42+IF($B$1+49&lt;=$B42,12*$B$7,-12*$B$6*(1+$B$4)^49))*IF(AY42+IF($B$1+49&lt;=$B42,12*$B$7,-12*$B$6*(1+$B$4)^49)&gt;0,1+$B$3,1))</f>
        <v/>
      </c>
      <c r="BA42">
        <f>IF($B$1+50&gt;90,AZ42,(AZ42+IF($B$1+50&lt;=$B42,12*$B$7,-12*$B$6*(1+$B$4)^50))*IF(AZ42+IF($B$1+50&lt;=$B42,12*$B$7,-12*$B$6*(1+$B$4)^50)&gt;0,1+$B$3,1))</f>
        <v/>
      </c>
      <c r="BB42">
        <f>IF($B$1+51&gt;90,BA42,(BA42+IF($B$1+51&lt;=$B42,12*$B$7,-12*$B$6*(1+$B$4)^51))*IF(BA42+IF($B$1+51&lt;=$B42,12*$B$7,-12*$B$6*(1+$B$4)^51)&gt;0,1+$B$3,1))</f>
        <v/>
      </c>
      <c r="BC42">
        <f>IF($B$1+52&gt;90,BB42,(BB42+IF($B$1+52&lt;=$B42,12*$B$7,-12*$B$6*(1+$B$4)^52))*IF(BB42+IF($B$1+52&lt;=$B42,12*$B$7,-12*$B$6*(1+$B$4)^52)&gt;0,1+$B$3,1))</f>
        <v/>
      </c>
      <c r="BD42">
        <f>IF($B$1+53&gt;90,BC42,(BC42+IF($B$1+53&lt;=$B42,12*$B$7,-12*$B$6*(1+$B$4)^53))*IF(BC42+IF($B$1+53&lt;=$B42,12*$B$7,-12*$B$6*(1+$B$4)^53)&gt;0,1+$B$3,1))</f>
        <v/>
      </c>
      <c r="BE42">
        <f>IF($B$1+54&gt;90,BD42,(BD42+IF($B$1+54&lt;=$B42,12*$B$7,-12*$B$6*(1+$B$4)^54))*IF(BD42+IF($B$1+54&lt;=$B42,12*$B$7,-12*$B$6*(1+$B$4)^54)&gt;0,1+$B$3,1))</f>
        <v/>
      </c>
      <c r="BF42">
        <f>IF($B$1+55&gt;90,BE42,(BE42+IF($B$1+55&lt;=$B42,12*$B$7,-12*$B$6*(1+$B$4)^55))*IF(BE42+IF($B$1+55&lt;=$B42,12*$B$7,-12*$B$6*(1+$B$4)^55)&gt;0,1+$B$3,1))</f>
        <v/>
      </c>
      <c r="BG42">
        <f>IF($B$1+56&gt;90,BF42,(BF42+IF($B$1+56&lt;=$B42,12*$B$7,-12*$B$6*(1+$B$4)^56))*IF(BF42+IF($B$1+56&lt;=$B42,12*$B$7,-12*$B$6*(1+$B$4)^56)&gt;0,1+$B$3,1))</f>
        <v/>
      </c>
      <c r="BH42">
        <f>IF($B$1+57&gt;90,BG42,(BG42+IF($B$1+57&lt;=$B42,12*$B$7,-12*$B$6*(1+$B$4)^57))*IF(BG42+IF($B$1+57&lt;=$B42,12*$B$7,-12*$B$6*(1+$B$4)^57)&gt;0,1+$B$3,1))</f>
        <v/>
      </c>
      <c r="BI42">
        <f>IF($B$1+58&gt;90,BH42,(BH42+IF($B$1+58&lt;=$B42,12*$B$7,-12*$B$6*(1+$B$4)^58))*IF(BH42+IF($B$1+58&lt;=$B42,12*$B$7,-12*$B$6*(1+$B$4)^58)&gt;0,1+$B$3,1))</f>
        <v/>
      </c>
      <c r="BJ42">
        <f>IF($B$1+59&gt;90,BI42,(BI42+IF($B$1+59&lt;=$B42,12*$B$7,-12*$B$6*(1+$B$4)^59))*IF(BI42+IF($B$1+59&lt;=$B42,12*$B$7,-12*$B$6*(1+$B$4)^59)&gt;0,1+$B$3,1))</f>
        <v/>
      </c>
      <c r="BK42">
        <f>IF($B$1+60&gt;90,BJ42,(BJ42+IF($B$1+60&lt;=$B42,12*$B$7,-12*$B$6*(1+$B$4)^60))*IF(BJ42+IF($B$1+60&lt;=$B42,12*$B$7,-12*$B$6*(1+$B$4)^60)&gt;0,1+$B$3,1))</f>
        <v/>
      </c>
      <c r="BL42">
        <f>IF($B$1+61&gt;90,BK42,(BK42+IF($B$1+61&lt;=$B42,12*$B$7,-12*$B$6*(1+$B$4)^61))*IF(BK42+IF($B$1+61&lt;=$B42,12*$B$7,-12*$B$6*(1+$B$4)^61)&gt;0,1+$B$3,1))</f>
        <v/>
      </c>
      <c r="BM42">
        <f>IF($B$1+62&gt;90,BL42,(BL42+IF($B$1+62&lt;=$B42,12*$B$7,-12*$B$6*(1+$B$4)^62))*IF(BL42+IF($B$1+62&lt;=$B42,12*$B$7,-12*$B$6*(1+$B$4)^62)&gt;0,1+$B$3,1))</f>
        <v/>
      </c>
      <c r="BN42">
        <f>IF($B$1+63&gt;90,BM42,(BM42+IF($B$1+63&lt;=$B42,12*$B$7,-12*$B$6*(1+$B$4)^63))*IF(BM42+IF($B$1+63&lt;=$B42,12*$B$7,-12*$B$6*(1+$B$4)^63)&gt;0,1+$B$3,1))</f>
        <v/>
      </c>
      <c r="BO42">
        <f>IF($B$1+64&gt;90,BN42,(BN42+IF($B$1+64&lt;=$B42,12*$B$7,-12*$B$6*(1+$B$4)^64))*IF(BN42+IF($B$1+64&lt;=$B42,12*$B$7,-12*$B$6*(1+$B$4)^64)&gt;0,1+$B$3,1))</f>
        <v/>
      </c>
      <c r="BP42">
        <f>IF($B$1+65&gt;90,BO42,(BO42+IF($B$1+65&lt;=$B42,12*$B$7,-12*$B$6*(1+$B$4)^65))*IF(BO42+IF($B$1+65&lt;=$B42,12*$B$7,-12*$B$6*(1+$B$4)^65)&gt;0,1+$B$3,1))</f>
        <v/>
      </c>
      <c r="BQ42">
        <f>IF($B$1+66&gt;90,BP42,(BP42+IF($B$1+66&lt;=$B42,12*$B$7,-12*$B$6*(1+$B$4)^66))*IF(BP42+IF($B$1+66&lt;=$B42,12*$B$7,-12*$B$6*(1+$B$4)^66)&gt;0,1+$B$3,1))</f>
        <v/>
      </c>
      <c r="BR42">
        <f>IF($B$1+67&gt;90,BQ42,(BQ42+IF($B$1+67&lt;=$B42,12*$B$7,-12*$B$6*(1+$B$4)^67))*IF(BQ42+IF($B$1+67&lt;=$B42,12*$B$7,-12*$B$6*(1+$B$4)^67)&gt;0,1+$B$3,1))</f>
        <v/>
      </c>
      <c r="BS42">
        <f>IF($B$1+68&gt;90,BR42,(BR42+IF($B$1+68&lt;=$B42,12*$B$7,-12*$B$6*(1+$B$4)^68))*IF(BR42+IF($B$1+68&lt;=$B42,12*$B$7,-12*$B$6*(1+$B$4)^68)&gt;0,1+$B$3,1))</f>
        <v/>
      </c>
      <c r="BT42">
        <f>IF($B$1+69&gt;90,BS42,(BS42+IF($B$1+69&lt;=$B42,12*$B$7,-12*$B$6*(1+$B$4)^69))*IF(BS42+IF($B$1+69&lt;=$B42,12*$B$7,-12*$B$6*(1+$B$4)^69)&gt;0,1+$B$3,1))</f>
        <v/>
      </c>
      <c r="BU42">
        <f>IF($B$1+70&gt;90,BT42,(BT42+IF($B$1+70&lt;=$B42,12*$B$7,-12*$B$6*(1+$B$4)^70))*IF(BT42+IF($B$1+70&lt;=$B42,12*$B$7,-12*$B$6*(1+$B$4)^70)&gt;0,1+$B$3,1))</f>
        <v/>
      </c>
      <c r="BV42">
        <f>BU42</f>
        <v/>
      </c>
      <c r="BW42">
        <f>IF(AND($B42&lt;=70,BV42&gt;0),$B42,999)</f>
        <v/>
      </c>
      <c r="CB42" t="n">
        <v>41</v>
      </c>
      <c r="CC42">
        <f>IF($B$1+CB42&gt;90,0,12*$B$6*(1+$B$4)^CB42/(1+$B$3)^(CB42-1))</f>
        <v/>
      </c>
      <c r="CE42">
        <f>IF($B$1+40&gt;90,NA(),$B$1+40)</f>
        <v/>
      </c>
      <c r="CF42">
        <f>IF(OR($B$21="",$B$1+40&gt;90),NA(),INDEX($C$40:$BU$90,$B$21-$B$1+1,41))</f>
        <v/>
      </c>
    </row>
    <row r="43">
      <c r="A43" t="n">
        <v>3</v>
      </c>
      <c r="B43">
        <f>$B$1+3</f>
        <v/>
      </c>
      <c r="C43">
        <f>$B$2</f>
        <v/>
      </c>
      <c r="D43">
        <f>IF($B$1+1&gt;90,C43,(C43+IF($B$1+1&lt;=$B43,12*$B$7,-12*$B$6*(1+$B$4)^1))*IF(C43+IF($B$1+1&lt;=$B43,12*$B$7,-12*$B$6*(1+$B$4)^1)&gt;0,1+$B$3,1))</f>
        <v/>
      </c>
      <c r="E43">
        <f>IF($B$1+2&gt;90,D43,(D43+IF($B$1+2&lt;=$B43,12*$B$7,-12*$B$6*(1+$B$4)^2))*IF(D43+IF($B$1+2&lt;=$B43,12*$B$7,-12*$B$6*(1+$B$4)^2)&gt;0,1+$B$3,1))</f>
        <v/>
      </c>
      <c r="F43">
        <f>IF($B$1+3&gt;90,E43,(E43+IF($B$1+3&lt;=$B43,12*$B$7,-12*$B$6*(1+$B$4)^3))*IF(E43+IF($B$1+3&lt;=$B43,12*$B$7,-12*$B$6*(1+$B$4)^3)&gt;0,1+$B$3,1))</f>
        <v/>
      </c>
      <c r="G43">
        <f>IF($B$1+4&gt;90,F43,(F43+IF($B$1+4&lt;=$B43,12*$B$7,-12*$B$6*(1+$B$4)^4))*IF(F43+IF($B$1+4&lt;=$B43,12*$B$7,-12*$B$6*(1+$B$4)^4)&gt;0,1+$B$3,1))</f>
        <v/>
      </c>
      <c r="H43">
        <f>IF($B$1+5&gt;90,G43,(G43+IF($B$1+5&lt;=$B43,12*$B$7,-12*$B$6*(1+$B$4)^5))*IF(G43+IF($B$1+5&lt;=$B43,12*$B$7,-12*$B$6*(1+$B$4)^5)&gt;0,1+$B$3,1))</f>
        <v/>
      </c>
      <c r="I43">
        <f>IF($B$1+6&gt;90,H43,(H43+IF($B$1+6&lt;=$B43,12*$B$7,-12*$B$6*(1+$B$4)^6))*IF(H43+IF($B$1+6&lt;=$B43,12*$B$7,-12*$B$6*(1+$B$4)^6)&gt;0,1+$B$3,1))</f>
        <v/>
      </c>
      <c r="J43">
        <f>IF($B$1+7&gt;90,I43,(I43+IF($B$1+7&lt;=$B43,12*$B$7,-12*$B$6*(1+$B$4)^7))*IF(I43+IF($B$1+7&lt;=$B43,12*$B$7,-12*$B$6*(1+$B$4)^7)&gt;0,1+$B$3,1))</f>
        <v/>
      </c>
      <c r="K43">
        <f>IF($B$1+8&gt;90,J43,(J43+IF($B$1+8&lt;=$B43,12*$B$7,-12*$B$6*(1+$B$4)^8))*IF(J43+IF($B$1+8&lt;=$B43,12*$B$7,-12*$B$6*(1+$B$4)^8)&gt;0,1+$B$3,1))</f>
        <v/>
      </c>
      <c r="L43">
        <f>IF($B$1+9&gt;90,K43,(K43+IF($B$1+9&lt;=$B43,12*$B$7,-12*$B$6*(1+$B$4)^9))*IF(K43+IF($B$1+9&lt;=$B43,12*$B$7,-12*$B$6*(1+$B$4)^9)&gt;0,1+$B$3,1))</f>
        <v/>
      </c>
      <c r="M43">
        <f>IF($B$1+10&gt;90,L43,(L43+IF($B$1+10&lt;=$B43,12*$B$7,-12*$B$6*(1+$B$4)^10))*IF(L43+IF($B$1+10&lt;=$B43,12*$B$7,-12*$B$6*(1+$B$4)^10)&gt;0,1+$B$3,1))</f>
        <v/>
      </c>
      <c r="N43">
        <f>IF($B$1+11&gt;90,M43,(M43+IF($B$1+11&lt;=$B43,12*$B$7,-12*$B$6*(1+$B$4)^11))*IF(M43+IF($B$1+11&lt;=$B43,12*$B$7,-12*$B$6*(1+$B$4)^11)&gt;0,1+$B$3,1))</f>
        <v/>
      </c>
      <c r="O43">
        <f>IF($B$1+12&gt;90,N43,(N43+IF($B$1+12&lt;=$B43,12*$B$7,-12*$B$6*(1+$B$4)^12))*IF(N43+IF($B$1+12&lt;=$B43,12*$B$7,-12*$B$6*(1+$B$4)^12)&gt;0,1+$B$3,1))</f>
        <v/>
      </c>
      <c r="P43">
        <f>IF($B$1+13&gt;90,O43,(O43+IF($B$1+13&lt;=$B43,12*$B$7,-12*$B$6*(1+$B$4)^13))*IF(O43+IF($B$1+13&lt;=$B43,12*$B$7,-12*$B$6*(1+$B$4)^13)&gt;0,1+$B$3,1))</f>
        <v/>
      </c>
      <c r="Q43">
        <f>IF($B$1+14&gt;90,P43,(P43+IF($B$1+14&lt;=$B43,12*$B$7,-12*$B$6*(1+$B$4)^14))*IF(P43+IF($B$1+14&lt;=$B43,12*$B$7,-12*$B$6*(1+$B$4)^14)&gt;0,1+$B$3,1))</f>
        <v/>
      </c>
      <c r="R43">
        <f>IF($B$1+15&gt;90,Q43,(Q43+IF($B$1+15&lt;=$B43,12*$B$7,-12*$B$6*(1+$B$4)^15))*IF(Q43+IF($B$1+15&lt;=$B43,12*$B$7,-12*$B$6*(1+$B$4)^15)&gt;0,1+$B$3,1))</f>
        <v/>
      </c>
      <c r="S43">
        <f>IF($B$1+16&gt;90,R43,(R43+IF($B$1+16&lt;=$B43,12*$B$7,-12*$B$6*(1+$B$4)^16))*IF(R43+IF($B$1+16&lt;=$B43,12*$B$7,-12*$B$6*(1+$B$4)^16)&gt;0,1+$B$3,1))</f>
        <v/>
      </c>
      <c r="T43">
        <f>IF($B$1+17&gt;90,S43,(S43+IF($B$1+17&lt;=$B43,12*$B$7,-12*$B$6*(1+$B$4)^17))*IF(S43+IF($B$1+17&lt;=$B43,12*$B$7,-12*$B$6*(1+$B$4)^17)&gt;0,1+$B$3,1))</f>
        <v/>
      </c>
      <c r="U43">
        <f>IF($B$1+18&gt;90,T43,(T43+IF($B$1+18&lt;=$B43,12*$B$7,-12*$B$6*(1+$B$4)^18))*IF(T43+IF($B$1+18&lt;=$B43,12*$B$7,-12*$B$6*(1+$B$4)^18)&gt;0,1+$B$3,1))</f>
        <v/>
      </c>
      <c r="V43">
        <f>IF($B$1+19&gt;90,U43,(U43+IF($B$1+19&lt;=$B43,12*$B$7,-12*$B$6*(1+$B$4)^19))*IF(U43+IF($B$1+19&lt;=$B43,12*$B$7,-12*$B$6*(1+$B$4)^19)&gt;0,1+$B$3,1))</f>
        <v/>
      </c>
      <c r="W43">
        <f>IF($B$1+20&gt;90,V43,(V43+IF($B$1+20&lt;=$B43,12*$B$7,-12*$B$6*(1+$B$4)^20))*IF(V43+IF($B$1+20&lt;=$B43,12*$B$7,-12*$B$6*(1+$B$4)^20)&gt;0,1+$B$3,1))</f>
        <v/>
      </c>
      <c r="X43">
        <f>IF($B$1+21&gt;90,W43,(W43+IF($B$1+21&lt;=$B43,12*$B$7,-12*$B$6*(1+$B$4)^21))*IF(W43+IF($B$1+21&lt;=$B43,12*$B$7,-12*$B$6*(1+$B$4)^21)&gt;0,1+$B$3,1))</f>
        <v/>
      </c>
      <c r="Y43">
        <f>IF($B$1+22&gt;90,X43,(X43+IF($B$1+22&lt;=$B43,12*$B$7,-12*$B$6*(1+$B$4)^22))*IF(X43+IF($B$1+22&lt;=$B43,12*$B$7,-12*$B$6*(1+$B$4)^22)&gt;0,1+$B$3,1))</f>
        <v/>
      </c>
      <c r="Z43">
        <f>IF($B$1+23&gt;90,Y43,(Y43+IF($B$1+23&lt;=$B43,12*$B$7,-12*$B$6*(1+$B$4)^23))*IF(Y43+IF($B$1+23&lt;=$B43,12*$B$7,-12*$B$6*(1+$B$4)^23)&gt;0,1+$B$3,1))</f>
        <v/>
      </c>
      <c r="AA43">
        <f>IF($B$1+24&gt;90,Z43,(Z43+IF($B$1+24&lt;=$B43,12*$B$7,-12*$B$6*(1+$B$4)^24))*IF(Z43+IF($B$1+24&lt;=$B43,12*$B$7,-12*$B$6*(1+$B$4)^24)&gt;0,1+$B$3,1))</f>
        <v/>
      </c>
      <c r="AB43">
        <f>IF($B$1+25&gt;90,AA43,(AA43+IF($B$1+25&lt;=$B43,12*$B$7,-12*$B$6*(1+$B$4)^25))*IF(AA43+IF($B$1+25&lt;=$B43,12*$B$7,-12*$B$6*(1+$B$4)^25)&gt;0,1+$B$3,1))</f>
        <v/>
      </c>
      <c r="AC43">
        <f>IF($B$1+26&gt;90,AB43,(AB43+IF($B$1+26&lt;=$B43,12*$B$7,-12*$B$6*(1+$B$4)^26))*IF(AB43+IF($B$1+26&lt;=$B43,12*$B$7,-12*$B$6*(1+$B$4)^26)&gt;0,1+$B$3,1))</f>
        <v/>
      </c>
      <c r="AD43">
        <f>IF($B$1+27&gt;90,AC43,(AC43+IF($B$1+27&lt;=$B43,12*$B$7,-12*$B$6*(1+$B$4)^27))*IF(AC43+IF($B$1+27&lt;=$B43,12*$B$7,-12*$B$6*(1+$B$4)^27)&gt;0,1+$B$3,1))</f>
        <v/>
      </c>
      <c r="AE43">
        <f>IF($B$1+28&gt;90,AD43,(AD43+IF($B$1+28&lt;=$B43,12*$B$7,-12*$B$6*(1+$B$4)^28))*IF(AD43+IF($B$1+28&lt;=$B43,12*$B$7,-12*$B$6*(1+$B$4)^28)&gt;0,1+$B$3,1))</f>
        <v/>
      </c>
      <c r="AF43">
        <f>IF($B$1+29&gt;90,AE43,(AE43+IF($B$1+29&lt;=$B43,12*$B$7,-12*$B$6*(1+$B$4)^29))*IF(AE43+IF($B$1+29&lt;=$B43,12*$B$7,-12*$B$6*(1+$B$4)^29)&gt;0,1+$B$3,1))</f>
        <v/>
      </c>
      <c r="AG43">
        <f>IF($B$1+30&gt;90,AF43,(AF43+IF($B$1+30&lt;=$B43,12*$B$7,-12*$B$6*(1+$B$4)^30))*IF(AF43+IF($B$1+30&lt;=$B43,12*$B$7,-12*$B$6*(1+$B$4)^30)&gt;0,1+$B$3,1))</f>
        <v/>
      </c>
      <c r="AH43">
        <f>IF($B$1+31&gt;90,AG43,(AG43+IF($B$1+31&lt;=$B43,12*$B$7,-12*$B$6*(1+$B$4)^31))*IF(AG43+IF($B$1+31&lt;=$B43,12*$B$7,-12*$B$6*(1+$B$4)^31)&gt;0,1+$B$3,1))</f>
        <v/>
      </c>
      <c r="AI43">
        <f>IF($B$1+32&gt;90,AH43,(AH43+IF($B$1+32&lt;=$B43,12*$B$7,-12*$B$6*(1+$B$4)^32))*IF(AH43+IF($B$1+32&lt;=$B43,12*$B$7,-12*$B$6*(1+$B$4)^32)&gt;0,1+$B$3,1))</f>
        <v/>
      </c>
      <c r="AJ43">
        <f>IF($B$1+33&gt;90,AI43,(AI43+IF($B$1+33&lt;=$B43,12*$B$7,-12*$B$6*(1+$B$4)^33))*IF(AI43+IF($B$1+33&lt;=$B43,12*$B$7,-12*$B$6*(1+$B$4)^33)&gt;0,1+$B$3,1))</f>
        <v/>
      </c>
      <c r="AK43">
        <f>IF($B$1+34&gt;90,AJ43,(AJ43+IF($B$1+34&lt;=$B43,12*$B$7,-12*$B$6*(1+$B$4)^34))*IF(AJ43+IF($B$1+34&lt;=$B43,12*$B$7,-12*$B$6*(1+$B$4)^34)&gt;0,1+$B$3,1))</f>
        <v/>
      </c>
      <c r="AL43">
        <f>IF($B$1+35&gt;90,AK43,(AK43+IF($B$1+35&lt;=$B43,12*$B$7,-12*$B$6*(1+$B$4)^35))*IF(AK43+IF($B$1+35&lt;=$B43,12*$B$7,-12*$B$6*(1+$B$4)^35)&gt;0,1+$B$3,1))</f>
        <v/>
      </c>
      <c r="AM43">
        <f>IF($B$1+36&gt;90,AL43,(AL43+IF($B$1+36&lt;=$B43,12*$B$7,-12*$B$6*(1+$B$4)^36))*IF(AL43+IF($B$1+36&lt;=$B43,12*$B$7,-12*$B$6*(1+$B$4)^36)&gt;0,1+$B$3,1))</f>
        <v/>
      </c>
      <c r="AN43">
        <f>IF($B$1+37&gt;90,AM43,(AM43+IF($B$1+37&lt;=$B43,12*$B$7,-12*$B$6*(1+$B$4)^37))*IF(AM43+IF($B$1+37&lt;=$B43,12*$B$7,-12*$B$6*(1+$B$4)^37)&gt;0,1+$B$3,1))</f>
        <v/>
      </c>
      <c r="AO43">
        <f>IF($B$1+38&gt;90,AN43,(AN43+IF($B$1+38&lt;=$B43,12*$B$7,-12*$B$6*(1+$B$4)^38))*IF(AN43+IF($B$1+38&lt;=$B43,12*$B$7,-12*$B$6*(1+$B$4)^38)&gt;0,1+$B$3,1))</f>
        <v/>
      </c>
      <c r="AP43">
        <f>IF($B$1+39&gt;90,AO43,(AO43+IF($B$1+39&lt;=$B43,12*$B$7,-12*$B$6*(1+$B$4)^39))*IF(AO43+IF($B$1+39&lt;=$B43,12*$B$7,-12*$B$6*(1+$B$4)^39)&gt;0,1+$B$3,1))</f>
        <v/>
      </c>
      <c r="AQ43">
        <f>IF($B$1+40&gt;90,AP43,(AP43+IF($B$1+40&lt;=$B43,12*$B$7,-12*$B$6*(1+$B$4)^40))*IF(AP43+IF($B$1+40&lt;=$B43,12*$B$7,-12*$B$6*(1+$B$4)^40)&gt;0,1+$B$3,1))</f>
        <v/>
      </c>
      <c r="AR43">
        <f>IF($B$1+41&gt;90,AQ43,(AQ43+IF($B$1+41&lt;=$B43,12*$B$7,-12*$B$6*(1+$B$4)^41))*IF(AQ43+IF($B$1+41&lt;=$B43,12*$B$7,-12*$B$6*(1+$B$4)^41)&gt;0,1+$B$3,1))</f>
        <v/>
      </c>
      <c r="AS43">
        <f>IF($B$1+42&gt;90,AR43,(AR43+IF($B$1+42&lt;=$B43,12*$B$7,-12*$B$6*(1+$B$4)^42))*IF(AR43+IF($B$1+42&lt;=$B43,12*$B$7,-12*$B$6*(1+$B$4)^42)&gt;0,1+$B$3,1))</f>
        <v/>
      </c>
      <c r="AT43">
        <f>IF($B$1+43&gt;90,AS43,(AS43+IF($B$1+43&lt;=$B43,12*$B$7,-12*$B$6*(1+$B$4)^43))*IF(AS43+IF($B$1+43&lt;=$B43,12*$B$7,-12*$B$6*(1+$B$4)^43)&gt;0,1+$B$3,1))</f>
        <v/>
      </c>
      <c r="AU43">
        <f>IF($B$1+44&gt;90,AT43,(AT43+IF($B$1+44&lt;=$B43,12*$B$7,-12*$B$6*(1+$B$4)^44))*IF(AT43+IF($B$1+44&lt;=$B43,12*$B$7,-12*$B$6*(1+$B$4)^44)&gt;0,1+$B$3,1))</f>
        <v/>
      </c>
      <c r="AV43">
        <f>IF($B$1+45&gt;90,AU43,(AU43+IF($B$1+45&lt;=$B43,12*$B$7,-12*$B$6*(1+$B$4)^45))*IF(AU43+IF($B$1+45&lt;=$B43,12*$B$7,-12*$B$6*(1+$B$4)^45)&gt;0,1+$B$3,1))</f>
        <v/>
      </c>
      <c r="AW43">
        <f>IF($B$1+46&gt;90,AV43,(AV43+IF($B$1+46&lt;=$B43,12*$B$7,-12*$B$6*(1+$B$4)^46))*IF(AV43+IF($B$1+46&lt;=$B43,12*$B$7,-12*$B$6*(1+$B$4)^46)&gt;0,1+$B$3,1))</f>
        <v/>
      </c>
      <c r="AX43">
        <f>IF($B$1+47&gt;90,AW43,(AW43+IF($B$1+47&lt;=$B43,12*$B$7,-12*$B$6*(1+$B$4)^47))*IF(AW43+IF($B$1+47&lt;=$B43,12*$B$7,-12*$B$6*(1+$B$4)^47)&gt;0,1+$B$3,1))</f>
        <v/>
      </c>
      <c r="AY43">
        <f>IF($B$1+48&gt;90,AX43,(AX43+IF($B$1+48&lt;=$B43,12*$B$7,-12*$B$6*(1+$B$4)^48))*IF(AX43+IF($B$1+48&lt;=$B43,12*$B$7,-12*$B$6*(1+$B$4)^48)&gt;0,1+$B$3,1))</f>
        <v/>
      </c>
      <c r="AZ43">
        <f>IF($B$1+49&gt;90,AY43,(AY43+IF($B$1+49&lt;=$B43,12*$B$7,-12*$B$6*(1+$B$4)^49))*IF(AY43+IF($B$1+49&lt;=$B43,12*$B$7,-12*$B$6*(1+$B$4)^49)&gt;0,1+$B$3,1))</f>
        <v/>
      </c>
      <c r="BA43">
        <f>IF($B$1+50&gt;90,AZ43,(AZ43+IF($B$1+50&lt;=$B43,12*$B$7,-12*$B$6*(1+$B$4)^50))*IF(AZ43+IF($B$1+50&lt;=$B43,12*$B$7,-12*$B$6*(1+$B$4)^50)&gt;0,1+$B$3,1))</f>
        <v/>
      </c>
      <c r="BB43">
        <f>IF($B$1+51&gt;90,BA43,(BA43+IF($B$1+51&lt;=$B43,12*$B$7,-12*$B$6*(1+$B$4)^51))*IF(BA43+IF($B$1+51&lt;=$B43,12*$B$7,-12*$B$6*(1+$B$4)^51)&gt;0,1+$B$3,1))</f>
        <v/>
      </c>
      <c r="BC43">
        <f>IF($B$1+52&gt;90,BB43,(BB43+IF($B$1+52&lt;=$B43,12*$B$7,-12*$B$6*(1+$B$4)^52))*IF(BB43+IF($B$1+52&lt;=$B43,12*$B$7,-12*$B$6*(1+$B$4)^52)&gt;0,1+$B$3,1))</f>
        <v/>
      </c>
      <c r="BD43">
        <f>IF($B$1+53&gt;90,BC43,(BC43+IF($B$1+53&lt;=$B43,12*$B$7,-12*$B$6*(1+$B$4)^53))*IF(BC43+IF($B$1+53&lt;=$B43,12*$B$7,-12*$B$6*(1+$B$4)^53)&gt;0,1+$B$3,1))</f>
        <v/>
      </c>
      <c r="BE43">
        <f>IF($B$1+54&gt;90,BD43,(BD43+IF($B$1+54&lt;=$B43,12*$B$7,-12*$B$6*(1+$B$4)^54))*IF(BD43+IF($B$1+54&lt;=$B43,12*$B$7,-12*$B$6*(1+$B$4)^54)&gt;0,1+$B$3,1))</f>
        <v/>
      </c>
      <c r="BF43">
        <f>IF($B$1+55&gt;90,BE43,(BE43+IF($B$1+55&lt;=$B43,12*$B$7,-12*$B$6*(1+$B$4)^55))*IF(BE43+IF($B$1+55&lt;=$B43,12*$B$7,-12*$B$6*(1+$B$4)^55)&gt;0,1+$B$3,1))</f>
        <v/>
      </c>
      <c r="BG43">
        <f>IF($B$1+56&gt;90,BF43,(BF43+IF($B$1+56&lt;=$B43,12*$B$7,-12*$B$6*(1+$B$4)^56))*IF(BF43+IF($B$1+56&lt;=$B43,12*$B$7,-12*$B$6*(1+$B$4)^56)&gt;0,1+$B$3,1))</f>
        <v/>
      </c>
      <c r="BH43">
        <f>IF($B$1+57&gt;90,BG43,(BG43+IF($B$1+57&lt;=$B43,12*$B$7,-12*$B$6*(1+$B$4)^57))*IF(BG43+IF($B$1+57&lt;=$B43,12*$B$7,-12*$B$6*(1+$B$4)^57)&gt;0,1+$B$3,1))</f>
        <v/>
      </c>
      <c r="BI43">
        <f>IF($B$1+58&gt;90,BH43,(BH43+IF($B$1+58&lt;=$B43,12*$B$7,-12*$B$6*(1+$B$4)^58))*IF(BH43+IF($B$1+58&lt;=$B43,12*$B$7,-12*$B$6*(1+$B$4)^58)&gt;0,1+$B$3,1))</f>
        <v/>
      </c>
      <c r="BJ43">
        <f>IF($B$1+59&gt;90,BI43,(BI43+IF($B$1+59&lt;=$B43,12*$B$7,-12*$B$6*(1+$B$4)^59))*IF(BI43+IF($B$1+59&lt;=$B43,12*$B$7,-12*$B$6*(1+$B$4)^59)&gt;0,1+$B$3,1))</f>
        <v/>
      </c>
      <c r="BK43">
        <f>IF($B$1+60&gt;90,BJ43,(BJ43+IF($B$1+60&lt;=$B43,12*$B$7,-12*$B$6*(1+$B$4)^60))*IF(BJ43+IF($B$1+60&lt;=$B43,12*$B$7,-12*$B$6*(1+$B$4)^60)&gt;0,1+$B$3,1))</f>
        <v/>
      </c>
      <c r="BL43">
        <f>IF($B$1+61&gt;90,BK43,(BK43+IF($B$1+61&lt;=$B43,12*$B$7,-12*$B$6*(1+$B$4)^61))*IF(BK43+IF($B$1+61&lt;=$B43,12*$B$7,-12*$B$6*(1+$B$4)^61)&gt;0,1+$B$3,1))</f>
        <v/>
      </c>
      <c r="BM43">
        <f>IF($B$1+62&gt;90,BL43,(BL43+IF($B$1+62&lt;=$B43,12*$B$7,-12*$B$6*(1+$B$4)^62))*IF(BL43+IF($B$1+62&lt;=$B43,12*$B$7,-12*$B$6*(1+$B$4)^62)&gt;0,1+$B$3,1))</f>
        <v/>
      </c>
      <c r="BN43">
        <f>IF($B$1+63&gt;90,BM43,(BM43+IF($B$1+63&lt;=$B43,12*$B$7,-12*$B$6*(1+$B$4)^63))*IF(BM43+IF($B$1+63&lt;=$B43,12*$B$7,-12*$B$6*(1+$B$4)^63)&gt;0,1+$B$3,1))</f>
        <v/>
      </c>
      <c r="BO43">
        <f>IF($B$1+64&gt;90,BN43,(BN43+IF($B$1+64&lt;=$B43,12*$B$7,-12*$B$6*(1+$B$4)^64))*IF(BN43+IF($B$1+64&lt;=$B43,12*$B$7,-12*$B$6*(1+$B$4)^64)&gt;0,1+$B$3,1))</f>
        <v/>
      </c>
      <c r="BP43">
        <f>IF($B$1+65&gt;90,BO43,(BO43+IF($B$1+65&lt;=$B43,12*$B$7,-12*$B$6*(1+$B$4)^65))*IF(BO43+IF($B$1+65&lt;=$B43,12*$B$7,-12*$B$6*(1+$B$4)^65)&gt;0,1+$B$3,1))</f>
        <v/>
      </c>
      <c r="BQ43">
        <f>IF($B$1+66&gt;90,BP43,(BP43+IF($B$1+66&lt;=$B43,12*$B$7,-12*$B$6*(1+$B$4)^66))*IF(BP43+IF($B$1+66&lt;=$B43,12*$B$7,-12*$B$6*(1+$B$4)^66)&gt;0,1+$B$3,1))</f>
        <v/>
      </c>
      <c r="BR43">
        <f>IF($B$1+67&gt;90,BQ43,(BQ43+IF($B$1+67&lt;=$B43,12*$B$7,-12*$B$6*(1+$B$4)^67))*IF(BQ43+IF($B$1+67&lt;=$B43,12*$B$7,-12*$B$6*(1+$B$4)^67)&gt;0,1+$B$3,1))</f>
        <v/>
      </c>
      <c r="BS43">
        <f>IF($B$1+68&gt;90,BR43,(BR43+IF($B$1+68&lt;=$B43,12*$B$7,-12*$B$6*(1+$B$4)^68))*IF(BR43+IF($B$1+68&lt;=$B43,12*$B$7,-12*$B$6*(1+$B$4)^68)&gt;0,1+$B$3,1))</f>
        <v/>
      </c>
      <c r="BT43">
        <f>IF($B$1+69&gt;90,BS43,(BS43+IF($B$1+69&lt;=$B43,12*$B$7,-12*$B$6*(1+$B$4)^69))*IF(BS43+IF($B$1+69&lt;=$B43,12*$B$7,-12*$B$6*(1+$B$4)^69)&gt;0,1+$B$3,1))</f>
        <v/>
      </c>
      <c r="BU43">
        <f>IF($B$1+70&gt;90,BT43,(BT43+IF($B$1+70&lt;=$B43,12*$B$7,-12*$B$6*(1+$B$4)^70))*IF(BT43+IF($B$1+70&lt;=$B43,12*$B$7,-12*$B$6*(1+$B$4)^70)&gt;0,1+$B$3,1))</f>
        <v/>
      </c>
      <c r="BV43">
        <f>BU43</f>
        <v/>
      </c>
      <c r="BW43">
        <f>IF(AND($B43&lt;=70,BV43&gt;0),$B43,999)</f>
        <v/>
      </c>
      <c r="CB43" t="n">
        <v>42</v>
      </c>
      <c r="CC43">
        <f>IF($B$1+CB43&gt;90,0,12*$B$6*(1+$B$4)^CB43/(1+$B$3)^(CB43-1))</f>
        <v/>
      </c>
      <c r="CE43">
        <f>IF($B$1+41&gt;90,NA(),$B$1+41)</f>
        <v/>
      </c>
      <c r="CF43">
        <f>IF(OR($B$21="",$B$1+41&gt;90),NA(),INDEX($C$40:$BU$90,$B$21-$B$1+1,42))</f>
        <v/>
      </c>
    </row>
    <row r="44">
      <c r="A44" t="n">
        <v>4</v>
      </c>
      <c r="B44">
        <f>$B$1+4</f>
        <v/>
      </c>
      <c r="C44">
        <f>$B$2</f>
        <v/>
      </c>
      <c r="D44">
        <f>IF($B$1+1&gt;90,C44,(C44+IF($B$1+1&lt;=$B44,12*$B$7,-12*$B$6*(1+$B$4)^1))*IF(C44+IF($B$1+1&lt;=$B44,12*$B$7,-12*$B$6*(1+$B$4)^1)&gt;0,1+$B$3,1))</f>
        <v/>
      </c>
      <c r="E44">
        <f>IF($B$1+2&gt;90,D44,(D44+IF($B$1+2&lt;=$B44,12*$B$7,-12*$B$6*(1+$B$4)^2))*IF(D44+IF($B$1+2&lt;=$B44,12*$B$7,-12*$B$6*(1+$B$4)^2)&gt;0,1+$B$3,1))</f>
        <v/>
      </c>
      <c r="F44">
        <f>IF($B$1+3&gt;90,E44,(E44+IF($B$1+3&lt;=$B44,12*$B$7,-12*$B$6*(1+$B$4)^3))*IF(E44+IF($B$1+3&lt;=$B44,12*$B$7,-12*$B$6*(1+$B$4)^3)&gt;0,1+$B$3,1))</f>
        <v/>
      </c>
      <c r="G44">
        <f>IF($B$1+4&gt;90,F44,(F44+IF($B$1+4&lt;=$B44,12*$B$7,-12*$B$6*(1+$B$4)^4))*IF(F44+IF($B$1+4&lt;=$B44,12*$B$7,-12*$B$6*(1+$B$4)^4)&gt;0,1+$B$3,1))</f>
        <v/>
      </c>
      <c r="H44">
        <f>IF($B$1+5&gt;90,G44,(G44+IF($B$1+5&lt;=$B44,12*$B$7,-12*$B$6*(1+$B$4)^5))*IF(G44+IF($B$1+5&lt;=$B44,12*$B$7,-12*$B$6*(1+$B$4)^5)&gt;0,1+$B$3,1))</f>
        <v/>
      </c>
      <c r="I44">
        <f>IF($B$1+6&gt;90,H44,(H44+IF($B$1+6&lt;=$B44,12*$B$7,-12*$B$6*(1+$B$4)^6))*IF(H44+IF($B$1+6&lt;=$B44,12*$B$7,-12*$B$6*(1+$B$4)^6)&gt;0,1+$B$3,1))</f>
        <v/>
      </c>
      <c r="J44">
        <f>IF($B$1+7&gt;90,I44,(I44+IF($B$1+7&lt;=$B44,12*$B$7,-12*$B$6*(1+$B$4)^7))*IF(I44+IF($B$1+7&lt;=$B44,12*$B$7,-12*$B$6*(1+$B$4)^7)&gt;0,1+$B$3,1))</f>
        <v/>
      </c>
      <c r="K44">
        <f>IF($B$1+8&gt;90,J44,(J44+IF($B$1+8&lt;=$B44,12*$B$7,-12*$B$6*(1+$B$4)^8))*IF(J44+IF($B$1+8&lt;=$B44,12*$B$7,-12*$B$6*(1+$B$4)^8)&gt;0,1+$B$3,1))</f>
        <v/>
      </c>
      <c r="L44">
        <f>IF($B$1+9&gt;90,K44,(K44+IF($B$1+9&lt;=$B44,12*$B$7,-12*$B$6*(1+$B$4)^9))*IF(K44+IF($B$1+9&lt;=$B44,12*$B$7,-12*$B$6*(1+$B$4)^9)&gt;0,1+$B$3,1))</f>
        <v/>
      </c>
      <c r="M44">
        <f>IF($B$1+10&gt;90,L44,(L44+IF($B$1+10&lt;=$B44,12*$B$7,-12*$B$6*(1+$B$4)^10))*IF(L44+IF($B$1+10&lt;=$B44,12*$B$7,-12*$B$6*(1+$B$4)^10)&gt;0,1+$B$3,1))</f>
        <v/>
      </c>
      <c r="N44">
        <f>IF($B$1+11&gt;90,M44,(M44+IF($B$1+11&lt;=$B44,12*$B$7,-12*$B$6*(1+$B$4)^11))*IF(M44+IF($B$1+11&lt;=$B44,12*$B$7,-12*$B$6*(1+$B$4)^11)&gt;0,1+$B$3,1))</f>
        <v/>
      </c>
      <c r="O44">
        <f>IF($B$1+12&gt;90,N44,(N44+IF($B$1+12&lt;=$B44,12*$B$7,-12*$B$6*(1+$B$4)^12))*IF(N44+IF($B$1+12&lt;=$B44,12*$B$7,-12*$B$6*(1+$B$4)^12)&gt;0,1+$B$3,1))</f>
        <v/>
      </c>
      <c r="P44">
        <f>IF($B$1+13&gt;90,O44,(O44+IF($B$1+13&lt;=$B44,12*$B$7,-12*$B$6*(1+$B$4)^13))*IF(O44+IF($B$1+13&lt;=$B44,12*$B$7,-12*$B$6*(1+$B$4)^13)&gt;0,1+$B$3,1))</f>
        <v/>
      </c>
      <c r="Q44">
        <f>IF($B$1+14&gt;90,P44,(P44+IF($B$1+14&lt;=$B44,12*$B$7,-12*$B$6*(1+$B$4)^14))*IF(P44+IF($B$1+14&lt;=$B44,12*$B$7,-12*$B$6*(1+$B$4)^14)&gt;0,1+$B$3,1))</f>
        <v/>
      </c>
      <c r="R44">
        <f>IF($B$1+15&gt;90,Q44,(Q44+IF($B$1+15&lt;=$B44,12*$B$7,-12*$B$6*(1+$B$4)^15))*IF(Q44+IF($B$1+15&lt;=$B44,12*$B$7,-12*$B$6*(1+$B$4)^15)&gt;0,1+$B$3,1))</f>
        <v/>
      </c>
      <c r="S44">
        <f>IF($B$1+16&gt;90,R44,(R44+IF($B$1+16&lt;=$B44,12*$B$7,-12*$B$6*(1+$B$4)^16))*IF(R44+IF($B$1+16&lt;=$B44,12*$B$7,-12*$B$6*(1+$B$4)^16)&gt;0,1+$B$3,1))</f>
        <v/>
      </c>
      <c r="T44">
        <f>IF($B$1+17&gt;90,S44,(S44+IF($B$1+17&lt;=$B44,12*$B$7,-12*$B$6*(1+$B$4)^17))*IF(S44+IF($B$1+17&lt;=$B44,12*$B$7,-12*$B$6*(1+$B$4)^17)&gt;0,1+$B$3,1))</f>
        <v/>
      </c>
      <c r="U44">
        <f>IF($B$1+18&gt;90,T44,(T44+IF($B$1+18&lt;=$B44,12*$B$7,-12*$B$6*(1+$B$4)^18))*IF(T44+IF($B$1+18&lt;=$B44,12*$B$7,-12*$B$6*(1+$B$4)^18)&gt;0,1+$B$3,1))</f>
        <v/>
      </c>
      <c r="V44">
        <f>IF($B$1+19&gt;90,U44,(U44+IF($B$1+19&lt;=$B44,12*$B$7,-12*$B$6*(1+$B$4)^19))*IF(U44+IF($B$1+19&lt;=$B44,12*$B$7,-12*$B$6*(1+$B$4)^19)&gt;0,1+$B$3,1))</f>
        <v/>
      </c>
      <c r="W44">
        <f>IF($B$1+20&gt;90,V44,(V44+IF($B$1+20&lt;=$B44,12*$B$7,-12*$B$6*(1+$B$4)^20))*IF(V44+IF($B$1+20&lt;=$B44,12*$B$7,-12*$B$6*(1+$B$4)^20)&gt;0,1+$B$3,1))</f>
        <v/>
      </c>
      <c r="X44">
        <f>IF($B$1+21&gt;90,W44,(W44+IF($B$1+21&lt;=$B44,12*$B$7,-12*$B$6*(1+$B$4)^21))*IF(W44+IF($B$1+21&lt;=$B44,12*$B$7,-12*$B$6*(1+$B$4)^21)&gt;0,1+$B$3,1))</f>
        <v/>
      </c>
      <c r="Y44">
        <f>IF($B$1+22&gt;90,X44,(X44+IF($B$1+22&lt;=$B44,12*$B$7,-12*$B$6*(1+$B$4)^22))*IF(X44+IF($B$1+22&lt;=$B44,12*$B$7,-12*$B$6*(1+$B$4)^22)&gt;0,1+$B$3,1))</f>
        <v/>
      </c>
      <c r="Z44">
        <f>IF($B$1+23&gt;90,Y44,(Y44+IF($B$1+23&lt;=$B44,12*$B$7,-12*$B$6*(1+$B$4)^23))*IF(Y44+IF($B$1+23&lt;=$B44,12*$B$7,-12*$B$6*(1+$B$4)^23)&gt;0,1+$B$3,1))</f>
        <v/>
      </c>
      <c r="AA44">
        <f>IF($B$1+24&gt;90,Z44,(Z44+IF($B$1+24&lt;=$B44,12*$B$7,-12*$B$6*(1+$B$4)^24))*IF(Z44+IF($B$1+24&lt;=$B44,12*$B$7,-12*$B$6*(1+$B$4)^24)&gt;0,1+$B$3,1))</f>
        <v/>
      </c>
      <c r="AB44">
        <f>IF($B$1+25&gt;90,AA44,(AA44+IF($B$1+25&lt;=$B44,12*$B$7,-12*$B$6*(1+$B$4)^25))*IF(AA44+IF($B$1+25&lt;=$B44,12*$B$7,-12*$B$6*(1+$B$4)^25)&gt;0,1+$B$3,1))</f>
        <v/>
      </c>
      <c r="AC44">
        <f>IF($B$1+26&gt;90,AB44,(AB44+IF($B$1+26&lt;=$B44,12*$B$7,-12*$B$6*(1+$B$4)^26))*IF(AB44+IF($B$1+26&lt;=$B44,12*$B$7,-12*$B$6*(1+$B$4)^26)&gt;0,1+$B$3,1))</f>
        <v/>
      </c>
      <c r="AD44">
        <f>IF($B$1+27&gt;90,AC44,(AC44+IF($B$1+27&lt;=$B44,12*$B$7,-12*$B$6*(1+$B$4)^27))*IF(AC44+IF($B$1+27&lt;=$B44,12*$B$7,-12*$B$6*(1+$B$4)^27)&gt;0,1+$B$3,1))</f>
        <v/>
      </c>
      <c r="AE44">
        <f>IF($B$1+28&gt;90,AD44,(AD44+IF($B$1+28&lt;=$B44,12*$B$7,-12*$B$6*(1+$B$4)^28))*IF(AD44+IF($B$1+28&lt;=$B44,12*$B$7,-12*$B$6*(1+$B$4)^28)&gt;0,1+$B$3,1))</f>
        <v/>
      </c>
      <c r="AF44">
        <f>IF($B$1+29&gt;90,AE44,(AE44+IF($B$1+29&lt;=$B44,12*$B$7,-12*$B$6*(1+$B$4)^29))*IF(AE44+IF($B$1+29&lt;=$B44,12*$B$7,-12*$B$6*(1+$B$4)^29)&gt;0,1+$B$3,1))</f>
        <v/>
      </c>
      <c r="AG44">
        <f>IF($B$1+30&gt;90,AF44,(AF44+IF($B$1+30&lt;=$B44,12*$B$7,-12*$B$6*(1+$B$4)^30))*IF(AF44+IF($B$1+30&lt;=$B44,12*$B$7,-12*$B$6*(1+$B$4)^30)&gt;0,1+$B$3,1))</f>
        <v/>
      </c>
      <c r="AH44">
        <f>IF($B$1+31&gt;90,AG44,(AG44+IF($B$1+31&lt;=$B44,12*$B$7,-12*$B$6*(1+$B$4)^31))*IF(AG44+IF($B$1+31&lt;=$B44,12*$B$7,-12*$B$6*(1+$B$4)^31)&gt;0,1+$B$3,1))</f>
        <v/>
      </c>
      <c r="AI44">
        <f>IF($B$1+32&gt;90,AH44,(AH44+IF($B$1+32&lt;=$B44,12*$B$7,-12*$B$6*(1+$B$4)^32))*IF(AH44+IF($B$1+32&lt;=$B44,12*$B$7,-12*$B$6*(1+$B$4)^32)&gt;0,1+$B$3,1))</f>
        <v/>
      </c>
      <c r="AJ44">
        <f>IF($B$1+33&gt;90,AI44,(AI44+IF($B$1+33&lt;=$B44,12*$B$7,-12*$B$6*(1+$B$4)^33))*IF(AI44+IF($B$1+33&lt;=$B44,12*$B$7,-12*$B$6*(1+$B$4)^33)&gt;0,1+$B$3,1))</f>
        <v/>
      </c>
      <c r="AK44">
        <f>IF($B$1+34&gt;90,AJ44,(AJ44+IF($B$1+34&lt;=$B44,12*$B$7,-12*$B$6*(1+$B$4)^34))*IF(AJ44+IF($B$1+34&lt;=$B44,12*$B$7,-12*$B$6*(1+$B$4)^34)&gt;0,1+$B$3,1))</f>
        <v/>
      </c>
      <c r="AL44">
        <f>IF($B$1+35&gt;90,AK44,(AK44+IF($B$1+35&lt;=$B44,12*$B$7,-12*$B$6*(1+$B$4)^35))*IF(AK44+IF($B$1+35&lt;=$B44,12*$B$7,-12*$B$6*(1+$B$4)^35)&gt;0,1+$B$3,1))</f>
        <v/>
      </c>
      <c r="AM44">
        <f>IF($B$1+36&gt;90,AL44,(AL44+IF($B$1+36&lt;=$B44,12*$B$7,-12*$B$6*(1+$B$4)^36))*IF(AL44+IF($B$1+36&lt;=$B44,12*$B$7,-12*$B$6*(1+$B$4)^36)&gt;0,1+$B$3,1))</f>
        <v/>
      </c>
      <c r="AN44">
        <f>IF($B$1+37&gt;90,AM44,(AM44+IF($B$1+37&lt;=$B44,12*$B$7,-12*$B$6*(1+$B$4)^37))*IF(AM44+IF($B$1+37&lt;=$B44,12*$B$7,-12*$B$6*(1+$B$4)^37)&gt;0,1+$B$3,1))</f>
        <v/>
      </c>
      <c r="AO44">
        <f>IF($B$1+38&gt;90,AN44,(AN44+IF($B$1+38&lt;=$B44,12*$B$7,-12*$B$6*(1+$B$4)^38))*IF(AN44+IF($B$1+38&lt;=$B44,12*$B$7,-12*$B$6*(1+$B$4)^38)&gt;0,1+$B$3,1))</f>
        <v/>
      </c>
      <c r="AP44">
        <f>IF($B$1+39&gt;90,AO44,(AO44+IF($B$1+39&lt;=$B44,12*$B$7,-12*$B$6*(1+$B$4)^39))*IF(AO44+IF($B$1+39&lt;=$B44,12*$B$7,-12*$B$6*(1+$B$4)^39)&gt;0,1+$B$3,1))</f>
        <v/>
      </c>
      <c r="AQ44">
        <f>IF($B$1+40&gt;90,AP44,(AP44+IF($B$1+40&lt;=$B44,12*$B$7,-12*$B$6*(1+$B$4)^40))*IF(AP44+IF($B$1+40&lt;=$B44,12*$B$7,-12*$B$6*(1+$B$4)^40)&gt;0,1+$B$3,1))</f>
        <v/>
      </c>
      <c r="AR44">
        <f>IF($B$1+41&gt;90,AQ44,(AQ44+IF($B$1+41&lt;=$B44,12*$B$7,-12*$B$6*(1+$B$4)^41))*IF(AQ44+IF($B$1+41&lt;=$B44,12*$B$7,-12*$B$6*(1+$B$4)^41)&gt;0,1+$B$3,1))</f>
        <v/>
      </c>
      <c r="AS44">
        <f>IF($B$1+42&gt;90,AR44,(AR44+IF($B$1+42&lt;=$B44,12*$B$7,-12*$B$6*(1+$B$4)^42))*IF(AR44+IF($B$1+42&lt;=$B44,12*$B$7,-12*$B$6*(1+$B$4)^42)&gt;0,1+$B$3,1))</f>
        <v/>
      </c>
      <c r="AT44">
        <f>IF($B$1+43&gt;90,AS44,(AS44+IF($B$1+43&lt;=$B44,12*$B$7,-12*$B$6*(1+$B$4)^43))*IF(AS44+IF($B$1+43&lt;=$B44,12*$B$7,-12*$B$6*(1+$B$4)^43)&gt;0,1+$B$3,1))</f>
        <v/>
      </c>
      <c r="AU44">
        <f>IF($B$1+44&gt;90,AT44,(AT44+IF($B$1+44&lt;=$B44,12*$B$7,-12*$B$6*(1+$B$4)^44))*IF(AT44+IF($B$1+44&lt;=$B44,12*$B$7,-12*$B$6*(1+$B$4)^44)&gt;0,1+$B$3,1))</f>
        <v/>
      </c>
      <c r="AV44">
        <f>IF($B$1+45&gt;90,AU44,(AU44+IF($B$1+45&lt;=$B44,12*$B$7,-12*$B$6*(1+$B$4)^45))*IF(AU44+IF($B$1+45&lt;=$B44,12*$B$7,-12*$B$6*(1+$B$4)^45)&gt;0,1+$B$3,1))</f>
        <v/>
      </c>
      <c r="AW44">
        <f>IF($B$1+46&gt;90,AV44,(AV44+IF($B$1+46&lt;=$B44,12*$B$7,-12*$B$6*(1+$B$4)^46))*IF(AV44+IF($B$1+46&lt;=$B44,12*$B$7,-12*$B$6*(1+$B$4)^46)&gt;0,1+$B$3,1))</f>
        <v/>
      </c>
      <c r="AX44">
        <f>IF($B$1+47&gt;90,AW44,(AW44+IF($B$1+47&lt;=$B44,12*$B$7,-12*$B$6*(1+$B$4)^47))*IF(AW44+IF($B$1+47&lt;=$B44,12*$B$7,-12*$B$6*(1+$B$4)^47)&gt;0,1+$B$3,1))</f>
        <v/>
      </c>
      <c r="AY44">
        <f>IF($B$1+48&gt;90,AX44,(AX44+IF($B$1+48&lt;=$B44,12*$B$7,-12*$B$6*(1+$B$4)^48))*IF(AX44+IF($B$1+48&lt;=$B44,12*$B$7,-12*$B$6*(1+$B$4)^48)&gt;0,1+$B$3,1))</f>
        <v/>
      </c>
      <c r="AZ44">
        <f>IF($B$1+49&gt;90,AY44,(AY44+IF($B$1+49&lt;=$B44,12*$B$7,-12*$B$6*(1+$B$4)^49))*IF(AY44+IF($B$1+49&lt;=$B44,12*$B$7,-12*$B$6*(1+$B$4)^49)&gt;0,1+$B$3,1))</f>
        <v/>
      </c>
      <c r="BA44">
        <f>IF($B$1+50&gt;90,AZ44,(AZ44+IF($B$1+50&lt;=$B44,12*$B$7,-12*$B$6*(1+$B$4)^50))*IF(AZ44+IF($B$1+50&lt;=$B44,12*$B$7,-12*$B$6*(1+$B$4)^50)&gt;0,1+$B$3,1))</f>
        <v/>
      </c>
      <c r="BB44">
        <f>IF($B$1+51&gt;90,BA44,(BA44+IF($B$1+51&lt;=$B44,12*$B$7,-12*$B$6*(1+$B$4)^51))*IF(BA44+IF($B$1+51&lt;=$B44,12*$B$7,-12*$B$6*(1+$B$4)^51)&gt;0,1+$B$3,1))</f>
        <v/>
      </c>
      <c r="BC44">
        <f>IF($B$1+52&gt;90,BB44,(BB44+IF($B$1+52&lt;=$B44,12*$B$7,-12*$B$6*(1+$B$4)^52))*IF(BB44+IF($B$1+52&lt;=$B44,12*$B$7,-12*$B$6*(1+$B$4)^52)&gt;0,1+$B$3,1))</f>
        <v/>
      </c>
      <c r="BD44">
        <f>IF($B$1+53&gt;90,BC44,(BC44+IF($B$1+53&lt;=$B44,12*$B$7,-12*$B$6*(1+$B$4)^53))*IF(BC44+IF($B$1+53&lt;=$B44,12*$B$7,-12*$B$6*(1+$B$4)^53)&gt;0,1+$B$3,1))</f>
        <v/>
      </c>
      <c r="BE44">
        <f>IF($B$1+54&gt;90,BD44,(BD44+IF($B$1+54&lt;=$B44,12*$B$7,-12*$B$6*(1+$B$4)^54))*IF(BD44+IF($B$1+54&lt;=$B44,12*$B$7,-12*$B$6*(1+$B$4)^54)&gt;0,1+$B$3,1))</f>
        <v/>
      </c>
      <c r="BF44">
        <f>IF($B$1+55&gt;90,BE44,(BE44+IF($B$1+55&lt;=$B44,12*$B$7,-12*$B$6*(1+$B$4)^55))*IF(BE44+IF($B$1+55&lt;=$B44,12*$B$7,-12*$B$6*(1+$B$4)^55)&gt;0,1+$B$3,1))</f>
        <v/>
      </c>
      <c r="BG44">
        <f>IF($B$1+56&gt;90,BF44,(BF44+IF($B$1+56&lt;=$B44,12*$B$7,-12*$B$6*(1+$B$4)^56))*IF(BF44+IF($B$1+56&lt;=$B44,12*$B$7,-12*$B$6*(1+$B$4)^56)&gt;0,1+$B$3,1))</f>
        <v/>
      </c>
      <c r="BH44">
        <f>IF($B$1+57&gt;90,BG44,(BG44+IF($B$1+57&lt;=$B44,12*$B$7,-12*$B$6*(1+$B$4)^57))*IF(BG44+IF($B$1+57&lt;=$B44,12*$B$7,-12*$B$6*(1+$B$4)^57)&gt;0,1+$B$3,1))</f>
        <v/>
      </c>
      <c r="BI44">
        <f>IF($B$1+58&gt;90,BH44,(BH44+IF($B$1+58&lt;=$B44,12*$B$7,-12*$B$6*(1+$B$4)^58))*IF(BH44+IF($B$1+58&lt;=$B44,12*$B$7,-12*$B$6*(1+$B$4)^58)&gt;0,1+$B$3,1))</f>
        <v/>
      </c>
      <c r="BJ44">
        <f>IF($B$1+59&gt;90,BI44,(BI44+IF($B$1+59&lt;=$B44,12*$B$7,-12*$B$6*(1+$B$4)^59))*IF(BI44+IF($B$1+59&lt;=$B44,12*$B$7,-12*$B$6*(1+$B$4)^59)&gt;0,1+$B$3,1))</f>
        <v/>
      </c>
      <c r="BK44">
        <f>IF($B$1+60&gt;90,BJ44,(BJ44+IF($B$1+60&lt;=$B44,12*$B$7,-12*$B$6*(1+$B$4)^60))*IF(BJ44+IF($B$1+60&lt;=$B44,12*$B$7,-12*$B$6*(1+$B$4)^60)&gt;0,1+$B$3,1))</f>
        <v/>
      </c>
      <c r="BL44">
        <f>IF($B$1+61&gt;90,BK44,(BK44+IF($B$1+61&lt;=$B44,12*$B$7,-12*$B$6*(1+$B$4)^61))*IF(BK44+IF($B$1+61&lt;=$B44,12*$B$7,-12*$B$6*(1+$B$4)^61)&gt;0,1+$B$3,1))</f>
        <v/>
      </c>
      <c r="BM44">
        <f>IF($B$1+62&gt;90,BL44,(BL44+IF($B$1+62&lt;=$B44,12*$B$7,-12*$B$6*(1+$B$4)^62))*IF(BL44+IF($B$1+62&lt;=$B44,12*$B$7,-12*$B$6*(1+$B$4)^62)&gt;0,1+$B$3,1))</f>
        <v/>
      </c>
      <c r="BN44">
        <f>IF($B$1+63&gt;90,BM44,(BM44+IF($B$1+63&lt;=$B44,12*$B$7,-12*$B$6*(1+$B$4)^63))*IF(BM44+IF($B$1+63&lt;=$B44,12*$B$7,-12*$B$6*(1+$B$4)^63)&gt;0,1+$B$3,1))</f>
        <v/>
      </c>
      <c r="BO44">
        <f>IF($B$1+64&gt;90,BN44,(BN44+IF($B$1+64&lt;=$B44,12*$B$7,-12*$B$6*(1+$B$4)^64))*IF(BN44+IF($B$1+64&lt;=$B44,12*$B$7,-12*$B$6*(1+$B$4)^64)&gt;0,1+$B$3,1))</f>
        <v/>
      </c>
      <c r="BP44">
        <f>IF($B$1+65&gt;90,BO44,(BO44+IF($B$1+65&lt;=$B44,12*$B$7,-12*$B$6*(1+$B$4)^65))*IF(BO44+IF($B$1+65&lt;=$B44,12*$B$7,-12*$B$6*(1+$B$4)^65)&gt;0,1+$B$3,1))</f>
        <v/>
      </c>
      <c r="BQ44">
        <f>IF($B$1+66&gt;90,BP44,(BP44+IF($B$1+66&lt;=$B44,12*$B$7,-12*$B$6*(1+$B$4)^66))*IF(BP44+IF($B$1+66&lt;=$B44,12*$B$7,-12*$B$6*(1+$B$4)^66)&gt;0,1+$B$3,1))</f>
        <v/>
      </c>
      <c r="BR44">
        <f>IF($B$1+67&gt;90,BQ44,(BQ44+IF($B$1+67&lt;=$B44,12*$B$7,-12*$B$6*(1+$B$4)^67))*IF(BQ44+IF($B$1+67&lt;=$B44,12*$B$7,-12*$B$6*(1+$B$4)^67)&gt;0,1+$B$3,1))</f>
        <v/>
      </c>
      <c r="BS44">
        <f>IF($B$1+68&gt;90,BR44,(BR44+IF($B$1+68&lt;=$B44,12*$B$7,-12*$B$6*(1+$B$4)^68))*IF(BR44+IF($B$1+68&lt;=$B44,12*$B$7,-12*$B$6*(1+$B$4)^68)&gt;0,1+$B$3,1))</f>
        <v/>
      </c>
      <c r="BT44">
        <f>IF($B$1+69&gt;90,BS44,(BS44+IF($B$1+69&lt;=$B44,12*$B$7,-12*$B$6*(1+$B$4)^69))*IF(BS44+IF($B$1+69&lt;=$B44,12*$B$7,-12*$B$6*(1+$B$4)^69)&gt;0,1+$B$3,1))</f>
        <v/>
      </c>
      <c r="BU44">
        <f>IF($B$1+70&gt;90,BT44,(BT44+IF($B$1+70&lt;=$B44,12*$B$7,-12*$B$6*(1+$B$4)^70))*IF(BT44+IF($B$1+70&lt;=$B44,12*$B$7,-12*$B$6*(1+$B$4)^70)&gt;0,1+$B$3,1))</f>
        <v/>
      </c>
      <c r="BV44">
        <f>BU44</f>
        <v/>
      </c>
      <c r="BW44">
        <f>IF(AND($B44&lt;=70,BV44&gt;0),$B44,999)</f>
        <v/>
      </c>
      <c r="CB44" t="n">
        <v>43</v>
      </c>
      <c r="CC44">
        <f>IF($B$1+CB44&gt;90,0,12*$B$6*(1+$B$4)^CB44/(1+$B$3)^(CB44-1))</f>
        <v/>
      </c>
      <c r="CE44">
        <f>IF($B$1+42&gt;90,NA(),$B$1+42)</f>
        <v/>
      </c>
      <c r="CF44">
        <f>IF(OR($B$21="",$B$1+42&gt;90),NA(),INDEX($C$40:$BU$90,$B$21-$B$1+1,43))</f>
        <v/>
      </c>
    </row>
    <row r="45">
      <c r="A45" t="n">
        <v>5</v>
      </c>
      <c r="B45">
        <f>$B$1+5</f>
        <v/>
      </c>
      <c r="C45">
        <f>$B$2</f>
        <v/>
      </c>
      <c r="D45">
        <f>IF($B$1+1&gt;90,C45,(C45+IF($B$1+1&lt;=$B45,12*$B$7,-12*$B$6*(1+$B$4)^1))*IF(C45+IF($B$1+1&lt;=$B45,12*$B$7,-12*$B$6*(1+$B$4)^1)&gt;0,1+$B$3,1))</f>
        <v/>
      </c>
      <c r="E45">
        <f>IF($B$1+2&gt;90,D45,(D45+IF($B$1+2&lt;=$B45,12*$B$7,-12*$B$6*(1+$B$4)^2))*IF(D45+IF($B$1+2&lt;=$B45,12*$B$7,-12*$B$6*(1+$B$4)^2)&gt;0,1+$B$3,1))</f>
        <v/>
      </c>
      <c r="F45">
        <f>IF($B$1+3&gt;90,E45,(E45+IF($B$1+3&lt;=$B45,12*$B$7,-12*$B$6*(1+$B$4)^3))*IF(E45+IF($B$1+3&lt;=$B45,12*$B$7,-12*$B$6*(1+$B$4)^3)&gt;0,1+$B$3,1))</f>
        <v/>
      </c>
      <c r="G45">
        <f>IF($B$1+4&gt;90,F45,(F45+IF($B$1+4&lt;=$B45,12*$B$7,-12*$B$6*(1+$B$4)^4))*IF(F45+IF($B$1+4&lt;=$B45,12*$B$7,-12*$B$6*(1+$B$4)^4)&gt;0,1+$B$3,1))</f>
        <v/>
      </c>
      <c r="H45">
        <f>IF($B$1+5&gt;90,G45,(G45+IF($B$1+5&lt;=$B45,12*$B$7,-12*$B$6*(1+$B$4)^5))*IF(G45+IF($B$1+5&lt;=$B45,12*$B$7,-12*$B$6*(1+$B$4)^5)&gt;0,1+$B$3,1))</f>
        <v/>
      </c>
      <c r="I45">
        <f>IF($B$1+6&gt;90,H45,(H45+IF($B$1+6&lt;=$B45,12*$B$7,-12*$B$6*(1+$B$4)^6))*IF(H45+IF($B$1+6&lt;=$B45,12*$B$7,-12*$B$6*(1+$B$4)^6)&gt;0,1+$B$3,1))</f>
        <v/>
      </c>
      <c r="J45">
        <f>IF($B$1+7&gt;90,I45,(I45+IF($B$1+7&lt;=$B45,12*$B$7,-12*$B$6*(1+$B$4)^7))*IF(I45+IF($B$1+7&lt;=$B45,12*$B$7,-12*$B$6*(1+$B$4)^7)&gt;0,1+$B$3,1))</f>
        <v/>
      </c>
      <c r="K45">
        <f>IF($B$1+8&gt;90,J45,(J45+IF($B$1+8&lt;=$B45,12*$B$7,-12*$B$6*(1+$B$4)^8))*IF(J45+IF($B$1+8&lt;=$B45,12*$B$7,-12*$B$6*(1+$B$4)^8)&gt;0,1+$B$3,1))</f>
        <v/>
      </c>
      <c r="L45">
        <f>IF($B$1+9&gt;90,K45,(K45+IF($B$1+9&lt;=$B45,12*$B$7,-12*$B$6*(1+$B$4)^9))*IF(K45+IF($B$1+9&lt;=$B45,12*$B$7,-12*$B$6*(1+$B$4)^9)&gt;0,1+$B$3,1))</f>
        <v/>
      </c>
      <c r="M45">
        <f>IF($B$1+10&gt;90,L45,(L45+IF($B$1+10&lt;=$B45,12*$B$7,-12*$B$6*(1+$B$4)^10))*IF(L45+IF($B$1+10&lt;=$B45,12*$B$7,-12*$B$6*(1+$B$4)^10)&gt;0,1+$B$3,1))</f>
        <v/>
      </c>
      <c r="N45">
        <f>IF($B$1+11&gt;90,M45,(M45+IF($B$1+11&lt;=$B45,12*$B$7,-12*$B$6*(1+$B$4)^11))*IF(M45+IF($B$1+11&lt;=$B45,12*$B$7,-12*$B$6*(1+$B$4)^11)&gt;0,1+$B$3,1))</f>
        <v/>
      </c>
      <c r="O45">
        <f>IF($B$1+12&gt;90,N45,(N45+IF($B$1+12&lt;=$B45,12*$B$7,-12*$B$6*(1+$B$4)^12))*IF(N45+IF($B$1+12&lt;=$B45,12*$B$7,-12*$B$6*(1+$B$4)^12)&gt;0,1+$B$3,1))</f>
        <v/>
      </c>
      <c r="P45">
        <f>IF($B$1+13&gt;90,O45,(O45+IF($B$1+13&lt;=$B45,12*$B$7,-12*$B$6*(1+$B$4)^13))*IF(O45+IF($B$1+13&lt;=$B45,12*$B$7,-12*$B$6*(1+$B$4)^13)&gt;0,1+$B$3,1))</f>
        <v/>
      </c>
      <c r="Q45">
        <f>IF($B$1+14&gt;90,P45,(P45+IF($B$1+14&lt;=$B45,12*$B$7,-12*$B$6*(1+$B$4)^14))*IF(P45+IF($B$1+14&lt;=$B45,12*$B$7,-12*$B$6*(1+$B$4)^14)&gt;0,1+$B$3,1))</f>
        <v/>
      </c>
      <c r="R45">
        <f>IF($B$1+15&gt;90,Q45,(Q45+IF($B$1+15&lt;=$B45,12*$B$7,-12*$B$6*(1+$B$4)^15))*IF(Q45+IF($B$1+15&lt;=$B45,12*$B$7,-12*$B$6*(1+$B$4)^15)&gt;0,1+$B$3,1))</f>
        <v/>
      </c>
      <c r="S45">
        <f>IF($B$1+16&gt;90,R45,(R45+IF($B$1+16&lt;=$B45,12*$B$7,-12*$B$6*(1+$B$4)^16))*IF(R45+IF($B$1+16&lt;=$B45,12*$B$7,-12*$B$6*(1+$B$4)^16)&gt;0,1+$B$3,1))</f>
        <v/>
      </c>
      <c r="T45">
        <f>IF($B$1+17&gt;90,S45,(S45+IF($B$1+17&lt;=$B45,12*$B$7,-12*$B$6*(1+$B$4)^17))*IF(S45+IF($B$1+17&lt;=$B45,12*$B$7,-12*$B$6*(1+$B$4)^17)&gt;0,1+$B$3,1))</f>
        <v/>
      </c>
      <c r="U45">
        <f>IF($B$1+18&gt;90,T45,(T45+IF($B$1+18&lt;=$B45,12*$B$7,-12*$B$6*(1+$B$4)^18))*IF(T45+IF($B$1+18&lt;=$B45,12*$B$7,-12*$B$6*(1+$B$4)^18)&gt;0,1+$B$3,1))</f>
        <v/>
      </c>
      <c r="V45">
        <f>IF($B$1+19&gt;90,U45,(U45+IF($B$1+19&lt;=$B45,12*$B$7,-12*$B$6*(1+$B$4)^19))*IF(U45+IF($B$1+19&lt;=$B45,12*$B$7,-12*$B$6*(1+$B$4)^19)&gt;0,1+$B$3,1))</f>
        <v/>
      </c>
      <c r="W45">
        <f>IF($B$1+20&gt;90,V45,(V45+IF($B$1+20&lt;=$B45,12*$B$7,-12*$B$6*(1+$B$4)^20))*IF(V45+IF($B$1+20&lt;=$B45,12*$B$7,-12*$B$6*(1+$B$4)^20)&gt;0,1+$B$3,1))</f>
        <v/>
      </c>
      <c r="X45">
        <f>IF($B$1+21&gt;90,W45,(W45+IF($B$1+21&lt;=$B45,12*$B$7,-12*$B$6*(1+$B$4)^21))*IF(W45+IF($B$1+21&lt;=$B45,12*$B$7,-12*$B$6*(1+$B$4)^21)&gt;0,1+$B$3,1))</f>
        <v/>
      </c>
      <c r="Y45">
        <f>IF($B$1+22&gt;90,X45,(X45+IF($B$1+22&lt;=$B45,12*$B$7,-12*$B$6*(1+$B$4)^22))*IF(X45+IF($B$1+22&lt;=$B45,12*$B$7,-12*$B$6*(1+$B$4)^22)&gt;0,1+$B$3,1))</f>
        <v/>
      </c>
      <c r="Z45">
        <f>IF($B$1+23&gt;90,Y45,(Y45+IF($B$1+23&lt;=$B45,12*$B$7,-12*$B$6*(1+$B$4)^23))*IF(Y45+IF($B$1+23&lt;=$B45,12*$B$7,-12*$B$6*(1+$B$4)^23)&gt;0,1+$B$3,1))</f>
        <v/>
      </c>
      <c r="AA45">
        <f>IF($B$1+24&gt;90,Z45,(Z45+IF($B$1+24&lt;=$B45,12*$B$7,-12*$B$6*(1+$B$4)^24))*IF(Z45+IF($B$1+24&lt;=$B45,12*$B$7,-12*$B$6*(1+$B$4)^24)&gt;0,1+$B$3,1))</f>
        <v/>
      </c>
      <c r="AB45">
        <f>IF($B$1+25&gt;90,AA45,(AA45+IF($B$1+25&lt;=$B45,12*$B$7,-12*$B$6*(1+$B$4)^25))*IF(AA45+IF($B$1+25&lt;=$B45,12*$B$7,-12*$B$6*(1+$B$4)^25)&gt;0,1+$B$3,1))</f>
        <v/>
      </c>
      <c r="AC45">
        <f>IF($B$1+26&gt;90,AB45,(AB45+IF($B$1+26&lt;=$B45,12*$B$7,-12*$B$6*(1+$B$4)^26))*IF(AB45+IF($B$1+26&lt;=$B45,12*$B$7,-12*$B$6*(1+$B$4)^26)&gt;0,1+$B$3,1))</f>
        <v/>
      </c>
      <c r="AD45">
        <f>IF($B$1+27&gt;90,AC45,(AC45+IF($B$1+27&lt;=$B45,12*$B$7,-12*$B$6*(1+$B$4)^27))*IF(AC45+IF($B$1+27&lt;=$B45,12*$B$7,-12*$B$6*(1+$B$4)^27)&gt;0,1+$B$3,1))</f>
        <v/>
      </c>
      <c r="AE45">
        <f>IF($B$1+28&gt;90,AD45,(AD45+IF($B$1+28&lt;=$B45,12*$B$7,-12*$B$6*(1+$B$4)^28))*IF(AD45+IF($B$1+28&lt;=$B45,12*$B$7,-12*$B$6*(1+$B$4)^28)&gt;0,1+$B$3,1))</f>
        <v/>
      </c>
      <c r="AF45">
        <f>IF($B$1+29&gt;90,AE45,(AE45+IF($B$1+29&lt;=$B45,12*$B$7,-12*$B$6*(1+$B$4)^29))*IF(AE45+IF($B$1+29&lt;=$B45,12*$B$7,-12*$B$6*(1+$B$4)^29)&gt;0,1+$B$3,1))</f>
        <v/>
      </c>
      <c r="AG45">
        <f>IF($B$1+30&gt;90,AF45,(AF45+IF($B$1+30&lt;=$B45,12*$B$7,-12*$B$6*(1+$B$4)^30))*IF(AF45+IF($B$1+30&lt;=$B45,12*$B$7,-12*$B$6*(1+$B$4)^30)&gt;0,1+$B$3,1))</f>
        <v/>
      </c>
      <c r="AH45">
        <f>IF($B$1+31&gt;90,AG45,(AG45+IF($B$1+31&lt;=$B45,12*$B$7,-12*$B$6*(1+$B$4)^31))*IF(AG45+IF($B$1+31&lt;=$B45,12*$B$7,-12*$B$6*(1+$B$4)^31)&gt;0,1+$B$3,1))</f>
        <v/>
      </c>
      <c r="AI45">
        <f>IF($B$1+32&gt;90,AH45,(AH45+IF($B$1+32&lt;=$B45,12*$B$7,-12*$B$6*(1+$B$4)^32))*IF(AH45+IF($B$1+32&lt;=$B45,12*$B$7,-12*$B$6*(1+$B$4)^32)&gt;0,1+$B$3,1))</f>
        <v/>
      </c>
      <c r="AJ45">
        <f>IF($B$1+33&gt;90,AI45,(AI45+IF($B$1+33&lt;=$B45,12*$B$7,-12*$B$6*(1+$B$4)^33))*IF(AI45+IF($B$1+33&lt;=$B45,12*$B$7,-12*$B$6*(1+$B$4)^33)&gt;0,1+$B$3,1))</f>
        <v/>
      </c>
      <c r="AK45">
        <f>IF($B$1+34&gt;90,AJ45,(AJ45+IF($B$1+34&lt;=$B45,12*$B$7,-12*$B$6*(1+$B$4)^34))*IF(AJ45+IF($B$1+34&lt;=$B45,12*$B$7,-12*$B$6*(1+$B$4)^34)&gt;0,1+$B$3,1))</f>
        <v/>
      </c>
      <c r="AL45">
        <f>IF($B$1+35&gt;90,AK45,(AK45+IF($B$1+35&lt;=$B45,12*$B$7,-12*$B$6*(1+$B$4)^35))*IF(AK45+IF($B$1+35&lt;=$B45,12*$B$7,-12*$B$6*(1+$B$4)^35)&gt;0,1+$B$3,1))</f>
        <v/>
      </c>
      <c r="AM45">
        <f>IF($B$1+36&gt;90,AL45,(AL45+IF($B$1+36&lt;=$B45,12*$B$7,-12*$B$6*(1+$B$4)^36))*IF(AL45+IF($B$1+36&lt;=$B45,12*$B$7,-12*$B$6*(1+$B$4)^36)&gt;0,1+$B$3,1))</f>
        <v/>
      </c>
      <c r="AN45">
        <f>IF($B$1+37&gt;90,AM45,(AM45+IF($B$1+37&lt;=$B45,12*$B$7,-12*$B$6*(1+$B$4)^37))*IF(AM45+IF($B$1+37&lt;=$B45,12*$B$7,-12*$B$6*(1+$B$4)^37)&gt;0,1+$B$3,1))</f>
        <v/>
      </c>
      <c r="AO45">
        <f>IF($B$1+38&gt;90,AN45,(AN45+IF($B$1+38&lt;=$B45,12*$B$7,-12*$B$6*(1+$B$4)^38))*IF(AN45+IF($B$1+38&lt;=$B45,12*$B$7,-12*$B$6*(1+$B$4)^38)&gt;0,1+$B$3,1))</f>
        <v/>
      </c>
      <c r="AP45">
        <f>IF($B$1+39&gt;90,AO45,(AO45+IF($B$1+39&lt;=$B45,12*$B$7,-12*$B$6*(1+$B$4)^39))*IF(AO45+IF($B$1+39&lt;=$B45,12*$B$7,-12*$B$6*(1+$B$4)^39)&gt;0,1+$B$3,1))</f>
        <v/>
      </c>
      <c r="AQ45">
        <f>IF($B$1+40&gt;90,AP45,(AP45+IF($B$1+40&lt;=$B45,12*$B$7,-12*$B$6*(1+$B$4)^40))*IF(AP45+IF($B$1+40&lt;=$B45,12*$B$7,-12*$B$6*(1+$B$4)^40)&gt;0,1+$B$3,1))</f>
        <v/>
      </c>
      <c r="AR45">
        <f>IF($B$1+41&gt;90,AQ45,(AQ45+IF($B$1+41&lt;=$B45,12*$B$7,-12*$B$6*(1+$B$4)^41))*IF(AQ45+IF($B$1+41&lt;=$B45,12*$B$7,-12*$B$6*(1+$B$4)^41)&gt;0,1+$B$3,1))</f>
        <v/>
      </c>
      <c r="AS45">
        <f>IF($B$1+42&gt;90,AR45,(AR45+IF($B$1+42&lt;=$B45,12*$B$7,-12*$B$6*(1+$B$4)^42))*IF(AR45+IF($B$1+42&lt;=$B45,12*$B$7,-12*$B$6*(1+$B$4)^42)&gt;0,1+$B$3,1))</f>
        <v/>
      </c>
      <c r="AT45">
        <f>IF($B$1+43&gt;90,AS45,(AS45+IF($B$1+43&lt;=$B45,12*$B$7,-12*$B$6*(1+$B$4)^43))*IF(AS45+IF($B$1+43&lt;=$B45,12*$B$7,-12*$B$6*(1+$B$4)^43)&gt;0,1+$B$3,1))</f>
        <v/>
      </c>
      <c r="AU45">
        <f>IF($B$1+44&gt;90,AT45,(AT45+IF($B$1+44&lt;=$B45,12*$B$7,-12*$B$6*(1+$B$4)^44))*IF(AT45+IF($B$1+44&lt;=$B45,12*$B$7,-12*$B$6*(1+$B$4)^44)&gt;0,1+$B$3,1))</f>
        <v/>
      </c>
      <c r="AV45">
        <f>IF($B$1+45&gt;90,AU45,(AU45+IF($B$1+45&lt;=$B45,12*$B$7,-12*$B$6*(1+$B$4)^45))*IF(AU45+IF($B$1+45&lt;=$B45,12*$B$7,-12*$B$6*(1+$B$4)^45)&gt;0,1+$B$3,1))</f>
        <v/>
      </c>
      <c r="AW45">
        <f>IF($B$1+46&gt;90,AV45,(AV45+IF($B$1+46&lt;=$B45,12*$B$7,-12*$B$6*(1+$B$4)^46))*IF(AV45+IF($B$1+46&lt;=$B45,12*$B$7,-12*$B$6*(1+$B$4)^46)&gt;0,1+$B$3,1))</f>
        <v/>
      </c>
      <c r="AX45">
        <f>IF($B$1+47&gt;90,AW45,(AW45+IF($B$1+47&lt;=$B45,12*$B$7,-12*$B$6*(1+$B$4)^47))*IF(AW45+IF($B$1+47&lt;=$B45,12*$B$7,-12*$B$6*(1+$B$4)^47)&gt;0,1+$B$3,1))</f>
        <v/>
      </c>
      <c r="AY45">
        <f>IF($B$1+48&gt;90,AX45,(AX45+IF($B$1+48&lt;=$B45,12*$B$7,-12*$B$6*(1+$B$4)^48))*IF(AX45+IF($B$1+48&lt;=$B45,12*$B$7,-12*$B$6*(1+$B$4)^48)&gt;0,1+$B$3,1))</f>
        <v/>
      </c>
      <c r="AZ45">
        <f>IF($B$1+49&gt;90,AY45,(AY45+IF($B$1+49&lt;=$B45,12*$B$7,-12*$B$6*(1+$B$4)^49))*IF(AY45+IF($B$1+49&lt;=$B45,12*$B$7,-12*$B$6*(1+$B$4)^49)&gt;0,1+$B$3,1))</f>
        <v/>
      </c>
      <c r="BA45">
        <f>IF($B$1+50&gt;90,AZ45,(AZ45+IF($B$1+50&lt;=$B45,12*$B$7,-12*$B$6*(1+$B$4)^50))*IF(AZ45+IF($B$1+50&lt;=$B45,12*$B$7,-12*$B$6*(1+$B$4)^50)&gt;0,1+$B$3,1))</f>
        <v/>
      </c>
      <c r="BB45">
        <f>IF($B$1+51&gt;90,BA45,(BA45+IF($B$1+51&lt;=$B45,12*$B$7,-12*$B$6*(1+$B$4)^51))*IF(BA45+IF($B$1+51&lt;=$B45,12*$B$7,-12*$B$6*(1+$B$4)^51)&gt;0,1+$B$3,1))</f>
        <v/>
      </c>
      <c r="BC45">
        <f>IF($B$1+52&gt;90,BB45,(BB45+IF($B$1+52&lt;=$B45,12*$B$7,-12*$B$6*(1+$B$4)^52))*IF(BB45+IF($B$1+52&lt;=$B45,12*$B$7,-12*$B$6*(1+$B$4)^52)&gt;0,1+$B$3,1))</f>
        <v/>
      </c>
      <c r="BD45">
        <f>IF($B$1+53&gt;90,BC45,(BC45+IF($B$1+53&lt;=$B45,12*$B$7,-12*$B$6*(1+$B$4)^53))*IF(BC45+IF($B$1+53&lt;=$B45,12*$B$7,-12*$B$6*(1+$B$4)^53)&gt;0,1+$B$3,1))</f>
        <v/>
      </c>
      <c r="BE45">
        <f>IF($B$1+54&gt;90,BD45,(BD45+IF($B$1+54&lt;=$B45,12*$B$7,-12*$B$6*(1+$B$4)^54))*IF(BD45+IF($B$1+54&lt;=$B45,12*$B$7,-12*$B$6*(1+$B$4)^54)&gt;0,1+$B$3,1))</f>
        <v/>
      </c>
      <c r="BF45">
        <f>IF($B$1+55&gt;90,BE45,(BE45+IF($B$1+55&lt;=$B45,12*$B$7,-12*$B$6*(1+$B$4)^55))*IF(BE45+IF($B$1+55&lt;=$B45,12*$B$7,-12*$B$6*(1+$B$4)^55)&gt;0,1+$B$3,1))</f>
        <v/>
      </c>
      <c r="BG45">
        <f>IF($B$1+56&gt;90,BF45,(BF45+IF($B$1+56&lt;=$B45,12*$B$7,-12*$B$6*(1+$B$4)^56))*IF(BF45+IF($B$1+56&lt;=$B45,12*$B$7,-12*$B$6*(1+$B$4)^56)&gt;0,1+$B$3,1))</f>
        <v/>
      </c>
      <c r="BH45">
        <f>IF($B$1+57&gt;90,BG45,(BG45+IF($B$1+57&lt;=$B45,12*$B$7,-12*$B$6*(1+$B$4)^57))*IF(BG45+IF($B$1+57&lt;=$B45,12*$B$7,-12*$B$6*(1+$B$4)^57)&gt;0,1+$B$3,1))</f>
        <v/>
      </c>
      <c r="BI45">
        <f>IF($B$1+58&gt;90,BH45,(BH45+IF($B$1+58&lt;=$B45,12*$B$7,-12*$B$6*(1+$B$4)^58))*IF(BH45+IF($B$1+58&lt;=$B45,12*$B$7,-12*$B$6*(1+$B$4)^58)&gt;0,1+$B$3,1))</f>
        <v/>
      </c>
      <c r="BJ45">
        <f>IF($B$1+59&gt;90,BI45,(BI45+IF($B$1+59&lt;=$B45,12*$B$7,-12*$B$6*(1+$B$4)^59))*IF(BI45+IF($B$1+59&lt;=$B45,12*$B$7,-12*$B$6*(1+$B$4)^59)&gt;0,1+$B$3,1))</f>
        <v/>
      </c>
      <c r="BK45">
        <f>IF($B$1+60&gt;90,BJ45,(BJ45+IF($B$1+60&lt;=$B45,12*$B$7,-12*$B$6*(1+$B$4)^60))*IF(BJ45+IF($B$1+60&lt;=$B45,12*$B$7,-12*$B$6*(1+$B$4)^60)&gt;0,1+$B$3,1))</f>
        <v/>
      </c>
      <c r="BL45">
        <f>IF($B$1+61&gt;90,BK45,(BK45+IF($B$1+61&lt;=$B45,12*$B$7,-12*$B$6*(1+$B$4)^61))*IF(BK45+IF($B$1+61&lt;=$B45,12*$B$7,-12*$B$6*(1+$B$4)^61)&gt;0,1+$B$3,1))</f>
        <v/>
      </c>
      <c r="BM45">
        <f>IF($B$1+62&gt;90,BL45,(BL45+IF($B$1+62&lt;=$B45,12*$B$7,-12*$B$6*(1+$B$4)^62))*IF(BL45+IF($B$1+62&lt;=$B45,12*$B$7,-12*$B$6*(1+$B$4)^62)&gt;0,1+$B$3,1))</f>
        <v/>
      </c>
      <c r="BN45">
        <f>IF($B$1+63&gt;90,BM45,(BM45+IF($B$1+63&lt;=$B45,12*$B$7,-12*$B$6*(1+$B$4)^63))*IF(BM45+IF($B$1+63&lt;=$B45,12*$B$7,-12*$B$6*(1+$B$4)^63)&gt;0,1+$B$3,1))</f>
        <v/>
      </c>
      <c r="BO45">
        <f>IF($B$1+64&gt;90,BN45,(BN45+IF($B$1+64&lt;=$B45,12*$B$7,-12*$B$6*(1+$B$4)^64))*IF(BN45+IF($B$1+64&lt;=$B45,12*$B$7,-12*$B$6*(1+$B$4)^64)&gt;0,1+$B$3,1))</f>
        <v/>
      </c>
      <c r="BP45">
        <f>IF($B$1+65&gt;90,BO45,(BO45+IF($B$1+65&lt;=$B45,12*$B$7,-12*$B$6*(1+$B$4)^65))*IF(BO45+IF($B$1+65&lt;=$B45,12*$B$7,-12*$B$6*(1+$B$4)^65)&gt;0,1+$B$3,1))</f>
        <v/>
      </c>
      <c r="BQ45">
        <f>IF($B$1+66&gt;90,BP45,(BP45+IF($B$1+66&lt;=$B45,12*$B$7,-12*$B$6*(1+$B$4)^66))*IF(BP45+IF($B$1+66&lt;=$B45,12*$B$7,-12*$B$6*(1+$B$4)^66)&gt;0,1+$B$3,1))</f>
        <v/>
      </c>
      <c r="BR45">
        <f>IF($B$1+67&gt;90,BQ45,(BQ45+IF($B$1+67&lt;=$B45,12*$B$7,-12*$B$6*(1+$B$4)^67))*IF(BQ45+IF($B$1+67&lt;=$B45,12*$B$7,-12*$B$6*(1+$B$4)^67)&gt;0,1+$B$3,1))</f>
        <v/>
      </c>
      <c r="BS45">
        <f>IF($B$1+68&gt;90,BR45,(BR45+IF($B$1+68&lt;=$B45,12*$B$7,-12*$B$6*(1+$B$4)^68))*IF(BR45+IF($B$1+68&lt;=$B45,12*$B$7,-12*$B$6*(1+$B$4)^68)&gt;0,1+$B$3,1))</f>
        <v/>
      </c>
      <c r="BT45">
        <f>IF($B$1+69&gt;90,BS45,(BS45+IF($B$1+69&lt;=$B45,12*$B$7,-12*$B$6*(1+$B$4)^69))*IF(BS45+IF($B$1+69&lt;=$B45,12*$B$7,-12*$B$6*(1+$B$4)^69)&gt;0,1+$B$3,1))</f>
        <v/>
      </c>
      <c r="BU45">
        <f>IF($B$1+70&gt;90,BT45,(BT45+IF($B$1+70&lt;=$B45,12*$B$7,-12*$B$6*(1+$B$4)^70))*IF(BT45+IF($B$1+70&lt;=$B45,12*$B$7,-12*$B$6*(1+$B$4)^70)&gt;0,1+$B$3,1))</f>
        <v/>
      </c>
      <c r="BV45">
        <f>BU45</f>
        <v/>
      </c>
      <c r="BW45">
        <f>IF(AND($B45&lt;=70,BV45&gt;0),$B45,999)</f>
        <v/>
      </c>
      <c r="CB45" t="n">
        <v>44</v>
      </c>
      <c r="CC45">
        <f>IF($B$1+CB45&gt;90,0,12*$B$6*(1+$B$4)^CB45/(1+$B$3)^(CB45-1))</f>
        <v/>
      </c>
      <c r="CE45">
        <f>IF($B$1+43&gt;90,NA(),$B$1+43)</f>
        <v/>
      </c>
      <c r="CF45">
        <f>IF(OR($B$21="",$B$1+43&gt;90),NA(),INDEX($C$40:$BU$90,$B$21-$B$1+1,44))</f>
        <v/>
      </c>
    </row>
    <row r="46">
      <c r="A46" t="n">
        <v>6</v>
      </c>
      <c r="B46">
        <f>$B$1+6</f>
        <v/>
      </c>
      <c r="C46">
        <f>$B$2</f>
        <v/>
      </c>
      <c r="D46">
        <f>IF($B$1+1&gt;90,C46,(C46+IF($B$1+1&lt;=$B46,12*$B$7,-12*$B$6*(1+$B$4)^1))*IF(C46+IF($B$1+1&lt;=$B46,12*$B$7,-12*$B$6*(1+$B$4)^1)&gt;0,1+$B$3,1))</f>
        <v/>
      </c>
      <c r="E46">
        <f>IF($B$1+2&gt;90,D46,(D46+IF($B$1+2&lt;=$B46,12*$B$7,-12*$B$6*(1+$B$4)^2))*IF(D46+IF($B$1+2&lt;=$B46,12*$B$7,-12*$B$6*(1+$B$4)^2)&gt;0,1+$B$3,1))</f>
        <v/>
      </c>
      <c r="F46">
        <f>IF($B$1+3&gt;90,E46,(E46+IF($B$1+3&lt;=$B46,12*$B$7,-12*$B$6*(1+$B$4)^3))*IF(E46+IF($B$1+3&lt;=$B46,12*$B$7,-12*$B$6*(1+$B$4)^3)&gt;0,1+$B$3,1))</f>
        <v/>
      </c>
      <c r="G46">
        <f>IF($B$1+4&gt;90,F46,(F46+IF($B$1+4&lt;=$B46,12*$B$7,-12*$B$6*(1+$B$4)^4))*IF(F46+IF($B$1+4&lt;=$B46,12*$B$7,-12*$B$6*(1+$B$4)^4)&gt;0,1+$B$3,1))</f>
        <v/>
      </c>
      <c r="H46">
        <f>IF($B$1+5&gt;90,G46,(G46+IF($B$1+5&lt;=$B46,12*$B$7,-12*$B$6*(1+$B$4)^5))*IF(G46+IF($B$1+5&lt;=$B46,12*$B$7,-12*$B$6*(1+$B$4)^5)&gt;0,1+$B$3,1))</f>
        <v/>
      </c>
      <c r="I46">
        <f>IF($B$1+6&gt;90,H46,(H46+IF($B$1+6&lt;=$B46,12*$B$7,-12*$B$6*(1+$B$4)^6))*IF(H46+IF($B$1+6&lt;=$B46,12*$B$7,-12*$B$6*(1+$B$4)^6)&gt;0,1+$B$3,1))</f>
        <v/>
      </c>
      <c r="J46">
        <f>IF($B$1+7&gt;90,I46,(I46+IF($B$1+7&lt;=$B46,12*$B$7,-12*$B$6*(1+$B$4)^7))*IF(I46+IF($B$1+7&lt;=$B46,12*$B$7,-12*$B$6*(1+$B$4)^7)&gt;0,1+$B$3,1))</f>
        <v/>
      </c>
      <c r="K46">
        <f>IF($B$1+8&gt;90,J46,(J46+IF($B$1+8&lt;=$B46,12*$B$7,-12*$B$6*(1+$B$4)^8))*IF(J46+IF($B$1+8&lt;=$B46,12*$B$7,-12*$B$6*(1+$B$4)^8)&gt;0,1+$B$3,1))</f>
        <v/>
      </c>
      <c r="L46">
        <f>IF($B$1+9&gt;90,K46,(K46+IF($B$1+9&lt;=$B46,12*$B$7,-12*$B$6*(1+$B$4)^9))*IF(K46+IF($B$1+9&lt;=$B46,12*$B$7,-12*$B$6*(1+$B$4)^9)&gt;0,1+$B$3,1))</f>
        <v/>
      </c>
      <c r="M46">
        <f>IF($B$1+10&gt;90,L46,(L46+IF($B$1+10&lt;=$B46,12*$B$7,-12*$B$6*(1+$B$4)^10))*IF(L46+IF($B$1+10&lt;=$B46,12*$B$7,-12*$B$6*(1+$B$4)^10)&gt;0,1+$B$3,1))</f>
        <v/>
      </c>
      <c r="N46">
        <f>IF($B$1+11&gt;90,M46,(M46+IF($B$1+11&lt;=$B46,12*$B$7,-12*$B$6*(1+$B$4)^11))*IF(M46+IF($B$1+11&lt;=$B46,12*$B$7,-12*$B$6*(1+$B$4)^11)&gt;0,1+$B$3,1))</f>
        <v/>
      </c>
      <c r="O46">
        <f>IF($B$1+12&gt;90,N46,(N46+IF($B$1+12&lt;=$B46,12*$B$7,-12*$B$6*(1+$B$4)^12))*IF(N46+IF($B$1+12&lt;=$B46,12*$B$7,-12*$B$6*(1+$B$4)^12)&gt;0,1+$B$3,1))</f>
        <v/>
      </c>
      <c r="P46">
        <f>IF($B$1+13&gt;90,O46,(O46+IF($B$1+13&lt;=$B46,12*$B$7,-12*$B$6*(1+$B$4)^13))*IF(O46+IF($B$1+13&lt;=$B46,12*$B$7,-12*$B$6*(1+$B$4)^13)&gt;0,1+$B$3,1))</f>
        <v/>
      </c>
      <c r="Q46">
        <f>IF($B$1+14&gt;90,P46,(P46+IF($B$1+14&lt;=$B46,12*$B$7,-12*$B$6*(1+$B$4)^14))*IF(P46+IF($B$1+14&lt;=$B46,12*$B$7,-12*$B$6*(1+$B$4)^14)&gt;0,1+$B$3,1))</f>
        <v/>
      </c>
      <c r="R46">
        <f>IF($B$1+15&gt;90,Q46,(Q46+IF($B$1+15&lt;=$B46,12*$B$7,-12*$B$6*(1+$B$4)^15))*IF(Q46+IF($B$1+15&lt;=$B46,12*$B$7,-12*$B$6*(1+$B$4)^15)&gt;0,1+$B$3,1))</f>
        <v/>
      </c>
      <c r="S46">
        <f>IF($B$1+16&gt;90,R46,(R46+IF($B$1+16&lt;=$B46,12*$B$7,-12*$B$6*(1+$B$4)^16))*IF(R46+IF($B$1+16&lt;=$B46,12*$B$7,-12*$B$6*(1+$B$4)^16)&gt;0,1+$B$3,1))</f>
        <v/>
      </c>
      <c r="T46">
        <f>IF($B$1+17&gt;90,S46,(S46+IF($B$1+17&lt;=$B46,12*$B$7,-12*$B$6*(1+$B$4)^17))*IF(S46+IF($B$1+17&lt;=$B46,12*$B$7,-12*$B$6*(1+$B$4)^17)&gt;0,1+$B$3,1))</f>
        <v/>
      </c>
      <c r="U46">
        <f>IF($B$1+18&gt;90,T46,(T46+IF($B$1+18&lt;=$B46,12*$B$7,-12*$B$6*(1+$B$4)^18))*IF(T46+IF($B$1+18&lt;=$B46,12*$B$7,-12*$B$6*(1+$B$4)^18)&gt;0,1+$B$3,1))</f>
        <v/>
      </c>
      <c r="V46">
        <f>IF($B$1+19&gt;90,U46,(U46+IF($B$1+19&lt;=$B46,12*$B$7,-12*$B$6*(1+$B$4)^19))*IF(U46+IF($B$1+19&lt;=$B46,12*$B$7,-12*$B$6*(1+$B$4)^19)&gt;0,1+$B$3,1))</f>
        <v/>
      </c>
      <c r="W46">
        <f>IF($B$1+20&gt;90,V46,(V46+IF($B$1+20&lt;=$B46,12*$B$7,-12*$B$6*(1+$B$4)^20))*IF(V46+IF($B$1+20&lt;=$B46,12*$B$7,-12*$B$6*(1+$B$4)^20)&gt;0,1+$B$3,1))</f>
        <v/>
      </c>
      <c r="X46">
        <f>IF($B$1+21&gt;90,W46,(W46+IF($B$1+21&lt;=$B46,12*$B$7,-12*$B$6*(1+$B$4)^21))*IF(W46+IF($B$1+21&lt;=$B46,12*$B$7,-12*$B$6*(1+$B$4)^21)&gt;0,1+$B$3,1))</f>
        <v/>
      </c>
      <c r="Y46">
        <f>IF($B$1+22&gt;90,X46,(X46+IF($B$1+22&lt;=$B46,12*$B$7,-12*$B$6*(1+$B$4)^22))*IF(X46+IF($B$1+22&lt;=$B46,12*$B$7,-12*$B$6*(1+$B$4)^22)&gt;0,1+$B$3,1))</f>
        <v/>
      </c>
      <c r="Z46">
        <f>IF($B$1+23&gt;90,Y46,(Y46+IF($B$1+23&lt;=$B46,12*$B$7,-12*$B$6*(1+$B$4)^23))*IF(Y46+IF($B$1+23&lt;=$B46,12*$B$7,-12*$B$6*(1+$B$4)^23)&gt;0,1+$B$3,1))</f>
        <v/>
      </c>
      <c r="AA46">
        <f>IF($B$1+24&gt;90,Z46,(Z46+IF($B$1+24&lt;=$B46,12*$B$7,-12*$B$6*(1+$B$4)^24))*IF(Z46+IF($B$1+24&lt;=$B46,12*$B$7,-12*$B$6*(1+$B$4)^24)&gt;0,1+$B$3,1))</f>
        <v/>
      </c>
      <c r="AB46">
        <f>IF($B$1+25&gt;90,AA46,(AA46+IF($B$1+25&lt;=$B46,12*$B$7,-12*$B$6*(1+$B$4)^25))*IF(AA46+IF($B$1+25&lt;=$B46,12*$B$7,-12*$B$6*(1+$B$4)^25)&gt;0,1+$B$3,1))</f>
        <v/>
      </c>
      <c r="AC46">
        <f>IF($B$1+26&gt;90,AB46,(AB46+IF($B$1+26&lt;=$B46,12*$B$7,-12*$B$6*(1+$B$4)^26))*IF(AB46+IF($B$1+26&lt;=$B46,12*$B$7,-12*$B$6*(1+$B$4)^26)&gt;0,1+$B$3,1))</f>
        <v/>
      </c>
      <c r="AD46">
        <f>IF($B$1+27&gt;90,AC46,(AC46+IF($B$1+27&lt;=$B46,12*$B$7,-12*$B$6*(1+$B$4)^27))*IF(AC46+IF($B$1+27&lt;=$B46,12*$B$7,-12*$B$6*(1+$B$4)^27)&gt;0,1+$B$3,1))</f>
        <v/>
      </c>
      <c r="AE46">
        <f>IF($B$1+28&gt;90,AD46,(AD46+IF($B$1+28&lt;=$B46,12*$B$7,-12*$B$6*(1+$B$4)^28))*IF(AD46+IF($B$1+28&lt;=$B46,12*$B$7,-12*$B$6*(1+$B$4)^28)&gt;0,1+$B$3,1))</f>
        <v/>
      </c>
      <c r="AF46">
        <f>IF($B$1+29&gt;90,AE46,(AE46+IF($B$1+29&lt;=$B46,12*$B$7,-12*$B$6*(1+$B$4)^29))*IF(AE46+IF($B$1+29&lt;=$B46,12*$B$7,-12*$B$6*(1+$B$4)^29)&gt;0,1+$B$3,1))</f>
        <v/>
      </c>
      <c r="AG46">
        <f>IF($B$1+30&gt;90,AF46,(AF46+IF($B$1+30&lt;=$B46,12*$B$7,-12*$B$6*(1+$B$4)^30))*IF(AF46+IF($B$1+30&lt;=$B46,12*$B$7,-12*$B$6*(1+$B$4)^30)&gt;0,1+$B$3,1))</f>
        <v/>
      </c>
      <c r="AH46">
        <f>IF($B$1+31&gt;90,AG46,(AG46+IF($B$1+31&lt;=$B46,12*$B$7,-12*$B$6*(1+$B$4)^31))*IF(AG46+IF($B$1+31&lt;=$B46,12*$B$7,-12*$B$6*(1+$B$4)^31)&gt;0,1+$B$3,1))</f>
        <v/>
      </c>
      <c r="AI46">
        <f>IF($B$1+32&gt;90,AH46,(AH46+IF($B$1+32&lt;=$B46,12*$B$7,-12*$B$6*(1+$B$4)^32))*IF(AH46+IF($B$1+32&lt;=$B46,12*$B$7,-12*$B$6*(1+$B$4)^32)&gt;0,1+$B$3,1))</f>
        <v/>
      </c>
      <c r="AJ46">
        <f>IF($B$1+33&gt;90,AI46,(AI46+IF($B$1+33&lt;=$B46,12*$B$7,-12*$B$6*(1+$B$4)^33))*IF(AI46+IF($B$1+33&lt;=$B46,12*$B$7,-12*$B$6*(1+$B$4)^33)&gt;0,1+$B$3,1))</f>
        <v/>
      </c>
      <c r="AK46">
        <f>IF($B$1+34&gt;90,AJ46,(AJ46+IF($B$1+34&lt;=$B46,12*$B$7,-12*$B$6*(1+$B$4)^34))*IF(AJ46+IF($B$1+34&lt;=$B46,12*$B$7,-12*$B$6*(1+$B$4)^34)&gt;0,1+$B$3,1))</f>
        <v/>
      </c>
      <c r="AL46">
        <f>IF($B$1+35&gt;90,AK46,(AK46+IF($B$1+35&lt;=$B46,12*$B$7,-12*$B$6*(1+$B$4)^35))*IF(AK46+IF($B$1+35&lt;=$B46,12*$B$7,-12*$B$6*(1+$B$4)^35)&gt;0,1+$B$3,1))</f>
        <v/>
      </c>
      <c r="AM46">
        <f>IF($B$1+36&gt;90,AL46,(AL46+IF($B$1+36&lt;=$B46,12*$B$7,-12*$B$6*(1+$B$4)^36))*IF(AL46+IF($B$1+36&lt;=$B46,12*$B$7,-12*$B$6*(1+$B$4)^36)&gt;0,1+$B$3,1))</f>
        <v/>
      </c>
      <c r="AN46">
        <f>IF($B$1+37&gt;90,AM46,(AM46+IF($B$1+37&lt;=$B46,12*$B$7,-12*$B$6*(1+$B$4)^37))*IF(AM46+IF($B$1+37&lt;=$B46,12*$B$7,-12*$B$6*(1+$B$4)^37)&gt;0,1+$B$3,1))</f>
        <v/>
      </c>
      <c r="AO46">
        <f>IF($B$1+38&gt;90,AN46,(AN46+IF($B$1+38&lt;=$B46,12*$B$7,-12*$B$6*(1+$B$4)^38))*IF(AN46+IF($B$1+38&lt;=$B46,12*$B$7,-12*$B$6*(1+$B$4)^38)&gt;0,1+$B$3,1))</f>
        <v/>
      </c>
      <c r="AP46">
        <f>IF($B$1+39&gt;90,AO46,(AO46+IF($B$1+39&lt;=$B46,12*$B$7,-12*$B$6*(1+$B$4)^39))*IF(AO46+IF($B$1+39&lt;=$B46,12*$B$7,-12*$B$6*(1+$B$4)^39)&gt;0,1+$B$3,1))</f>
        <v/>
      </c>
      <c r="AQ46">
        <f>IF($B$1+40&gt;90,AP46,(AP46+IF($B$1+40&lt;=$B46,12*$B$7,-12*$B$6*(1+$B$4)^40))*IF(AP46+IF($B$1+40&lt;=$B46,12*$B$7,-12*$B$6*(1+$B$4)^40)&gt;0,1+$B$3,1))</f>
        <v/>
      </c>
      <c r="AR46">
        <f>IF($B$1+41&gt;90,AQ46,(AQ46+IF($B$1+41&lt;=$B46,12*$B$7,-12*$B$6*(1+$B$4)^41))*IF(AQ46+IF($B$1+41&lt;=$B46,12*$B$7,-12*$B$6*(1+$B$4)^41)&gt;0,1+$B$3,1))</f>
        <v/>
      </c>
      <c r="AS46">
        <f>IF($B$1+42&gt;90,AR46,(AR46+IF($B$1+42&lt;=$B46,12*$B$7,-12*$B$6*(1+$B$4)^42))*IF(AR46+IF($B$1+42&lt;=$B46,12*$B$7,-12*$B$6*(1+$B$4)^42)&gt;0,1+$B$3,1))</f>
        <v/>
      </c>
      <c r="AT46">
        <f>IF($B$1+43&gt;90,AS46,(AS46+IF($B$1+43&lt;=$B46,12*$B$7,-12*$B$6*(1+$B$4)^43))*IF(AS46+IF($B$1+43&lt;=$B46,12*$B$7,-12*$B$6*(1+$B$4)^43)&gt;0,1+$B$3,1))</f>
        <v/>
      </c>
      <c r="AU46">
        <f>IF($B$1+44&gt;90,AT46,(AT46+IF($B$1+44&lt;=$B46,12*$B$7,-12*$B$6*(1+$B$4)^44))*IF(AT46+IF($B$1+44&lt;=$B46,12*$B$7,-12*$B$6*(1+$B$4)^44)&gt;0,1+$B$3,1))</f>
        <v/>
      </c>
      <c r="AV46">
        <f>IF($B$1+45&gt;90,AU46,(AU46+IF($B$1+45&lt;=$B46,12*$B$7,-12*$B$6*(1+$B$4)^45))*IF(AU46+IF($B$1+45&lt;=$B46,12*$B$7,-12*$B$6*(1+$B$4)^45)&gt;0,1+$B$3,1))</f>
        <v/>
      </c>
      <c r="AW46">
        <f>IF($B$1+46&gt;90,AV46,(AV46+IF($B$1+46&lt;=$B46,12*$B$7,-12*$B$6*(1+$B$4)^46))*IF(AV46+IF($B$1+46&lt;=$B46,12*$B$7,-12*$B$6*(1+$B$4)^46)&gt;0,1+$B$3,1))</f>
        <v/>
      </c>
      <c r="AX46">
        <f>IF($B$1+47&gt;90,AW46,(AW46+IF($B$1+47&lt;=$B46,12*$B$7,-12*$B$6*(1+$B$4)^47))*IF(AW46+IF($B$1+47&lt;=$B46,12*$B$7,-12*$B$6*(1+$B$4)^47)&gt;0,1+$B$3,1))</f>
        <v/>
      </c>
      <c r="AY46">
        <f>IF($B$1+48&gt;90,AX46,(AX46+IF($B$1+48&lt;=$B46,12*$B$7,-12*$B$6*(1+$B$4)^48))*IF(AX46+IF($B$1+48&lt;=$B46,12*$B$7,-12*$B$6*(1+$B$4)^48)&gt;0,1+$B$3,1))</f>
        <v/>
      </c>
      <c r="AZ46">
        <f>IF($B$1+49&gt;90,AY46,(AY46+IF($B$1+49&lt;=$B46,12*$B$7,-12*$B$6*(1+$B$4)^49))*IF(AY46+IF($B$1+49&lt;=$B46,12*$B$7,-12*$B$6*(1+$B$4)^49)&gt;0,1+$B$3,1))</f>
        <v/>
      </c>
      <c r="BA46">
        <f>IF($B$1+50&gt;90,AZ46,(AZ46+IF($B$1+50&lt;=$B46,12*$B$7,-12*$B$6*(1+$B$4)^50))*IF(AZ46+IF($B$1+50&lt;=$B46,12*$B$7,-12*$B$6*(1+$B$4)^50)&gt;0,1+$B$3,1))</f>
        <v/>
      </c>
      <c r="BB46">
        <f>IF($B$1+51&gt;90,BA46,(BA46+IF($B$1+51&lt;=$B46,12*$B$7,-12*$B$6*(1+$B$4)^51))*IF(BA46+IF($B$1+51&lt;=$B46,12*$B$7,-12*$B$6*(1+$B$4)^51)&gt;0,1+$B$3,1))</f>
        <v/>
      </c>
      <c r="BC46">
        <f>IF($B$1+52&gt;90,BB46,(BB46+IF($B$1+52&lt;=$B46,12*$B$7,-12*$B$6*(1+$B$4)^52))*IF(BB46+IF($B$1+52&lt;=$B46,12*$B$7,-12*$B$6*(1+$B$4)^52)&gt;0,1+$B$3,1))</f>
        <v/>
      </c>
      <c r="BD46">
        <f>IF($B$1+53&gt;90,BC46,(BC46+IF($B$1+53&lt;=$B46,12*$B$7,-12*$B$6*(1+$B$4)^53))*IF(BC46+IF($B$1+53&lt;=$B46,12*$B$7,-12*$B$6*(1+$B$4)^53)&gt;0,1+$B$3,1))</f>
        <v/>
      </c>
      <c r="BE46">
        <f>IF($B$1+54&gt;90,BD46,(BD46+IF($B$1+54&lt;=$B46,12*$B$7,-12*$B$6*(1+$B$4)^54))*IF(BD46+IF($B$1+54&lt;=$B46,12*$B$7,-12*$B$6*(1+$B$4)^54)&gt;0,1+$B$3,1))</f>
        <v/>
      </c>
      <c r="BF46">
        <f>IF($B$1+55&gt;90,BE46,(BE46+IF($B$1+55&lt;=$B46,12*$B$7,-12*$B$6*(1+$B$4)^55))*IF(BE46+IF($B$1+55&lt;=$B46,12*$B$7,-12*$B$6*(1+$B$4)^55)&gt;0,1+$B$3,1))</f>
        <v/>
      </c>
      <c r="BG46">
        <f>IF($B$1+56&gt;90,BF46,(BF46+IF($B$1+56&lt;=$B46,12*$B$7,-12*$B$6*(1+$B$4)^56))*IF(BF46+IF($B$1+56&lt;=$B46,12*$B$7,-12*$B$6*(1+$B$4)^56)&gt;0,1+$B$3,1))</f>
        <v/>
      </c>
      <c r="BH46">
        <f>IF($B$1+57&gt;90,BG46,(BG46+IF($B$1+57&lt;=$B46,12*$B$7,-12*$B$6*(1+$B$4)^57))*IF(BG46+IF($B$1+57&lt;=$B46,12*$B$7,-12*$B$6*(1+$B$4)^57)&gt;0,1+$B$3,1))</f>
        <v/>
      </c>
      <c r="BI46">
        <f>IF($B$1+58&gt;90,BH46,(BH46+IF($B$1+58&lt;=$B46,12*$B$7,-12*$B$6*(1+$B$4)^58))*IF(BH46+IF($B$1+58&lt;=$B46,12*$B$7,-12*$B$6*(1+$B$4)^58)&gt;0,1+$B$3,1))</f>
        <v/>
      </c>
      <c r="BJ46">
        <f>IF($B$1+59&gt;90,BI46,(BI46+IF($B$1+59&lt;=$B46,12*$B$7,-12*$B$6*(1+$B$4)^59))*IF(BI46+IF($B$1+59&lt;=$B46,12*$B$7,-12*$B$6*(1+$B$4)^59)&gt;0,1+$B$3,1))</f>
        <v/>
      </c>
      <c r="BK46">
        <f>IF($B$1+60&gt;90,BJ46,(BJ46+IF($B$1+60&lt;=$B46,12*$B$7,-12*$B$6*(1+$B$4)^60))*IF(BJ46+IF($B$1+60&lt;=$B46,12*$B$7,-12*$B$6*(1+$B$4)^60)&gt;0,1+$B$3,1))</f>
        <v/>
      </c>
      <c r="BL46">
        <f>IF($B$1+61&gt;90,BK46,(BK46+IF($B$1+61&lt;=$B46,12*$B$7,-12*$B$6*(1+$B$4)^61))*IF(BK46+IF($B$1+61&lt;=$B46,12*$B$7,-12*$B$6*(1+$B$4)^61)&gt;0,1+$B$3,1))</f>
        <v/>
      </c>
      <c r="BM46">
        <f>IF($B$1+62&gt;90,BL46,(BL46+IF($B$1+62&lt;=$B46,12*$B$7,-12*$B$6*(1+$B$4)^62))*IF(BL46+IF($B$1+62&lt;=$B46,12*$B$7,-12*$B$6*(1+$B$4)^62)&gt;0,1+$B$3,1))</f>
        <v/>
      </c>
      <c r="BN46">
        <f>IF($B$1+63&gt;90,BM46,(BM46+IF($B$1+63&lt;=$B46,12*$B$7,-12*$B$6*(1+$B$4)^63))*IF(BM46+IF($B$1+63&lt;=$B46,12*$B$7,-12*$B$6*(1+$B$4)^63)&gt;0,1+$B$3,1))</f>
        <v/>
      </c>
      <c r="BO46">
        <f>IF($B$1+64&gt;90,BN46,(BN46+IF($B$1+64&lt;=$B46,12*$B$7,-12*$B$6*(1+$B$4)^64))*IF(BN46+IF($B$1+64&lt;=$B46,12*$B$7,-12*$B$6*(1+$B$4)^64)&gt;0,1+$B$3,1))</f>
        <v/>
      </c>
      <c r="BP46">
        <f>IF($B$1+65&gt;90,BO46,(BO46+IF($B$1+65&lt;=$B46,12*$B$7,-12*$B$6*(1+$B$4)^65))*IF(BO46+IF($B$1+65&lt;=$B46,12*$B$7,-12*$B$6*(1+$B$4)^65)&gt;0,1+$B$3,1))</f>
        <v/>
      </c>
      <c r="BQ46">
        <f>IF($B$1+66&gt;90,BP46,(BP46+IF($B$1+66&lt;=$B46,12*$B$7,-12*$B$6*(1+$B$4)^66))*IF(BP46+IF($B$1+66&lt;=$B46,12*$B$7,-12*$B$6*(1+$B$4)^66)&gt;0,1+$B$3,1))</f>
        <v/>
      </c>
      <c r="BR46">
        <f>IF($B$1+67&gt;90,BQ46,(BQ46+IF($B$1+67&lt;=$B46,12*$B$7,-12*$B$6*(1+$B$4)^67))*IF(BQ46+IF($B$1+67&lt;=$B46,12*$B$7,-12*$B$6*(1+$B$4)^67)&gt;0,1+$B$3,1))</f>
        <v/>
      </c>
      <c r="BS46">
        <f>IF($B$1+68&gt;90,BR46,(BR46+IF($B$1+68&lt;=$B46,12*$B$7,-12*$B$6*(1+$B$4)^68))*IF(BR46+IF($B$1+68&lt;=$B46,12*$B$7,-12*$B$6*(1+$B$4)^68)&gt;0,1+$B$3,1))</f>
        <v/>
      </c>
      <c r="BT46">
        <f>IF($B$1+69&gt;90,BS46,(BS46+IF($B$1+69&lt;=$B46,12*$B$7,-12*$B$6*(1+$B$4)^69))*IF(BS46+IF($B$1+69&lt;=$B46,12*$B$7,-12*$B$6*(1+$B$4)^69)&gt;0,1+$B$3,1))</f>
        <v/>
      </c>
      <c r="BU46">
        <f>IF($B$1+70&gt;90,BT46,(BT46+IF($B$1+70&lt;=$B46,12*$B$7,-12*$B$6*(1+$B$4)^70))*IF(BT46+IF($B$1+70&lt;=$B46,12*$B$7,-12*$B$6*(1+$B$4)^70)&gt;0,1+$B$3,1))</f>
        <v/>
      </c>
      <c r="BV46">
        <f>BU46</f>
        <v/>
      </c>
      <c r="BW46">
        <f>IF(AND($B46&lt;=70,BV46&gt;0),$B46,999)</f>
        <v/>
      </c>
      <c r="CB46" t="n">
        <v>45</v>
      </c>
      <c r="CC46">
        <f>IF($B$1+CB46&gt;90,0,12*$B$6*(1+$B$4)^CB46/(1+$B$3)^(CB46-1))</f>
        <v/>
      </c>
      <c r="CE46">
        <f>IF($B$1+44&gt;90,NA(),$B$1+44)</f>
        <v/>
      </c>
      <c r="CF46">
        <f>IF(OR($B$21="",$B$1+44&gt;90),NA(),INDEX($C$40:$BU$90,$B$21-$B$1+1,45))</f>
        <v/>
      </c>
    </row>
    <row r="47">
      <c r="A47" t="n">
        <v>7</v>
      </c>
      <c r="B47">
        <f>$B$1+7</f>
        <v/>
      </c>
      <c r="C47">
        <f>$B$2</f>
        <v/>
      </c>
      <c r="D47">
        <f>IF($B$1+1&gt;90,C47,(C47+IF($B$1+1&lt;=$B47,12*$B$7,-12*$B$6*(1+$B$4)^1))*IF(C47+IF($B$1+1&lt;=$B47,12*$B$7,-12*$B$6*(1+$B$4)^1)&gt;0,1+$B$3,1))</f>
        <v/>
      </c>
      <c r="E47">
        <f>IF($B$1+2&gt;90,D47,(D47+IF($B$1+2&lt;=$B47,12*$B$7,-12*$B$6*(1+$B$4)^2))*IF(D47+IF($B$1+2&lt;=$B47,12*$B$7,-12*$B$6*(1+$B$4)^2)&gt;0,1+$B$3,1))</f>
        <v/>
      </c>
      <c r="F47">
        <f>IF($B$1+3&gt;90,E47,(E47+IF($B$1+3&lt;=$B47,12*$B$7,-12*$B$6*(1+$B$4)^3))*IF(E47+IF($B$1+3&lt;=$B47,12*$B$7,-12*$B$6*(1+$B$4)^3)&gt;0,1+$B$3,1))</f>
        <v/>
      </c>
      <c r="G47">
        <f>IF($B$1+4&gt;90,F47,(F47+IF($B$1+4&lt;=$B47,12*$B$7,-12*$B$6*(1+$B$4)^4))*IF(F47+IF($B$1+4&lt;=$B47,12*$B$7,-12*$B$6*(1+$B$4)^4)&gt;0,1+$B$3,1))</f>
        <v/>
      </c>
      <c r="H47">
        <f>IF($B$1+5&gt;90,G47,(G47+IF($B$1+5&lt;=$B47,12*$B$7,-12*$B$6*(1+$B$4)^5))*IF(G47+IF($B$1+5&lt;=$B47,12*$B$7,-12*$B$6*(1+$B$4)^5)&gt;0,1+$B$3,1))</f>
        <v/>
      </c>
      <c r="I47">
        <f>IF($B$1+6&gt;90,H47,(H47+IF($B$1+6&lt;=$B47,12*$B$7,-12*$B$6*(1+$B$4)^6))*IF(H47+IF($B$1+6&lt;=$B47,12*$B$7,-12*$B$6*(1+$B$4)^6)&gt;0,1+$B$3,1))</f>
        <v/>
      </c>
      <c r="J47">
        <f>IF($B$1+7&gt;90,I47,(I47+IF($B$1+7&lt;=$B47,12*$B$7,-12*$B$6*(1+$B$4)^7))*IF(I47+IF($B$1+7&lt;=$B47,12*$B$7,-12*$B$6*(1+$B$4)^7)&gt;0,1+$B$3,1))</f>
        <v/>
      </c>
      <c r="K47">
        <f>IF($B$1+8&gt;90,J47,(J47+IF($B$1+8&lt;=$B47,12*$B$7,-12*$B$6*(1+$B$4)^8))*IF(J47+IF($B$1+8&lt;=$B47,12*$B$7,-12*$B$6*(1+$B$4)^8)&gt;0,1+$B$3,1))</f>
        <v/>
      </c>
      <c r="L47">
        <f>IF($B$1+9&gt;90,K47,(K47+IF($B$1+9&lt;=$B47,12*$B$7,-12*$B$6*(1+$B$4)^9))*IF(K47+IF($B$1+9&lt;=$B47,12*$B$7,-12*$B$6*(1+$B$4)^9)&gt;0,1+$B$3,1))</f>
        <v/>
      </c>
      <c r="M47">
        <f>IF($B$1+10&gt;90,L47,(L47+IF($B$1+10&lt;=$B47,12*$B$7,-12*$B$6*(1+$B$4)^10))*IF(L47+IF($B$1+10&lt;=$B47,12*$B$7,-12*$B$6*(1+$B$4)^10)&gt;0,1+$B$3,1))</f>
        <v/>
      </c>
      <c r="N47">
        <f>IF($B$1+11&gt;90,M47,(M47+IF($B$1+11&lt;=$B47,12*$B$7,-12*$B$6*(1+$B$4)^11))*IF(M47+IF($B$1+11&lt;=$B47,12*$B$7,-12*$B$6*(1+$B$4)^11)&gt;0,1+$B$3,1))</f>
        <v/>
      </c>
      <c r="O47">
        <f>IF($B$1+12&gt;90,N47,(N47+IF($B$1+12&lt;=$B47,12*$B$7,-12*$B$6*(1+$B$4)^12))*IF(N47+IF($B$1+12&lt;=$B47,12*$B$7,-12*$B$6*(1+$B$4)^12)&gt;0,1+$B$3,1))</f>
        <v/>
      </c>
      <c r="P47">
        <f>IF($B$1+13&gt;90,O47,(O47+IF($B$1+13&lt;=$B47,12*$B$7,-12*$B$6*(1+$B$4)^13))*IF(O47+IF($B$1+13&lt;=$B47,12*$B$7,-12*$B$6*(1+$B$4)^13)&gt;0,1+$B$3,1))</f>
        <v/>
      </c>
      <c r="Q47">
        <f>IF($B$1+14&gt;90,P47,(P47+IF($B$1+14&lt;=$B47,12*$B$7,-12*$B$6*(1+$B$4)^14))*IF(P47+IF($B$1+14&lt;=$B47,12*$B$7,-12*$B$6*(1+$B$4)^14)&gt;0,1+$B$3,1))</f>
        <v/>
      </c>
      <c r="R47">
        <f>IF($B$1+15&gt;90,Q47,(Q47+IF($B$1+15&lt;=$B47,12*$B$7,-12*$B$6*(1+$B$4)^15))*IF(Q47+IF($B$1+15&lt;=$B47,12*$B$7,-12*$B$6*(1+$B$4)^15)&gt;0,1+$B$3,1))</f>
        <v/>
      </c>
      <c r="S47">
        <f>IF($B$1+16&gt;90,R47,(R47+IF($B$1+16&lt;=$B47,12*$B$7,-12*$B$6*(1+$B$4)^16))*IF(R47+IF($B$1+16&lt;=$B47,12*$B$7,-12*$B$6*(1+$B$4)^16)&gt;0,1+$B$3,1))</f>
        <v/>
      </c>
      <c r="T47">
        <f>IF($B$1+17&gt;90,S47,(S47+IF($B$1+17&lt;=$B47,12*$B$7,-12*$B$6*(1+$B$4)^17))*IF(S47+IF($B$1+17&lt;=$B47,12*$B$7,-12*$B$6*(1+$B$4)^17)&gt;0,1+$B$3,1))</f>
        <v/>
      </c>
      <c r="U47">
        <f>IF($B$1+18&gt;90,T47,(T47+IF($B$1+18&lt;=$B47,12*$B$7,-12*$B$6*(1+$B$4)^18))*IF(T47+IF($B$1+18&lt;=$B47,12*$B$7,-12*$B$6*(1+$B$4)^18)&gt;0,1+$B$3,1))</f>
        <v/>
      </c>
      <c r="V47">
        <f>IF($B$1+19&gt;90,U47,(U47+IF($B$1+19&lt;=$B47,12*$B$7,-12*$B$6*(1+$B$4)^19))*IF(U47+IF($B$1+19&lt;=$B47,12*$B$7,-12*$B$6*(1+$B$4)^19)&gt;0,1+$B$3,1))</f>
        <v/>
      </c>
      <c r="W47">
        <f>IF($B$1+20&gt;90,V47,(V47+IF($B$1+20&lt;=$B47,12*$B$7,-12*$B$6*(1+$B$4)^20))*IF(V47+IF($B$1+20&lt;=$B47,12*$B$7,-12*$B$6*(1+$B$4)^20)&gt;0,1+$B$3,1))</f>
        <v/>
      </c>
      <c r="X47">
        <f>IF($B$1+21&gt;90,W47,(W47+IF($B$1+21&lt;=$B47,12*$B$7,-12*$B$6*(1+$B$4)^21))*IF(W47+IF($B$1+21&lt;=$B47,12*$B$7,-12*$B$6*(1+$B$4)^21)&gt;0,1+$B$3,1))</f>
        <v/>
      </c>
      <c r="Y47">
        <f>IF($B$1+22&gt;90,X47,(X47+IF($B$1+22&lt;=$B47,12*$B$7,-12*$B$6*(1+$B$4)^22))*IF(X47+IF($B$1+22&lt;=$B47,12*$B$7,-12*$B$6*(1+$B$4)^22)&gt;0,1+$B$3,1))</f>
        <v/>
      </c>
      <c r="Z47">
        <f>IF($B$1+23&gt;90,Y47,(Y47+IF($B$1+23&lt;=$B47,12*$B$7,-12*$B$6*(1+$B$4)^23))*IF(Y47+IF($B$1+23&lt;=$B47,12*$B$7,-12*$B$6*(1+$B$4)^23)&gt;0,1+$B$3,1))</f>
        <v/>
      </c>
      <c r="AA47">
        <f>IF($B$1+24&gt;90,Z47,(Z47+IF($B$1+24&lt;=$B47,12*$B$7,-12*$B$6*(1+$B$4)^24))*IF(Z47+IF($B$1+24&lt;=$B47,12*$B$7,-12*$B$6*(1+$B$4)^24)&gt;0,1+$B$3,1))</f>
        <v/>
      </c>
      <c r="AB47">
        <f>IF($B$1+25&gt;90,AA47,(AA47+IF($B$1+25&lt;=$B47,12*$B$7,-12*$B$6*(1+$B$4)^25))*IF(AA47+IF($B$1+25&lt;=$B47,12*$B$7,-12*$B$6*(1+$B$4)^25)&gt;0,1+$B$3,1))</f>
        <v/>
      </c>
      <c r="AC47">
        <f>IF($B$1+26&gt;90,AB47,(AB47+IF($B$1+26&lt;=$B47,12*$B$7,-12*$B$6*(1+$B$4)^26))*IF(AB47+IF($B$1+26&lt;=$B47,12*$B$7,-12*$B$6*(1+$B$4)^26)&gt;0,1+$B$3,1))</f>
        <v/>
      </c>
      <c r="AD47">
        <f>IF($B$1+27&gt;90,AC47,(AC47+IF($B$1+27&lt;=$B47,12*$B$7,-12*$B$6*(1+$B$4)^27))*IF(AC47+IF($B$1+27&lt;=$B47,12*$B$7,-12*$B$6*(1+$B$4)^27)&gt;0,1+$B$3,1))</f>
        <v/>
      </c>
      <c r="AE47">
        <f>IF($B$1+28&gt;90,AD47,(AD47+IF($B$1+28&lt;=$B47,12*$B$7,-12*$B$6*(1+$B$4)^28))*IF(AD47+IF($B$1+28&lt;=$B47,12*$B$7,-12*$B$6*(1+$B$4)^28)&gt;0,1+$B$3,1))</f>
        <v/>
      </c>
      <c r="AF47">
        <f>IF($B$1+29&gt;90,AE47,(AE47+IF($B$1+29&lt;=$B47,12*$B$7,-12*$B$6*(1+$B$4)^29))*IF(AE47+IF($B$1+29&lt;=$B47,12*$B$7,-12*$B$6*(1+$B$4)^29)&gt;0,1+$B$3,1))</f>
        <v/>
      </c>
      <c r="AG47">
        <f>IF($B$1+30&gt;90,AF47,(AF47+IF($B$1+30&lt;=$B47,12*$B$7,-12*$B$6*(1+$B$4)^30))*IF(AF47+IF($B$1+30&lt;=$B47,12*$B$7,-12*$B$6*(1+$B$4)^30)&gt;0,1+$B$3,1))</f>
        <v/>
      </c>
      <c r="AH47">
        <f>IF($B$1+31&gt;90,AG47,(AG47+IF($B$1+31&lt;=$B47,12*$B$7,-12*$B$6*(1+$B$4)^31))*IF(AG47+IF($B$1+31&lt;=$B47,12*$B$7,-12*$B$6*(1+$B$4)^31)&gt;0,1+$B$3,1))</f>
        <v/>
      </c>
      <c r="AI47">
        <f>IF($B$1+32&gt;90,AH47,(AH47+IF($B$1+32&lt;=$B47,12*$B$7,-12*$B$6*(1+$B$4)^32))*IF(AH47+IF($B$1+32&lt;=$B47,12*$B$7,-12*$B$6*(1+$B$4)^32)&gt;0,1+$B$3,1))</f>
        <v/>
      </c>
      <c r="AJ47">
        <f>IF($B$1+33&gt;90,AI47,(AI47+IF($B$1+33&lt;=$B47,12*$B$7,-12*$B$6*(1+$B$4)^33))*IF(AI47+IF($B$1+33&lt;=$B47,12*$B$7,-12*$B$6*(1+$B$4)^33)&gt;0,1+$B$3,1))</f>
        <v/>
      </c>
      <c r="AK47">
        <f>IF($B$1+34&gt;90,AJ47,(AJ47+IF($B$1+34&lt;=$B47,12*$B$7,-12*$B$6*(1+$B$4)^34))*IF(AJ47+IF($B$1+34&lt;=$B47,12*$B$7,-12*$B$6*(1+$B$4)^34)&gt;0,1+$B$3,1))</f>
        <v/>
      </c>
      <c r="AL47">
        <f>IF($B$1+35&gt;90,AK47,(AK47+IF($B$1+35&lt;=$B47,12*$B$7,-12*$B$6*(1+$B$4)^35))*IF(AK47+IF($B$1+35&lt;=$B47,12*$B$7,-12*$B$6*(1+$B$4)^35)&gt;0,1+$B$3,1))</f>
        <v/>
      </c>
      <c r="AM47">
        <f>IF($B$1+36&gt;90,AL47,(AL47+IF($B$1+36&lt;=$B47,12*$B$7,-12*$B$6*(1+$B$4)^36))*IF(AL47+IF($B$1+36&lt;=$B47,12*$B$7,-12*$B$6*(1+$B$4)^36)&gt;0,1+$B$3,1))</f>
        <v/>
      </c>
      <c r="AN47">
        <f>IF($B$1+37&gt;90,AM47,(AM47+IF($B$1+37&lt;=$B47,12*$B$7,-12*$B$6*(1+$B$4)^37))*IF(AM47+IF($B$1+37&lt;=$B47,12*$B$7,-12*$B$6*(1+$B$4)^37)&gt;0,1+$B$3,1))</f>
        <v/>
      </c>
      <c r="AO47">
        <f>IF($B$1+38&gt;90,AN47,(AN47+IF($B$1+38&lt;=$B47,12*$B$7,-12*$B$6*(1+$B$4)^38))*IF(AN47+IF($B$1+38&lt;=$B47,12*$B$7,-12*$B$6*(1+$B$4)^38)&gt;0,1+$B$3,1))</f>
        <v/>
      </c>
      <c r="AP47">
        <f>IF($B$1+39&gt;90,AO47,(AO47+IF($B$1+39&lt;=$B47,12*$B$7,-12*$B$6*(1+$B$4)^39))*IF(AO47+IF($B$1+39&lt;=$B47,12*$B$7,-12*$B$6*(1+$B$4)^39)&gt;0,1+$B$3,1))</f>
        <v/>
      </c>
      <c r="AQ47">
        <f>IF($B$1+40&gt;90,AP47,(AP47+IF($B$1+40&lt;=$B47,12*$B$7,-12*$B$6*(1+$B$4)^40))*IF(AP47+IF($B$1+40&lt;=$B47,12*$B$7,-12*$B$6*(1+$B$4)^40)&gt;0,1+$B$3,1))</f>
        <v/>
      </c>
      <c r="AR47">
        <f>IF($B$1+41&gt;90,AQ47,(AQ47+IF($B$1+41&lt;=$B47,12*$B$7,-12*$B$6*(1+$B$4)^41))*IF(AQ47+IF($B$1+41&lt;=$B47,12*$B$7,-12*$B$6*(1+$B$4)^41)&gt;0,1+$B$3,1))</f>
        <v/>
      </c>
      <c r="AS47">
        <f>IF($B$1+42&gt;90,AR47,(AR47+IF($B$1+42&lt;=$B47,12*$B$7,-12*$B$6*(1+$B$4)^42))*IF(AR47+IF($B$1+42&lt;=$B47,12*$B$7,-12*$B$6*(1+$B$4)^42)&gt;0,1+$B$3,1))</f>
        <v/>
      </c>
      <c r="AT47">
        <f>IF($B$1+43&gt;90,AS47,(AS47+IF($B$1+43&lt;=$B47,12*$B$7,-12*$B$6*(1+$B$4)^43))*IF(AS47+IF($B$1+43&lt;=$B47,12*$B$7,-12*$B$6*(1+$B$4)^43)&gt;0,1+$B$3,1))</f>
        <v/>
      </c>
      <c r="AU47">
        <f>IF($B$1+44&gt;90,AT47,(AT47+IF($B$1+44&lt;=$B47,12*$B$7,-12*$B$6*(1+$B$4)^44))*IF(AT47+IF($B$1+44&lt;=$B47,12*$B$7,-12*$B$6*(1+$B$4)^44)&gt;0,1+$B$3,1))</f>
        <v/>
      </c>
      <c r="AV47">
        <f>IF($B$1+45&gt;90,AU47,(AU47+IF($B$1+45&lt;=$B47,12*$B$7,-12*$B$6*(1+$B$4)^45))*IF(AU47+IF($B$1+45&lt;=$B47,12*$B$7,-12*$B$6*(1+$B$4)^45)&gt;0,1+$B$3,1))</f>
        <v/>
      </c>
      <c r="AW47">
        <f>IF($B$1+46&gt;90,AV47,(AV47+IF($B$1+46&lt;=$B47,12*$B$7,-12*$B$6*(1+$B$4)^46))*IF(AV47+IF($B$1+46&lt;=$B47,12*$B$7,-12*$B$6*(1+$B$4)^46)&gt;0,1+$B$3,1))</f>
        <v/>
      </c>
      <c r="AX47">
        <f>IF($B$1+47&gt;90,AW47,(AW47+IF($B$1+47&lt;=$B47,12*$B$7,-12*$B$6*(1+$B$4)^47))*IF(AW47+IF($B$1+47&lt;=$B47,12*$B$7,-12*$B$6*(1+$B$4)^47)&gt;0,1+$B$3,1))</f>
        <v/>
      </c>
      <c r="AY47">
        <f>IF($B$1+48&gt;90,AX47,(AX47+IF($B$1+48&lt;=$B47,12*$B$7,-12*$B$6*(1+$B$4)^48))*IF(AX47+IF($B$1+48&lt;=$B47,12*$B$7,-12*$B$6*(1+$B$4)^48)&gt;0,1+$B$3,1))</f>
        <v/>
      </c>
      <c r="AZ47">
        <f>IF($B$1+49&gt;90,AY47,(AY47+IF($B$1+49&lt;=$B47,12*$B$7,-12*$B$6*(1+$B$4)^49))*IF(AY47+IF($B$1+49&lt;=$B47,12*$B$7,-12*$B$6*(1+$B$4)^49)&gt;0,1+$B$3,1))</f>
        <v/>
      </c>
      <c r="BA47">
        <f>IF($B$1+50&gt;90,AZ47,(AZ47+IF($B$1+50&lt;=$B47,12*$B$7,-12*$B$6*(1+$B$4)^50))*IF(AZ47+IF($B$1+50&lt;=$B47,12*$B$7,-12*$B$6*(1+$B$4)^50)&gt;0,1+$B$3,1))</f>
        <v/>
      </c>
      <c r="BB47">
        <f>IF($B$1+51&gt;90,BA47,(BA47+IF($B$1+51&lt;=$B47,12*$B$7,-12*$B$6*(1+$B$4)^51))*IF(BA47+IF($B$1+51&lt;=$B47,12*$B$7,-12*$B$6*(1+$B$4)^51)&gt;0,1+$B$3,1))</f>
        <v/>
      </c>
      <c r="BC47">
        <f>IF($B$1+52&gt;90,BB47,(BB47+IF($B$1+52&lt;=$B47,12*$B$7,-12*$B$6*(1+$B$4)^52))*IF(BB47+IF($B$1+52&lt;=$B47,12*$B$7,-12*$B$6*(1+$B$4)^52)&gt;0,1+$B$3,1))</f>
        <v/>
      </c>
      <c r="BD47">
        <f>IF($B$1+53&gt;90,BC47,(BC47+IF($B$1+53&lt;=$B47,12*$B$7,-12*$B$6*(1+$B$4)^53))*IF(BC47+IF($B$1+53&lt;=$B47,12*$B$7,-12*$B$6*(1+$B$4)^53)&gt;0,1+$B$3,1))</f>
        <v/>
      </c>
      <c r="BE47">
        <f>IF($B$1+54&gt;90,BD47,(BD47+IF($B$1+54&lt;=$B47,12*$B$7,-12*$B$6*(1+$B$4)^54))*IF(BD47+IF($B$1+54&lt;=$B47,12*$B$7,-12*$B$6*(1+$B$4)^54)&gt;0,1+$B$3,1))</f>
        <v/>
      </c>
      <c r="BF47">
        <f>IF($B$1+55&gt;90,BE47,(BE47+IF($B$1+55&lt;=$B47,12*$B$7,-12*$B$6*(1+$B$4)^55))*IF(BE47+IF($B$1+55&lt;=$B47,12*$B$7,-12*$B$6*(1+$B$4)^55)&gt;0,1+$B$3,1))</f>
        <v/>
      </c>
      <c r="BG47">
        <f>IF($B$1+56&gt;90,BF47,(BF47+IF($B$1+56&lt;=$B47,12*$B$7,-12*$B$6*(1+$B$4)^56))*IF(BF47+IF($B$1+56&lt;=$B47,12*$B$7,-12*$B$6*(1+$B$4)^56)&gt;0,1+$B$3,1))</f>
        <v/>
      </c>
      <c r="BH47">
        <f>IF($B$1+57&gt;90,BG47,(BG47+IF($B$1+57&lt;=$B47,12*$B$7,-12*$B$6*(1+$B$4)^57))*IF(BG47+IF($B$1+57&lt;=$B47,12*$B$7,-12*$B$6*(1+$B$4)^57)&gt;0,1+$B$3,1))</f>
        <v/>
      </c>
      <c r="BI47">
        <f>IF($B$1+58&gt;90,BH47,(BH47+IF($B$1+58&lt;=$B47,12*$B$7,-12*$B$6*(1+$B$4)^58))*IF(BH47+IF($B$1+58&lt;=$B47,12*$B$7,-12*$B$6*(1+$B$4)^58)&gt;0,1+$B$3,1))</f>
        <v/>
      </c>
      <c r="BJ47">
        <f>IF($B$1+59&gt;90,BI47,(BI47+IF($B$1+59&lt;=$B47,12*$B$7,-12*$B$6*(1+$B$4)^59))*IF(BI47+IF($B$1+59&lt;=$B47,12*$B$7,-12*$B$6*(1+$B$4)^59)&gt;0,1+$B$3,1))</f>
        <v/>
      </c>
      <c r="BK47">
        <f>IF($B$1+60&gt;90,BJ47,(BJ47+IF($B$1+60&lt;=$B47,12*$B$7,-12*$B$6*(1+$B$4)^60))*IF(BJ47+IF($B$1+60&lt;=$B47,12*$B$7,-12*$B$6*(1+$B$4)^60)&gt;0,1+$B$3,1))</f>
        <v/>
      </c>
      <c r="BL47">
        <f>IF($B$1+61&gt;90,BK47,(BK47+IF($B$1+61&lt;=$B47,12*$B$7,-12*$B$6*(1+$B$4)^61))*IF(BK47+IF($B$1+61&lt;=$B47,12*$B$7,-12*$B$6*(1+$B$4)^61)&gt;0,1+$B$3,1))</f>
        <v/>
      </c>
      <c r="BM47">
        <f>IF($B$1+62&gt;90,BL47,(BL47+IF($B$1+62&lt;=$B47,12*$B$7,-12*$B$6*(1+$B$4)^62))*IF(BL47+IF($B$1+62&lt;=$B47,12*$B$7,-12*$B$6*(1+$B$4)^62)&gt;0,1+$B$3,1))</f>
        <v/>
      </c>
      <c r="BN47">
        <f>IF($B$1+63&gt;90,BM47,(BM47+IF($B$1+63&lt;=$B47,12*$B$7,-12*$B$6*(1+$B$4)^63))*IF(BM47+IF($B$1+63&lt;=$B47,12*$B$7,-12*$B$6*(1+$B$4)^63)&gt;0,1+$B$3,1))</f>
        <v/>
      </c>
      <c r="BO47">
        <f>IF($B$1+64&gt;90,BN47,(BN47+IF($B$1+64&lt;=$B47,12*$B$7,-12*$B$6*(1+$B$4)^64))*IF(BN47+IF($B$1+64&lt;=$B47,12*$B$7,-12*$B$6*(1+$B$4)^64)&gt;0,1+$B$3,1))</f>
        <v/>
      </c>
      <c r="BP47">
        <f>IF($B$1+65&gt;90,BO47,(BO47+IF($B$1+65&lt;=$B47,12*$B$7,-12*$B$6*(1+$B$4)^65))*IF(BO47+IF($B$1+65&lt;=$B47,12*$B$7,-12*$B$6*(1+$B$4)^65)&gt;0,1+$B$3,1))</f>
        <v/>
      </c>
      <c r="BQ47">
        <f>IF($B$1+66&gt;90,BP47,(BP47+IF($B$1+66&lt;=$B47,12*$B$7,-12*$B$6*(1+$B$4)^66))*IF(BP47+IF($B$1+66&lt;=$B47,12*$B$7,-12*$B$6*(1+$B$4)^66)&gt;0,1+$B$3,1))</f>
        <v/>
      </c>
      <c r="BR47">
        <f>IF($B$1+67&gt;90,BQ47,(BQ47+IF($B$1+67&lt;=$B47,12*$B$7,-12*$B$6*(1+$B$4)^67))*IF(BQ47+IF($B$1+67&lt;=$B47,12*$B$7,-12*$B$6*(1+$B$4)^67)&gt;0,1+$B$3,1))</f>
        <v/>
      </c>
      <c r="BS47">
        <f>IF($B$1+68&gt;90,BR47,(BR47+IF($B$1+68&lt;=$B47,12*$B$7,-12*$B$6*(1+$B$4)^68))*IF(BR47+IF($B$1+68&lt;=$B47,12*$B$7,-12*$B$6*(1+$B$4)^68)&gt;0,1+$B$3,1))</f>
        <v/>
      </c>
      <c r="BT47">
        <f>IF($B$1+69&gt;90,BS47,(BS47+IF($B$1+69&lt;=$B47,12*$B$7,-12*$B$6*(1+$B$4)^69))*IF(BS47+IF($B$1+69&lt;=$B47,12*$B$7,-12*$B$6*(1+$B$4)^69)&gt;0,1+$B$3,1))</f>
        <v/>
      </c>
      <c r="BU47">
        <f>IF($B$1+70&gt;90,BT47,(BT47+IF($B$1+70&lt;=$B47,12*$B$7,-12*$B$6*(1+$B$4)^70))*IF(BT47+IF($B$1+70&lt;=$B47,12*$B$7,-12*$B$6*(1+$B$4)^70)&gt;0,1+$B$3,1))</f>
        <v/>
      </c>
      <c r="BV47">
        <f>BU47</f>
        <v/>
      </c>
      <c r="BW47">
        <f>IF(AND($B47&lt;=70,BV47&gt;0),$B47,999)</f>
        <v/>
      </c>
      <c r="CB47" t="n">
        <v>46</v>
      </c>
      <c r="CC47">
        <f>IF($B$1+CB47&gt;90,0,12*$B$6*(1+$B$4)^CB47/(1+$B$3)^(CB47-1))</f>
        <v/>
      </c>
      <c r="CE47">
        <f>IF($B$1+45&gt;90,NA(),$B$1+45)</f>
        <v/>
      </c>
      <c r="CF47">
        <f>IF(OR($B$21="",$B$1+45&gt;90),NA(),INDEX($C$40:$BU$90,$B$21-$B$1+1,46))</f>
        <v/>
      </c>
    </row>
    <row r="48">
      <c r="A48" t="n">
        <v>8</v>
      </c>
      <c r="B48">
        <f>$B$1+8</f>
        <v/>
      </c>
      <c r="C48">
        <f>$B$2</f>
        <v/>
      </c>
      <c r="D48">
        <f>IF($B$1+1&gt;90,C48,(C48+IF($B$1+1&lt;=$B48,12*$B$7,-12*$B$6*(1+$B$4)^1))*IF(C48+IF($B$1+1&lt;=$B48,12*$B$7,-12*$B$6*(1+$B$4)^1)&gt;0,1+$B$3,1))</f>
        <v/>
      </c>
      <c r="E48">
        <f>IF($B$1+2&gt;90,D48,(D48+IF($B$1+2&lt;=$B48,12*$B$7,-12*$B$6*(1+$B$4)^2))*IF(D48+IF($B$1+2&lt;=$B48,12*$B$7,-12*$B$6*(1+$B$4)^2)&gt;0,1+$B$3,1))</f>
        <v/>
      </c>
      <c r="F48">
        <f>IF($B$1+3&gt;90,E48,(E48+IF($B$1+3&lt;=$B48,12*$B$7,-12*$B$6*(1+$B$4)^3))*IF(E48+IF($B$1+3&lt;=$B48,12*$B$7,-12*$B$6*(1+$B$4)^3)&gt;0,1+$B$3,1))</f>
        <v/>
      </c>
      <c r="G48">
        <f>IF($B$1+4&gt;90,F48,(F48+IF($B$1+4&lt;=$B48,12*$B$7,-12*$B$6*(1+$B$4)^4))*IF(F48+IF($B$1+4&lt;=$B48,12*$B$7,-12*$B$6*(1+$B$4)^4)&gt;0,1+$B$3,1))</f>
        <v/>
      </c>
      <c r="H48">
        <f>IF($B$1+5&gt;90,G48,(G48+IF($B$1+5&lt;=$B48,12*$B$7,-12*$B$6*(1+$B$4)^5))*IF(G48+IF($B$1+5&lt;=$B48,12*$B$7,-12*$B$6*(1+$B$4)^5)&gt;0,1+$B$3,1))</f>
        <v/>
      </c>
      <c r="I48">
        <f>IF($B$1+6&gt;90,H48,(H48+IF($B$1+6&lt;=$B48,12*$B$7,-12*$B$6*(1+$B$4)^6))*IF(H48+IF($B$1+6&lt;=$B48,12*$B$7,-12*$B$6*(1+$B$4)^6)&gt;0,1+$B$3,1))</f>
        <v/>
      </c>
      <c r="J48">
        <f>IF($B$1+7&gt;90,I48,(I48+IF($B$1+7&lt;=$B48,12*$B$7,-12*$B$6*(1+$B$4)^7))*IF(I48+IF($B$1+7&lt;=$B48,12*$B$7,-12*$B$6*(1+$B$4)^7)&gt;0,1+$B$3,1))</f>
        <v/>
      </c>
      <c r="K48">
        <f>IF($B$1+8&gt;90,J48,(J48+IF($B$1+8&lt;=$B48,12*$B$7,-12*$B$6*(1+$B$4)^8))*IF(J48+IF($B$1+8&lt;=$B48,12*$B$7,-12*$B$6*(1+$B$4)^8)&gt;0,1+$B$3,1))</f>
        <v/>
      </c>
      <c r="L48">
        <f>IF($B$1+9&gt;90,K48,(K48+IF($B$1+9&lt;=$B48,12*$B$7,-12*$B$6*(1+$B$4)^9))*IF(K48+IF($B$1+9&lt;=$B48,12*$B$7,-12*$B$6*(1+$B$4)^9)&gt;0,1+$B$3,1))</f>
        <v/>
      </c>
      <c r="M48">
        <f>IF($B$1+10&gt;90,L48,(L48+IF($B$1+10&lt;=$B48,12*$B$7,-12*$B$6*(1+$B$4)^10))*IF(L48+IF($B$1+10&lt;=$B48,12*$B$7,-12*$B$6*(1+$B$4)^10)&gt;0,1+$B$3,1))</f>
        <v/>
      </c>
      <c r="N48">
        <f>IF($B$1+11&gt;90,M48,(M48+IF($B$1+11&lt;=$B48,12*$B$7,-12*$B$6*(1+$B$4)^11))*IF(M48+IF($B$1+11&lt;=$B48,12*$B$7,-12*$B$6*(1+$B$4)^11)&gt;0,1+$B$3,1))</f>
        <v/>
      </c>
      <c r="O48">
        <f>IF($B$1+12&gt;90,N48,(N48+IF($B$1+12&lt;=$B48,12*$B$7,-12*$B$6*(1+$B$4)^12))*IF(N48+IF($B$1+12&lt;=$B48,12*$B$7,-12*$B$6*(1+$B$4)^12)&gt;0,1+$B$3,1))</f>
        <v/>
      </c>
      <c r="P48">
        <f>IF($B$1+13&gt;90,O48,(O48+IF($B$1+13&lt;=$B48,12*$B$7,-12*$B$6*(1+$B$4)^13))*IF(O48+IF($B$1+13&lt;=$B48,12*$B$7,-12*$B$6*(1+$B$4)^13)&gt;0,1+$B$3,1))</f>
        <v/>
      </c>
      <c r="Q48">
        <f>IF($B$1+14&gt;90,P48,(P48+IF($B$1+14&lt;=$B48,12*$B$7,-12*$B$6*(1+$B$4)^14))*IF(P48+IF($B$1+14&lt;=$B48,12*$B$7,-12*$B$6*(1+$B$4)^14)&gt;0,1+$B$3,1))</f>
        <v/>
      </c>
      <c r="R48">
        <f>IF($B$1+15&gt;90,Q48,(Q48+IF($B$1+15&lt;=$B48,12*$B$7,-12*$B$6*(1+$B$4)^15))*IF(Q48+IF($B$1+15&lt;=$B48,12*$B$7,-12*$B$6*(1+$B$4)^15)&gt;0,1+$B$3,1))</f>
        <v/>
      </c>
      <c r="S48">
        <f>IF($B$1+16&gt;90,R48,(R48+IF($B$1+16&lt;=$B48,12*$B$7,-12*$B$6*(1+$B$4)^16))*IF(R48+IF($B$1+16&lt;=$B48,12*$B$7,-12*$B$6*(1+$B$4)^16)&gt;0,1+$B$3,1))</f>
        <v/>
      </c>
      <c r="T48">
        <f>IF($B$1+17&gt;90,S48,(S48+IF($B$1+17&lt;=$B48,12*$B$7,-12*$B$6*(1+$B$4)^17))*IF(S48+IF($B$1+17&lt;=$B48,12*$B$7,-12*$B$6*(1+$B$4)^17)&gt;0,1+$B$3,1))</f>
        <v/>
      </c>
      <c r="U48">
        <f>IF($B$1+18&gt;90,T48,(T48+IF($B$1+18&lt;=$B48,12*$B$7,-12*$B$6*(1+$B$4)^18))*IF(T48+IF($B$1+18&lt;=$B48,12*$B$7,-12*$B$6*(1+$B$4)^18)&gt;0,1+$B$3,1))</f>
        <v/>
      </c>
      <c r="V48">
        <f>IF($B$1+19&gt;90,U48,(U48+IF($B$1+19&lt;=$B48,12*$B$7,-12*$B$6*(1+$B$4)^19))*IF(U48+IF($B$1+19&lt;=$B48,12*$B$7,-12*$B$6*(1+$B$4)^19)&gt;0,1+$B$3,1))</f>
        <v/>
      </c>
      <c r="W48">
        <f>IF($B$1+20&gt;90,V48,(V48+IF($B$1+20&lt;=$B48,12*$B$7,-12*$B$6*(1+$B$4)^20))*IF(V48+IF($B$1+20&lt;=$B48,12*$B$7,-12*$B$6*(1+$B$4)^20)&gt;0,1+$B$3,1))</f>
        <v/>
      </c>
      <c r="X48">
        <f>IF($B$1+21&gt;90,W48,(W48+IF($B$1+21&lt;=$B48,12*$B$7,-12*$B$6*(1+$B$4)^21))*IF(W48+IF($B$1+21&lt;=$B48,12*$B$7,-12*$B$6*(1+$B$4)^21)&gt;0,1+$B$3,1))</f>
        <v/>
      </c>
      <c r="Y48">
        <f>IF($B$1+22&gt;90,X48,(X48+IF($B$1+22&lt;=$B48,12*$B$7,-12*$B$6*(1+$B$4)^22))*IF(X48+IF($B$1+22&lt;=$B48,12*$B$7,-12*$B$6*(1+$B$4)^22)&gt;0,1+$B$3,1))</f>
        <v/>
      </c>
      <c r="Z48">
        <f>IF($B$1+23&gt;90,Y48,(Y48+IF($B$1+23&lt;=$B48,12*$B$7,-12*$B$6*(1+$B$4)^23))*IF(Y48+IF($B$1+23&lt;=$B48,12*$B$7,-12*$B$6*(1+$B$4)^23)&gt;0,1+$B$3,1))</f>
        <v/>
      </c>
      <c r="AA48">
        <f>IF($B$1+24&gt;90,Z48,(Z48+IF($B$1+24&lt;=$B48,12*$B$7,-12*$B$6*(1+$B$4)^24))*IF(Z48+IF($B$1+24&lt;=$B48,12*$B$7,-12*$B$6*(1+$B$4)^24)&gt;0,1+$B$3,1))</f>
        <v/>
      </c>
      <c r="AB48">
        <f>IF($B$1+25&gt;90,AA48,(AA48+IF($B$1+25&lt;=$B48,12*$B$7,-12*$B$6*(1+$B$4)^25))*IF(AA48+IF($B$1+25&lt;=$B48,12*$B$7,-12*$B$6*(1+$B$4)^25)&gt;0,1+$B$3,1))</f>
        <v/>
      </c>
      <c r="AC48">
        <f>IF($B$1+26&gt;90,AB48,(AB48+IF($B$1+26&lt;=$B48,12*$B$7,-12*$B$6*(1+$B$4)^26))*IF(AB48+IF($B$1+26&lt;=$B48,12*$B$7,-12*$B$6*(1+$B$4)^26)&gt;0,1+$B$3,1))</f>
        <v/>
      </c>
      <c r="AD48">
        <f>IF($B$1+27&gt;90,AC48,(AC48+IF($B$1+27&lt;=$B48,12*$B$7,-12*$B$6*(1+$B$4)^27))*IF(AC48+IF($B$1+27&lt;=$B48,12*$B$7,-12*$B$6*(1+$B$4)^27)&gt;0,1+$B$3,1))</f>
        <v/>
      </c>
      <c r="AE48">
        <f>IF($B$1+28&gt;90,AD48,(AD48+IF($B$1+28&lt;=$B48,12*$B$7,-12*$B$6*(1+$B$4)^28))*IF(AD48+IF($B$1+28&lt;=$B48,12*$B$7,-12*$B$6*(1+$B$4)^28)&gt;0,1+$B$3,1))</f>
        <v/>
      </c>
      <c r="AF48">
        <f>IF($B$1+29&gt;90,AE48,(AE48+IF($B$1+29&lt;=$B48,12*$B$7,-12*$B$6*(1+$B$4)^29))*IF(AE48+IF($B$1+29&lt;=$B48,12*$B$7,-12*$B$6*(1+$B$4)^29)&gt;0,1+$B$3,1))</f>
        <v/>
      </c>
      <c r="AG48">
        <f>IF($B$1+30&gt;90,AF48,(AF48+IF($B$1+30&lt;=$B48,12*$B$7,-12*$B$6*(1+$B$4)^30))*IF(AF48+IF($B$1+30&lt;=$B48,12*$B$7,-12*$B$6*(1+$B$4)^30)&gt;0,1+$B$3,1))</f>
        <v/>
      </c>
      <c r="AH48">
        <f>IF($B$1+31&gt;90,AG48,(AG48+IF($B$1+31&lt;=$B48,12*$B$7,-12*$B$6*(1+$B$4)^31))*IF(AG48+IF($B$1+31&lt;=$B48,12*$B$7,-12*$B$6*(1+$B$4)^31)&gt;0,1+$B$3,1))</f>
        <v/>
      </c>
      <c r="AI48">
        <f>IF($B$1+32&gt;90,AH48,(AH48+IF($B$1+32&lt;=$B48,12*$B$7,-12*$B$6*(1+$B$4)^32))*IF(AH48+IF($B$1+32&lt;=$B48,12*$B$7,-12*$B$6*(1+$B$4)^32)&gt;0,1+$B$3,1))</f>
        <v/>
      </c>
      <c r="AJ48">
        <f>IF($B$1+33&gt;90,AI48,(AI48+IF($B$1+33&lt;=$B48,12*$B$7,-12*$B$6*(1+$B$4)^33))*IF(AI48+IF($B$1+33&lt;=$B48,12*$B$7,-12*$B$6*(1+$B$4)^33)&gt;0,1+$B$3,1))</f>
        <v/>
      </c>
      <c r="AK48">
        <f>IF($B$1+34&gt;90,AJ48,(AJ48+IF($B$1+34&lt;=$B48,12*$B$7,-12*$B$6*(1+$B$4)^34))*IF(AJ48+IF($B$1+34&lt;=$B48,12*$B$7,-12*$B$6*(1+$B$4)^34)&gt;0,1+$B$3,1))</f>
        <v/>
      </c>
      <c r="AL48">
        <f>IF($B$1+35&gt;90,AK48,(AK48+IF($B$1+35&lt;=$B48,12*$B$7,-12*$B$6*(1+$B$4)^35))*IF(AK48+IF($B$1+35&lt;=$B48,12*$B$7,-12*$B$6*(1+$B$4)^35)&gt;0,1+$B$3,1))</f>
        <v/>
      </c>
      <c r="AM48">
        <f>IF($B$1+36&gt;90,AL48,(AL48+IF($B$1+36&lt;=$B48,12*$B$7,-12*$B$6*(1+$B$4)^36))*IF(AL48+IF($B$1+36&lt;=$B48,12*$B$7,-12*$B$6*(1+$B$4)^36)&gt;0,1+$B$3,1))</f>
        <v/>
      </c>
      <c r="AN48">
        <f>IF($B$1+37&gt;90,AM48,(AM48+IF($B$1+37&lt;=$B48,12*$B$7,-12*$B$6*(1+$B$4)^37))*IF(AM48+IF($B$1+37&lt;=$B48,12*$B$7,-12*$B$6*(1+$B$4)^37)&gt;0,1+$B$3,1))</f>
        <v/>
      </c>
      <c r="AO48">
        <f>IF($B$1+38&gt;90,AN48,(AN48+IF($B$1+38&lt;=$B48,12*$B$7,-12*$B$6*(1+$B$4)^38))*IF(AN48+IF($B$1+38&lt;=$B48,12*$B$7,-12*$B$6*(1+$B$4)^38)&gt;0,1+$B$3,1))</f>
        <v/>
      </c>
      <c r="AP48">
        <f>IF($B$1+39&gt;90,AO48,(AO48+IF($B$1+39&lt;=$B48,12*$B$7,-12*$B$6*(1+$B$4)^39))*IF(AO48+IF($B$1+39&lt;=$B48,12*$B$7,-12*$B$6*(1+$B$4)^39)&gt;0,1+$B$3,1))</f>
        <v/>
      </c>
      <c r="AQ48">
        <f>IF($B$1+40&gt;90,AP48,(AP48+IF($B$1+40&lt;=$B48,12*$B$7,-12*$B$6*(1+$B$4)^40))*IF(AP48+IF($B$1+40&lt;=$B48,12*$B$7,-12*$B$6*(1+$B$4)^40)&gt;0,1+$B$3,1))</f>
        <v/>
      </c>
      <c r="AR48">
        <f>IF($B$1+41&gt;90,AQ48,(AQ48+IF($B$1+41&lt;=$B48,12*$B$7,-12*$B$6*(1+$B$4)^41))*IF(AQ48+IF($B$1+41&lt;=$B48,12*$B$7,-12*$B$6*(1+$B$4)^41)&gt;0,1+$B$3,1))</f>
        <v/>
      </c>
      <c r="AS48">
        <f>IF($B$1+42&gt;90,AR48,(AR48+IF($B$1+42&lt;=$B48,12*$B$7,-12*$B$6*(1+$B$4)^42))*IF(AR48+IF($B$1+42&lt;=$B48,12*$B$7,-12*$B$6*(1+$B$4)^42)&gt;0,1+$B$3,1))</f>
        <v/>
      </c>
      <c r="AT48">
        <f>IF($B$1+43&gt;90,AS48,(AS48+IF($B$1+43&lt;=$B48,12*$B$7,-12*$B$6*(1+$B$4)^43))*IF(AS48+IF($B$1+43&lt;=$B48,12*$B$7,-12*$B$6*(1+$B$4)^43)&gt;0,1+$B$3,1))</f>
        <v/>
      </c>
      <c r="AU48">
        <f>IF($B$1+44&gt;90,AT48,(AT48+IF($B$1+44&lt;=$B48,12*$B$7,-12*$B$6*(1+$B$4)^44))*IF(AT48+IF($B$1+44&lt;=$B48,12*$B$7,-12*$B$6*(1+$B$4)^44)&gt;0,1+$B$3,1))</f>
        <v/>
      </c>
      <c r="AV48">
        <f>IF($B$1+45&gt;90,AU48,(AU48+IF($B$1+45&lt;=$B48,12*$B$7,-12*$B$6*(1+$B$4)^45))*IF(AU48+IF($B$1+45&lt;=$B48,12*$B$7,-12*$B$6*(1+$B$4)^45)&gt;0,1+$B$3,1))</f>
        <v/>
      </c>
      <c r="AW48">
        <f>IF($B$1+46&gt;90,AV48,(AV48+IF($B$1+46&lt;=$B48,12*$B$7,-12*$B$6*(1+$B$4)^46))*IF(AV48+IF($B$1+46&lt;=$B48,12*$B$7,-12*$B$6*(1+$B$4)^46)&gt;0,1+$B$3,1))</f>
        <v/>
      </c>
      <c r="AX48">
        <f>IF($B$1+47&gt;90,AW48,(AW48+IF($B$1+47&lt;=$B48,12*$B$7,-12*$B$6*(1+$B$4)^47))*IF(AW48+IF($B$1+47&lt;=$B48,12*$B$7,-12*$B$6*(1+$B$4)^47)&gt;0,1+$B$3,1))</f>
        <v/>
      </c>
      <c r="AY48">
        <f>IF($B$1+48&gt;90,AX48,(AX48+IF($B$1+48&lt;=$B48,12*$B$7,-12*$B$6*(1+$B$4)^48))*IF(AX48+IF($B$1+48&lt;=$B48,12*$B$7,-12*$B$6*(1+$B$4)^48)&gt;0,1+$B$3,1))</f>
        <v/>
      </c>
      <c r="AZ48">
        <f>IF($B$1+49&gt;90,AY48,(AY48+IF($B$1+49&lt;=$B48,12*$B$7,-12*$B$6*(1+$B$4)^49))*IF(AY48+IF($B$1+49&lt;=$B48,12*$B$7,-12*$B$6*(1+$B$4)^49)&gt;0,1+$B$3,1))</f>
        <v/>
      </c>
      <c r="BA48">
        <f>IF($B$1+50&gt;90,AZ48,(AZ48+IF($B$1+50&lt;=$B48,12*$B$7,-12*$B$6*(1+$B$4)^50))*IF(AZ48+IF($B$1+50&lt;=$B48,12*$B$7,-12*$B$6*(1+$B$4)^50)&gt;0,1+$B$3,1))</f>
        <v/>
      </c>
      <c r="BB48">
        <f>IF($B$1+51&gt;90,BA48,(BA48+IF($B$1+51&lt;=$B48,12*$B$7,-12*$B$6*(1+$B$4)^51))*IF(BA48+IF($B$1+51&lt;=$B48,12*$B$7,-12*$B$6*(1+$B$4)^51)&gt;0,1+$B$3,1))</f>
        <v/>
      </c>
      <c r="BC48">
        <f>IF($B$1+52&gt;90,BB48,(BB48+IF($B$1+52&lt;=$B48,12*$B$7,-12*$B$6*(1+$B$4)^52))*IF(BB48+IF($B$1+52&lt;=$B48,12*$B$7,-12*$B$6*(1+$B$4)^52)&gt;0,1+$B$3,1))</f>
        <v/>
      </c>
      <c r="BD48">
        <f>IF($B$1+53&gt;90,BC48,(BC48+IF($B$1+53&lt;=$B48,12*$B$7,-12*$B$6*(1+$B$4)^53))*IF(BC48+IF($B$1+53&lt;=$B48,12*$B$7,-12*$B$6*(1+$B$4)^53)&gt;0,1+$B$3,1))</f>
        <v/>
      </c>
      <c r="BE48">
        <f>IF($B$1+54&gt;90,BD48,(BD48+IF($B$1+54&lt;=$B48,12*$B$7,-12*$B$6*(1+$B$4)^54))*IF(BD48+IF($B$1+54&lt;=$B48,12*$B$7,-12*$B$6*(1+$B$4)^54)&gt;0,1+$B$3,1))</f>
        <v/>
      </c>
      <c r="BF48">
        <f>IF($B$1+55&gt;90,BE48,(BE48+IF($B$1+55&lt;=$B48,12*$B$7,-12*$B$6*(1+$B$4)^55))*IF(BE48+IF($B$1+55&lt;=$B48,12*$B$7,-12*$B$6*(1+$B$4)^55)&gt;0,1+$B$3,1))</f>
        <v/>
      </c>
      <c r="BG48">
        <f>IF($B$1+56&gt;90,BF48,(BF48+IF($B$1+56&lt;=$B48,12*$B$7,-12*$B$6*(1+$B$4)^56))*IF(BF48+IF($B$1+56&lt;=$B48,12*$B$7,-12*$B$6*(1+$B$4)^56)&gt;0,1+$B$3,1))</f>
        <v/>
      </c>
      <c r="BH48">
        <f>IF($B$1+57&gt;90,BG48,(BG48+IF($B$1+57&lt;=$B48,12*$B$7,-12*$B$6*(1+$B$4)^57))*IF(BG48+IF($B$1+57&lt;=$B48,12*$B$7,-12*$B$6*(1+$B$4)^57)&gt;0,1+$B$3,1))</f>
        <v/>
      </c>
      <c r="BI48">
        <f>IF($B$1+58&gt;90,BH48,(BH48+IF($B$1+58&lt;=$B48,12*$B$7,-12*$B$6*(1+$B$4)^58))*IF(BH48+IF($B$1+58&lt;=$B48,12*$B$7,-12*$B$6*(1+$B$4)^58)&gt;0,1+$B$3,1))</f>
        <v/>
      </c>
      <c r="BJ48">
        <f>IF($B$1+59&gt;90,BI48,(BI48+IF($B$1+59&lt;=$B48,12*$B$7,-12*$B$6*(1+$B$4)^59))*IF(BI48+IF($B$1+59&lt;=$B48,12*$B$7,-12*$B$6*(1+$B$4)^59)&gt;0,1+$B$3,1))</f>
        <v/>
      </c>
      <c r="BK48">
        <f>IF($B$1+60&gt;90,BJ48,(BJ48+IF($B$1+60&lt;=$B48,12*$B$7,-12*$B$6*(1+$B$4)^60))*IF(BJ48+IF($B$1+60&lt;=$B48,12*$B$7,-12*$B$6*(1+$B$4)^60)&gt;0,1+$B$3,1))</f>
        <v/>
      </c>
      <c r="BL48">
        <f>IF($B$1+61&gt;90,BK48,(BK48+IF($B$1+61&lt;=$B48,12*$B$7,-12*$B$6*(1+$B$4)^61))*IF(BK48+IF($B$1+61&lt;=$B48,12*$B$7,-12*$B$6*(1+$B$4)^61)&gt;0,1+$B$3,1))</f>
        <v/>
      </c>
      <c r="BM48">
        <f>IF($B$1+62&gt;90,BL48,(BL48+IF($B$1+62&lt;=$B48,12*$B$7,-12*$B$6*(1+$B$4)^62))*IF(BL48+IF($B$1+62&lt;=$B48,12*$B$7,-12*$B$6*(1+$B$4)^62)&gt;0,1+$B$3,1))</f>
        <v/>
      </c>
      <c r="BN48">
        <f>IF($B$1+63&gt;90,BM48,(BM48+IF($B$1+63&lt;=$B48,12*$B$7,-12*$B$6*(1+$B$4)^63))*IF(BM48+IF($B$1+63&lt;=$B48,12*$B$7,-12*$B$6*(1+$B$4)^63)&gt;0,1+$B$3,1))</f>
        <v/>
      </c>
      <c r="BO48">
        <f>IF($B$1+64&gt;90,BN48,(BN48+IF($B$1+64&lt;=$B48,12*$B$7,-12*$B$6*(1+$B$4)^64))*IF(BN48+IF($B$1+64&lt;=$B48,12*$B$7,-12*$B$6*(1+$B$4)^64)&gt;0,1+$B$3,1))</f>
        <v/>
      </c>
      <c r="BP48">
        <f>IF($B$1+65&gt;90,BO48,(BO48+IF($B$1+65&lt;=$B48,12*$B$7,-12*$B$6*(1+$B$4)^65))*IF(BO48+IF($B$1+65&lt;=$B48,12*$B$7,-12*$B$6*(1+$B$4)^65)&gt;0,1+$B$3,1))</f>
        <v/>
      </c>
      <c r="BQ48">
        <f>IF($B$1+66&gt;90,BP48,(BP48+IF($B$1+66&lt;=$B48,12*$B$7,-12*$B$6*(1+$B$4)^66))*IF(BP48+IF($B$1+66&lt;=$B48,12*$B$7,-12*$B$6*(1+$B$4)^66)&gt;0,1+$B$3,1))</f>
        <v/>
      </c>
      <c r="BR48">
        <f>IF($B$1+67&gt;90,BQ48,(BQ48+IF($B$1+67&lt;=$B48,12*$B$7,-12*$B$6*(1+$B$4)^67))*IF(BQ48+IF($B$1+67&lt;=$B48,12*$B$7,-12*$B$6*(1+$B$4)^67)&gt;0,1+$B$3,1))</f>
        <v/>
      </c>
      <c r="BS48">
        <f>IF($B$1+68&gt;90,BR48,(BR48+IF($B$1+68&lt;=$B48,12*$B$7,-12*$B$6*(1+$B$4)^68))*IF(BR48+IF($B$1+68&lt;=$B48,12*$B$7,-12*$B$6*(1+$B$4)^68)&gt;0,1+$B$3,1))</f>
        <v/>
      </c>
      <c r="BT48">
        <f>IF($B$1+69&gt;90,BS48,(BS48+IF($B$1+69&lt;=$B48,12*$B$7,-12*$B$6*(1+$B$4)^69))*IF(BS48+IF($B$1+69&lt;=$B48,12*$B$7,-12*$B$6*(1+$B$4)^69)&gt;0,1+$B$3,1))</f>
        <v/>
      </c>
      <c r="BU48">
        <f>IF($B$1+70&gt;90,BT48,(BT48+IF($B$1+70&lt;=$B48,12*$B$7,-12*$B$6*(1+$B$4)^70))*IF(BT48+IF($B$1+70&lt;=$B48,12*$B$7,-12*$B$6*(1+$B$4)^70)&gt;0,1+$B$3,1))</f>
        <v/>
      </c>
      <c r="BV48">
        <f>BU48</f>
        <v/>
      </c>
      <c r="BW48">
        <f>IF(AND($B48&lt;=70,BV48&gt;0),$B48,999)</f>
        <v/>
      </c>
      <c r="CB48" t="n">
        <v>47</v>
      </c>
      <c r="CC48">
        <f>IF($B$1+CB48&gt;90,0,12*$B$6*(1+$B$4)^CB48/(1+$B$3)^(CB48-1))</f>
        <v/>
      </c>
      <c r="CE48">
        <f>IF($B$1+46&gt;90,NA(),$B$1+46)</f>
        <v/>
      </c>
      <c r="CF48">
        <f>IF(OR($B$21="",$B$1+46&gt;90),NA(),INDEX($C$40:$BU$90,$B$21-$B$1+1,47))</f>
        <v/>
      </c>
    </row>
    <row r="49">
      <c r="A49" t="n">
        <v>9</v>
      </c>
      <c r="B49">
        <f>$B$1+9</f>
        <v/>
      </c>
      <c r="C49">
        <f>$B$2</f>
        <v/>
      </c>
      <c r="D49">
        <f>IF($B$1+1&gt;90,C49,(C49+IF($B$1+1&lt;=$B49,12*$B$7,-12*$B$6*(1+$B$4)^1))*IF(C49+IF($B$1+1&lt;=$B49,12*$B$7,-12*$B$6*(1+$B$4)^1)&gt;0,1+$B$3,1))</f>
        <v/>
      </c>
      <c r="E49">
        <f>IF($B$1+2&gt;90,D49,(D49+IF($B$1+2&lt;=$B49,12*$B$7,-12*$B$6*(1+$B$4)^2))*IF(D49+IF($B$1+2&lt;=$B49,12*$B$7,-12*$B$6*(1+$B$4)^2)&gt;0,1+$B$3,1))</f>
        <v/>
      </c>
      <c r="F49">
        <f>IF($B$1+3&gt;90,E49,(E49+IF($B$1+3&lt;=$B49,12*$B$7,-12*$B$6*(1+$B$4)^3))*IF(E49+IF($B$1+3&lt;=$B49,12*$B$7,-12*$B$6*(1+$B$4)^3)&gt;0,1+$B$3,1))</f>
        <v/>
      </c>
      <c r="G49">
        <f>IF($B$1+4&gt;90,F49,(F49+IF($B$1+4&lt;=$B49,12*$B$7,-12*$B$6*(1+$B$4)^4))*IF(F49+IF($B$1+4&lt;=$B49,12*$B$7,-12*$B$6*(1+$B$4)^4)&gt;0,1+$B$3,1))</f>
        <v/>
      </c>
      <c r="H49">
        <f>IF($B$1+5&gt;90,G49,(G49+IF($B$1+5&lt;=$B49,12*$B$7,-12*$B$6*(1+$B$4)^5))*IF(G49+IF($B$1+5&lt;=$B49,12*$B$7,-12*$B$6*(1+$B$4)^5)&gt;0,1+$B$3,1))</f>
        <v/>
      </c>
      <c r="I49">
        <f>IF($B$1+6&gt;90,H49,(H49+IF($B$1+6&lt;=$B49,12*$B$7,-12*$B$6*(1+$B$4)^6))*IF(H49+IF($B$1+6&lt;=$B49,12*$B$7,-12*$B$6*(1+$B$4)^6)&gt;0,1+$B$3,1))</f>
        <v/>
      </c>
      <c r="J49">
        <f>IF($B$1+7&gt;90,I49,(I49+IF($B$1+7&lt;=$B49,12*$B$7,-12*$B$6*(1+$B$4)^7))*IF(I49+IF($B$1+7&lt;=$B49,12*$B$7,-12*$B$6*(1+$B$4)^7)&gt;0,1+$B$3,1))</f>
        <v/>
      </c>
      <c r="K49">
        <f>IF($B$1+8&gt;90,J49,(J49+IF($B$1+8&lt;=$B49,12*$B$7,-12*$B$6*(1+$B$4)^8))*IF(J49+IF($B$1+8&lt;=$B49,12*$B$7,-12*$B$6*(1+$B$4)^8)&gt;0,1+$B$3,1))</f>
        <v/>
      </c>
      <c r="L49">
        <f>IF($B$1+9&gt;90,K49,(K49+IF($B$1+9&lt;=$B49,12*$B$7,-12*$B$6*(1+$B$4)^9))*IF(K49+IF($B$1+9&lt;=$B49,12*$B$7,-12*$B$6*(1+$B$4)^9)&gt;0,1+$B$3,1))</f>
        <v/>
      </c>
      <c r="M49">
        <f>IF($B$1+10&gt;90,L49,(L49+IF($B$1+10&lt;=$B49,12*$B$7,-12*$B$6*(1+$B$4)^10))*IF(L49+IF($B$1+10&lt;=$B49,12*$B$7,-12*$B$6*(1+$B$4)^10)&gt;0,1+$B$3,1))</f>
        <v/>
      </c>
      <c r="N49">
        <f>IF($B$1+11&gt;90,M49,(M49+IF($B$1+11&lt;=$B49,12*$B$7,-12*$B$6*(1+$B$4)^11))*IF(M49+IF($B$1+11&lt;=$B49,12*$B$7,-12*$B$6*(1+$B$4)^11)&gt;0,1+$B$3,1))</f>
        <v/>
      </c>
      <c r="O49">
        <f>IF($B$1+12&gt;90,N49,(N49+IF($B$1+12&lt;=$B49,12*$B$7,-12*$B$6*(1+$B$4)^12))*IF(N49+IF($B$1+12&lt;=$B49,12*$B$7,-12*$B$6*(1+$B$4)^12)&gt;0,1+$B$3,1))</f>
        <v/>
      </c>
      <c r="P49">
        <f>IF($B$1+13&gt;90,O49,(O49+IF($B$1+13&lt;=$B49,12*$B$7,-12*$B$6*(1+$B$4)^13))*IF(O49+IF($B$1+13&lt;=$B49,12*$B$7,-12*$B$6*(1+$B$4)^13)&gt;0,1+$B$3,1))</f>
        <v/>
      </c>
      <c r="Q49">
        <f>IF($B$1+14&gt;90,P49,(P49+IF($B$1+14&lt;=$B49,12*$B$7,-12*$B$6*(1+$B$4)^14))*IF(P49+IF($B$1+14&lt;=$B49,12*$B$7,-12*$B$6*(1+$B$4)^14)&gt;0,1+$B$3,1))</f>
        <v/>
      </c>
      <c r="R49">
        <f>IF($B$1+15&gt;90,Q49,(Q49+IF($B$1+15&lt;=$B49,12*$B$7,-12*$B$6*(1+$B$4)^15))*IF(Q49+IF($B$1+15&lt;=$B49,12*$B$7,-12*$B$6*(1+$B$4)^15)&gt;0,1+$B$3,1))</f>
        <v/>
      </c>
      <c r="S49">
        <f>IF($B$1+16&gt;90,R49,(R49+IF($B$1+16&lt;=$B49,12*$B$7,-12*$B$6*(1+$B$4)^16))*IF(R49+IF($B$1+16&lt;=$B49,12*$B$7,-12*$B$6*(1+$B$4)^16)&gt;0,1+$B$3,1))</f>
        <v/>
      </c>
      <c r="T49">
        <f>IF($B$1+17&gt;90,S49,(S49+IF($B$1+17&lt;=$B49,12*$B$7,-12*$B$6*(1+$B$4)^17))*IF(S49+IF($B$1+17&lt;=$B49,12*$B$7,-12*$B$6*(1+$B$4)^17)&gt;0,1+$B$3,1))</f>
        <v/>
      </c>
      <c r="U49">
        <f>IF($B$1+18&gt;90,T49,(T49+IF($B$1+18&lt;=$B49,12*$B$7,-12*$B$6*(1+$B$4)^18))*IF(T49+IF($B$1+18&lt;=$B49,12*$B$7,-12*$B$6*(1+$B$4)^18)&gt;0,1+$B$3,1))</f>
        <v/>
      </c>
      <c r="V49">
        <f>IF($B$1+19&gt;90,U49,(U49+IF($B$1+19&lt;=$B49,12*$B$7,-12*$B$6*(1+$B$4)^19))*IF(U49+IF($B$1+19&lt;=$B49,12*$B$7,-12*$B$6*(1+$B$4)^19)&gt;0,1+$B$3,1))</f>
        <v/>
      </c>
      <c r="W49">
        <f>IF($B$1+20&gt;90,V49,(V49+IF($B$1+20&lt;=$B49,12*$B$7,-12*$B$6*(1+$B$4)^20))*IF(V49+IF($B$1+20&lt;=$B49,12*$B$7,-12*$B$6*(1+$B$4)^20)&gt;0,1+$B$3,1))</f>
        <v/>
      </c>
      <c r="X49">
        <f>IF($B$1+21&gt;90,W49,(W49+IF($B$1+21&lt;=$B49,12*$B$7,-12*$B$6*(1+$B$4)^21))*IF(W49+IF($B$1+21&lt;=$B49,12*$B$7,-12*$B$6*(1+$B$4)^21)&gt;0,1+$B$3,1))</f>
        <v/>
      </c>
      <c r="Y49">
        <f>IF($B$1+22&gt;90,X49,(X49+IF($B$1+22&lt;=$B49,12*$B$7,-12*$B$6*(1+$B$4)^22))*IF(X49+IF($B$1+22&lt;=$B49,12*$B$7,-12*$B$6*(1+$B$4)^22)&gt;0,1+$B$3,1))</f>
        <v/>
      </c>
      <c r="Z49">
        <f>IF($B$1+23&gt;90,Y49,(Y49+IF($B$1+23&lt;=$B49,12*$B$7,-12*$B$6*(1+$B$4)^23))*IF(Y49+IF($B$1+23&lt;=$B49,12*$B$7,-12*$B$6*(1+$B$4)^23)&gt;0,1+$B$3,1))</f>
        <v/>
      </c>
      <c r="AA49">
        <f>IF($B$1+24&gt;90,Z49,(Z49+IF($B$1+24&lt;=$B49,12*$B$7,-12*$B$6*(1+$B$4)^24))*IF(Z49+IF($B$1+24&lt;=$B49,12*$B$7,-12*$B$6*(1+$B$4)^24)&gt;0,1+$B$3,1))</f>
        <v/>
      </c>
      <c r="AB49">
        <f>IF($B$1+25&gt;90,AA49,(AA49+IF($B$1+25&lt;=$B49,12*$B$7,-12*$B$6*(1+$B$4)^25))*IF(AA49+IF($B$1+25&lt;=$B49,12*$B$7,-12*$B$6*(1+$B$4)^25)&gt;0,1+$B$3,1))</f>
        <v/>
      </c>
      <c r="AC49">
        <f>IF($B$1+26&gt;90,AB49,(AB49+IF($B$1+26&lt;=$B49,12*$B$7,-12*$B$6*(1+$B$4)^26))*IF(AB49+IF($B$1+26&lt;=$B49,12*$B$7,-12*$B$6*(1+$B$4)^26)&gt;0,1+$B$3,1))</f>
        <v/>
      </c>
      <c r="AD49">
        <f>IF($B$1+27&gt;90,AC49,(AC49+IF($B$1+27&lt;=$B49,12*$B$7,-12*$B$6*(1+$B$4)^27))*IF(AC49+IF($B$1+27&lt;=$B49,12*$B$7,-12*$B$6*(1+$B$4)^27)&gt;0,1+$B$3,1))</f>
        <v/>
      </c>
      <c r="AE49">
        <f>IF($B$1+28&gt;90,AD49,(AD49+IF($B$1+28&lt;=$B49,12*$B$7,-12*$B$6*(1+$B$4)^28))*IF(AD49+IF($B$1+28&lt;=$B49,12*$B$7,-12*$B$6*(1+$B$4)^28)&gt;0,1+$B$3,1))</f>
        <v/>
      </c>
      <c r="AF49">
        <f>IF($B$1+29&gt;90,AE49,(AE49+IF($B$1+29&lt;=$B49,12*$B$7,-12*$B$6*(1+$B$4)^29))*IF(AE49+IF($B$1+29&lt;=$B49,12*$B$7,-12*$B$6*(1+$B$4)^29)&gt;0,1+$B$3,1))</f>
        <v/>
      </c>
      <c r="AG49">
        <f>IF($B$1+30&gt;90,AF49,(AF49+IF($B$1+30&lt;=$B49,12*$B$7,-12*$B$6*(1+$B$4)^30))*IF(AF49+IF($B$1+30&lt;=$B49,12*$B$7,-12*$B$6*(1+$B$4)^30)&gt;0,1+$B$3,1))</f>
        <v/>
      </c>
      <c r="AH49">
        <f>IF($B$1+31&gt;90,AG49,(AG49+IF($B$1+31&lt;=$B49,12*$B$7,-12*$B$6*(1+$B$4)^31))*IF(AG49+IF($B$1+31&lt;=$B49,12*$B$7,-12*$B$6*(1+$B$4)^31)&gt;0,1+$B$3,1))</f>
        <v/>
      </c>
      <c r="AI49">
        <f>IF($B$1+32&gt;90,AH49,(AH49+IF($B$1+32&lt;=$B49,12*$B$7,-12*$B$6*(1+$B$4)^32))*IF(AH49+IF($B$1+32&lt;=$B49,12*$B$7,-12*$B$6*(1+$B$4)^32)&gt;0,1+$B$3,1))</f>
        <v/>
      </c>
      <c r="AJ49">
        <f>IF($B$1+33&gt;90,AI49,(AI49+IF($B$1+33&lt;=$B49,12*$B$7,-12*$B$6*(1+$B$4)^33))*IF(AI49+IF($B$1+33&lt;=$B49,12*$B$7,-12*$B$6*(1+$B$4)^33)&gt;0,1+$B$3,1))</f>
        <v/>
      </c>
      <c r="AK49">
        <f>IF($B$1+34&gt;90,AJ49,(AJ49+IF($B$1+34&lt;=$B49,12*$B$7,-12*$B$6*(1+$B$4)^34))*IF(AJ49+IF($B$1+34&lt;=$B49,12*$B$7,-12*$B$6*(1+$B$4)^34)&gt;0,1+$B$3,1))</f>
        <v/>
      </c>
      <c r="AL49">
        <f>IF($B$1+35&gt;90,AK49,(AK49+IF($B$1+35&lt;=$B49,12*$B$7,-12*$B$6*(1+$B$4)^35))*IF(AK49+IF($B$1+35&lt;=$B49,12*$B$7,-12*$B$6*(1+$B$4)^35)&gt;0,1+$B$3,1))</f>
        <v/>
      </c>
      <c r="AM49">
        <f>IF($B$1+36&gt;90,AL49,(AL49+IF($B$1+36&lt;=$B49,12*$B$7,-12*$B$6*(1+$B$4)^36))*IF(AL49+IF($B$1+36&lt;=$B49,12*$B$7,-12*$B$6*(1+$B$4)^36)&gt;0,1+$B$3,1))</f>
        <v/>
      </c>
      <c r="AN49">
        <f>IF($B$1+37&gt;90,AM49,(AM49+IF($B$1+37&lt;=$B49,12*$B$7,-12*$B$6*(1+$B$4)^37))*IF(AM49+IF($B$1+37&lt;=$B49,12*$B$7,-12*$B$6*(1+$B$4)^37)&gt;0,1+$B$3,1))</f>
        <v/>
      </c>
      <c r="AO49">
        <f>IF($B$1+38&gt;90,AN49,(AN49+IF($B$1+38&lt;=$B49,12*$B$7,-12*$B$6*(1+$B$4)^38))*IF(AN49+IF($B$1+38&lt;=$B49,12*$B$7,-12*$B$6*(1+$B$4)^38)&gt;0,1+$B$3,1))</f>
        <v/>
      </c>
      <c r="AP49">
        <f>IF($B$1+39&gt;90,AO49,(AO49+IF($B$1+39&lt;=$B49,12*$B$7,-12*$B$6*(1+$B$4)^39))*IF(AO49+IF($B$1+39&lt;=$B49,12*$B$7,-12*$B$6*(1+$B$4)^39)&gt;0,1+$B$3,1))</f>
        <v/>
      </c>
      <c r="AQ49">
        <f>IF($B$1+40&gt;90,AP49,(AP49+IF($B$1+40&lt;=$B49,12*$B$7,-12*$B$6*(1+$B$4)^40))*IF(AP49+IF($B$1+40&lt;=$B49,12*$B$7,-12*$B$6*(1+$B$4)^40)&gt;0,1+$B$3,1))</f>
        <v/>
      </c>
      <c r="AR49">
        <f>IF($B$1+41&gt;90,AQ49,(AQ49+IF($B$1+41&lt;=$B49,12*$B$7,-12*$B$6*(1+$B$4)^41))*IF(AQ49+IF($B$1+41&lt;=$B49,12*$B$7,-12*$B$6*(1+$B$4)^41)&gt;0,1+$B$3,1))</f>
        <v/>
      </c>
      <c r="AS49">
        <f>IF($B$1+42&gt;90,AR49,(AR49+IF($B$1+42&lt;=$B49,12*$B$7,-12*$B$6*(1+$B$4)^42))*IF(AR49+IF($B$1+42&lt;=$B49,12*$B$7,-12*$B$6*(1+$B$4)^42)&gt;0,1+$B$3,1))</f>
        <v/>
      </c>
      <c r="AT49">
        <f>IF($B$1+43&gt;90,AS49,(AS49+IF($B$1+43&lt;=$B49,12*$B$7,-12*$B$6*(1+$B$4)^43))*IF(AS49+IF($B$1+43&lt;=$B49,12*$B$7,-12*$B$6*(1+$B$4)^43)&gt;0,1+$B$3,1))</f>
        <v/>
      </c>
      <c r="AU49">
        <f>IF($B$1+44&gt;90,AT49,(AT49+IF($B$1+44&lt;=$B49,12*$B$7,-12*$B$6*(1+$B$4)^44))*IF(AT49+IF($B$1+44&lt;=$B49,12*$B$7,-12*$B$6*(1+$B$4)^44)&gt;0,1+$B$3,1))</f>
        <v/>
      </c>
      <c r="AV49">
        <f>IF($B$1+45&gt;90,AU49,(AU49+IF($B$1+45&lt;=$B49,12*$B$7,-12*$B$6*(1+$B$4)^45))*IF(AU49+IF($B$1+45&lt;=$B49,12*$B$7,-12*$B$6*(1+$B$4)^45)&gt;0,1+$B$3,1))</f>
        <v/>
      </c>
      <c r="AW49">
        <f>IF($B$1+46&gt;90,AV49,(AV49+IF($B$1+46&lt;=$B49,12*$B$7,-12*$B$6*(1+$B$4)^46))*IF(AV49+IF($B$1+46&lt;=$B49,12*$B$7,-12*$B$6*(1+$B$4)^46)&gt;0,1+$B$3,1))</f>
        <v/>
      </c>
      <c r="AX49">
        <f>IF($B$1+47&gt;90,AW49,(AW49+IF($B$1+47&lt;=$B49,12*$B$7,-12*$B$6*(1+$B$4)^47))*IF(AW49+IF($B$1+47&lt;=$B49,12*$B$7,-12*$B$6*(1+$B$4)^47)&gt;0,1+$B$3,1))</f>
        <v/>
      </c>
      <c r="AY49">
        <f>IF($B$1+48&gt;90,AX49,(AX49+IF($B$1+48&lt;=$B49,12*$B$7,-12*$B$6*(1+$B$4)^48))*IF(AX49+IF($B$1+48&lt;=$B49,12*$B$7,-12*$B$6*(1+$B$4)^48)&gt;0,1+$B$3,1))</f>
        <v/>
      </c>
      <c r="AZ49">
        <f>IF($B$1+49&gt;90,AY49,(AY49+IF($B$1+49&lt;=$B49,12*$B$7,-12*$B$6*(1+$B$4)^49))*IF(AY49+IF($B$1+49&lt;=$B49,12*$B$7,-12*$B$6*(1+$B$4)^49)&gt;0,1+$B$3,1))</f>
        <v/>
      </c>
      <c r="BA49">
        <f>IF($B$1+50&gt;90,AZ49,(AZ49+IF($B$1+50&lt;=$B49,12*$B$7,-12*$B$6*(1+$B$4)^50))*IF(AZ49+IF($B$1+50&lt;=$B49,12*$B$7,-12*$B$6*(1+$B$4)^50)&gt;0,1+$B$3,1))</f>
        <v/>
      </c>
      <c r="BB49">
        <f>IF($B$1+51&gt;90,BA49,(BA49+IF($B$1+51&lt;=$B49,12*$B$7,-12*$B$6*(1+$B$4)^51))*IF(BA49+IF($B$1+51&lt;=$B49,12*$B$7,-12*$B$6*(1+$B$4)^51)&gt;0,1+$B$3,1))</f>
        <v/>
      </c>
      <c r="BC49">
        <f>IF($B$1+52&gt;90,BB49,(BB49+IF($B$1+52&lt;=$B49,12*$B$7,-12*$B$6*(1+$B$4)^52))*IF(BB49+IF($B$1+52&lt;=$B49,12*$B$7,-12*$B$6*(1+$B$4)^52)&gt;0,1+$B$3,1))</f>
        <v/>
      </c>
      <c r="BD49">
        <f>IF($B$1+53&gt;90,BC49,(BC49+IF($B$1+53&lt;=$B49,12*$B$7,-12*$B$6*(1+$B$4)^53))*IF(BC49+IF($B$1+53&lt;=$B49,12*$B$7,-12*$B$6*(1+$B$4)^53)&gt;0,1+$B$3,1))</f>
        <v/>
      </c>
      <c r="BE49">
        <f>IF($B$1+54&gt;90,BD49,(BD49+IF($B$1+54&lt;=$B49,12*$B$7,-12*$B$6*(1+$B$4)^54))*IF(BD49+IF($B$1+54&lt;=$B49,12*$B$7,-12*$B$6*(1+$B$4)^54)&gt;0,1+$B$3,1))</f>
        <v/>
      </c>
      <c r="BF49">
        <f>IF($B$1+55&gt;90,BE49,(BE49+IF($B$1+55&lt;=$B49,12*$B$7,-12*$B$6*(1+$B$4)^55))*IF(BE49+IF($B$1+55&lt;=$B49,12*$B$7,-12*$B$6*(1+$B$4)^55)&gt;0,1+$B$3,1))</f>
        <v/>
      </c>
      <c r="BG49">
        <f>IF($B$1+56&gt;90,BF49,(BF49+IF($B$1+56&lt;=$B49,12*$B$7,-12*$B$6*(1+$B$4)^56))*IF(BF49+IF($B$1+56&lt;=$B49,12*$B$7,-12*$B$6*(1+$B$4)^56)&gt;0,1+$B$3,1))</f>
        <v/>
      </c>
      <c r="BH49">
        <f>IF($B$1+57&gt;90,BG49,(BG49+IF($B$1+57&lt;=$B49,12*$B$7,-12*$B$6*(1+$B$4)^57))*IF(BG49+IF($B$1+57&lt;=$B49,12*$B$7,-12*$B$6*(1+$B$4)^57)&gt;0,1+$B$3,1))</f>
        <v/>
      </c>
      <c r="BI49">
        <f>IF($B$1+58&gt;90,BH49,(BH49+IF($B$1+58&lt;=$B49,12*$B$7,-12*$B$6*(1+$B$4)^58))*IF(BH49+IF($B$1+58&lt;=$B49,12*$B$7,-12*$B$6*(1+$B$4)^58)&gt;0,1+$B$3,1))</f>
        <v/>
      </c>
      <c r="BJ49">
        <f>IF($B$1+59&gt;90,BI49,(BI49+IF($B$1+59&lt;=$B49,12*$B$7,-12*$B$6*(1+$B$4)^59))*IF(BI49+IF($B$1+59&lt;=$B49,12*$B$7,-12*$B$6*(1+$B$4)^59)&gt;0,1+$B$3,1))</f>
        <v/>
      </c>
      <c r="BK49">
        <f>IF($B$1+60&gt;90,BJ49,(BJ49+IF($B$1+60&lt;=$B49,12*$B$7,-12*$B$6*(1+$B$4)^60))*IF(BJ49+IF($B$1+60&lt;=$B49,12*$B$7,-12*$B$6*(1+$B$4)^60)&gt;0,1+$B$3,1))</f>
        <v/>
      </c>
      <c r="BL49">
        <f>IF($B$1+61&gt;90,BK49,(BK49+IF($B$1+61&lt;=$B49,12*$B$7,-12*$B$6*(1+$B$4)^61))*IF(BK49+IF($B$1+61&lt;=$B49,12*$B$7,-12*$B$6*(1+$B$4)^61)&gt;0,1+$B$3,1))</f>
        <v/>
      </c>
      <c r="BM49">
        <f>IF($B$1+62&gt;90,BL49,(BL49+IF($B$1+62&lt;=$B49,12*$B$7,-12*$B$6*(1+$B$4)^62))*IF(BL49+IF($B$1+62&lt;=$B49,12*$B$7,-12*$B$6*(1+$B$4)^62)&gt;0,1+$B$3,1))</f>
        <v/>
      </c>
      <c r="BN49">
        <f>IF($B$1+63&gt;90,BM49,(BM49+IF($B$1+63&lt;=$B49,12*$B$7,-12*$B$6*(1+$B$4)^63))*IF(BM49+IF($B$1+63&lt;=$B49,12*$B$7,-12*$B$6*(1+$B$4)^63)&gt;0,1+$B$3,1))</f>
        <v/>
      </c>
      <c r="BO49">
        <f>IF($B$1+64&gt;90,BN49,(BN49+IF($B$1+64&lt;=$B49,12*$B$7,-12*$B$6*(1+$B$4)^64))*IF(BN49+IF($B$1+64&lt;=$B49,12*$B$7,-12*$B$6*(1+$B$4)^64)&gt;0,1+$B$3,1))</f>
        <v/>
      </c>
      <c r="BP49">
        <f>IF($B$1+65&gt;90,BO49,(BO49+IF($B$1+65&lt;=$B49,12*$B$7,-12*$B$6*(1+$B$4)^65))*IF(BO49+IF($B$1+65&lt;=$B49,12*$B$7,-12*$B$6*(1+$B$4)^65)&gt;0,1+$B$3,1))</f>
        <v/>
      </c>
      <c r="BQ49">
        <f>IF($B$1+66&gt;90,BP49,(BP49+IF($B$1+66&lt;=$B49,12*$B$7,-12*$B$6*(1+$B$4)^66))*IF(BP49+IF($B$1+66&lt;=$B49,12*$B$7,-12*$B$6*(1+$B$4)^66)&gt;0,1+$B$3,1))</f>
        <v/>
      </c>
      <c r="BR49">
        <f>IF($B$1+67&gt;90,BQ49,(BQ49+IF($B$1+67&lt;=$B49,12*$B$7,-12*$B$6*(1+$B$4)^67))*IF(BQ49+IF($B$1+67&lt;=$B49,12*$B$7,-12*$B$6*(1+$B$4)^67)&gt;0,1+$B$3,1))</f>
        <v/>
      </c>
      <c r="BS49">
        <f>IF($B$1+68&gt;90,BR49,(BR49+IF($B$1+68&lt;=$B49,12*$B$7,-12*$B$6*(1+$B$4)^68))*IF(BR49+IF($B$1+68&lt;=$B49,12*$B$7,-12*$B$6*(1+$B$4)^68)&gt;0,1+$B$3,1))</f>
        <v/>
      </c>
      <c r="BT49">
        <f>IF($B$1+69&gt;90,BS49,(BS49+IF($B$1+69&lt;=$B49,12*$B$7,-12*$B$6*(1+$B$4)^69))*IF(BS49+IF($B$1+69&lt;=$B49,12*$B$7,-12*$B$6*(1+$B$4)^69)&gt;0,1+$B$3,1))</f>
        <v/>
      </c>
      <c r="BU49">
        <f>IF($B$1+70&gt;90,BT49,(BT49+IF($B$1+70&lt;=$B49,12*$B$7,-12*$B$6*(1+$B$4)^70))*IF(BT49+IF($B$1+70&lt;=$B49,12*$B$7,-12*$B$6*(1+$B$4)^70)&gt;0,1+$B$3,1))</f>
        <v/>
      </c>
      <c r="BV49">
        <f>BU49</f>
        <v/>
      </c>
      <c r="BW49">
        <f>IF(AND($B49&lt;=70,BV49&gt;0),$B49,999)</f>
        <v/>
      </c>
      <c r="CB49" t="n">
        <v>48</v>
      </c>
      <c r="CC49">
        <f>IF($B$1+CB49&gt;90,0,12*$B$6*(1+$B$4)^CB49/(1+$B$3)^(CB49-1))</f>
        <v/>
      </c>
      <c r="CE49">
        <f>IF($B$1+47&gt;90,NA(),$B$1+47)</f>
        <v/>
      </c>
      <c r="CF49">
        <f>IF(OR($B$21="",$B$1+47&gt;90),NA(),INDEX($C$40:$BU$90,$B$21-$B$1+1,48))</f>
        <v/>
      </c>
    </row>
    <row r="50">
      <c r="A50" t="n">
        <v>10</v>
      </c>
      <c r="B50">
        <f>$B$1+10</f>
        <v/>
      </c>
      <c r="C50">
        <f>$B$2</f>
        <v/>
      </c>
      <c r="D50">
        <f>IF($B$1+1&gt;90,C50,(C50+IF($B$1+1&lt;=$B50,12*$B$7,-12*$B$6*(1+$B$4)^1))*IF(C50+IF($B$1+1&lt;=$B50,12*$B$7,-12*$B$6*(1+$B$4)^1)&gt;0,1+$B$3,1))</f>
        <v/>
      </c>
      <c r="E50">
        <f>IF($B$1+2&gt;90,D50,(D50+IF($B$1+2&lt;=$B50,12*$B$7,-12*$B$6*(1+$B$4)^2))*IF(D50+IF($B$1+2&lt;=$B50,12*$B$7,-12*$B$6*(1+$B$4)^2)&gt;0,1+$B$3,1))</f>
        <v/>
      </c>
      <c r="F50">
        <f>IF($B$1+3&gt;90,E50,(E50+IF($B$1+3&lt;=$B50,12*$B$7,-12*$B$6*(1+$B$4)^3))*IF(E50+IF($B$1+3&lt;=$B50,12*$B$7,-12*$B$6*(1+$B$4)^3)&gt;0,1+$B$3,1))</f>
        <v/>
      </c>
      <c r="G50">
        <f>IF($B$1+4&gt;90,F50,(F50+IF($B$1+4&lt;=$B50,12*$B$7,-12*$B$6*(1+$B$4)^4))*IF(F50+IF($B$1+4&lt;=$B50,12*$B$7,-12*$B$6*(1+$B$4)^4)&gt;0,1+$B$3,1))</f>
        <v/>
      </c>
      <c r="H50">
        <f>IF($B$1+5&gt;90,G50,(G50+IF($B$1+5&lt;=$B50,12*$B$7,-12*$B$6*(1+$B$4)^5))*IF(G50+IF($B$1+5&lt;=$B50,12*$B$7,-12*$B$6*(1+$B$4)^5)&gt;0,1+$B$3,1))</f>
        <v/>
      </c>
      <c r="I50">
        <f>IF($B$1+6&gt;90,H50,(H50+IF($B$1+6&lt;=$B50,12*$B$7,-12*$B$6*(1+$B$4)^6))*IF(H50+IF($B$1+6&lt;=$B50,12*$B$7,-12*$B$6*(1+$B$4)^6)&gt;0,1+$B$3,1))</f>
        <v/>
      </c>
      <c r="J50">
        <f>IF($B$1+7&gt;90,I50,(I50+IF($B$1+7&lt;=$B50,12*$B$7,-12*$B$6*(1+$B$4)^7))*IF(I50+IF($B$1+7&lt;=$B50,12*$B$7,-12*$B$6*(1+$B$4)^7)&gt;0,1+$B$3,1))</f>
        <v/>
      </c>
      <c r="K50">
        <f>IF($B$1+8&gt;90,J50,(J50+IF($B$1+8&lt;=$B50,12*$B$7,-12*$B$6*(1+$B$4)^8))*IF(J50+IF($B$1+8&lt;=$B50,12*$B$7,-12*$B$6*(1+$B$4)^8)&gt;0,1+$B$3,1))</f>
        <v/>
      </c>
      <c r="L50">
        <f>IF($B$1+9&gt;90,K50,(K50+IF($B$1+9&lt;=$B50,12*$B$7,-12*$B$6*(1+$B$4)^9))*IF(K50+IF($B$1+9&lt;=$B50,12*$B$7,-12*$B$6*(1+$B$4)^9)&gt;0,1+$B$3,1))</f>
        <v/>
      </c>
      <c r="M50">
        <f>IF($B$1+10&gt;90,L50,(L50+IF($B$1+10&lt;=$B50,12*$B$7,-12*$B$6*(1+$B$4)^10))*IF(L50+IF($B$1+10&lt;=$B50,12*$B$7,-12*$B$6*(1+$B$4)^10)&gt;0,1+$B$3,1))</f>
        <v/>
      </c>
      <c r="N50">
        <f>IF($B$1+11&gt;90,M50,(M50+IF($B$1+11&lt;=$B50,12*$B$7,-12*$B$6*(1+$B$4)^11))*IF(M50+IF($B$1+11&lt;=$B50,12*$B$7,-12*$B$6*(1+$B$4)^11)&gt;0,1+$B$3,1))</f>
        <v/>
      </c>
      <c r="O50">
        <f>IF($B$1+12&gt;90,N50,(N50+IF($B$1+12&lt;=$B50,12*$B$7,-12*$B$6*(1+$B$4)^12))*IF(N50+IF($B$1+12&lt;=$B50,12*$B$7,-12*$B$6*(1+$B$4)^12)&gt;0,1+$B$3,1))</f>
        <v/>
      </c>
      <c r="P50">
        <f>IF($B$1+13&gt;90,O50,(O50+IF($B$1+13&lt;=$B50,12*$B$7,-12*$B$6*(1+$B$4)^13))*IF(O50+IF($B$1+13&lt;=$B50,12*$B$7,-12*$B$6*(1+$B$4)^13)&gt;0,1+$B$3,1))</f>
        <v/>
      </c>
      <c r="Q50">
        <f>IF($B$1+14&gt;90,P50,(P50+IF($B$1+14&lt;=$B50,12*$B$7,-12*$B$6*(1+$B$4)^14))*IF(P50+IF($B$1+14&lt;=$B50,12*$B$7,-12*$B$6*(1+$B$4)^14)&gt;0,1+$B$3,1))</f>
        <v/>
      </c>
      <c r="R50">
        <f>IF($B$1+15&gt;90,Q50,(Q50+IF($B$1+15&lt;=$B50,12*$B$7,-12*$B$6*(1+$B$4)^15))*IF(Q50+IF($B$1+15&lt;=$B50,12*$B$7,-12*$B$6*(1+$B$4)^15)&gt;0,1+$B$3,1))</f>
        <v/>
      </c>
      <c r="S50">
        <f>IF($B$1+16&gt;90,R50,(R50+IF($B$1+16&lt;=$B50,12*$B$7,-12*$B$6*(1+$B$4)^16))*IF(R50+IF($B$1+16&lt;=$B50,12*$B$7,-12*$B$6*(1+$B$4)^16)&gt;0,1+$B$3,1))</f>
        <v/>
      </c>
      <c r="T50">
        <f>IF($B$1+17&gt;90,S50,(S50+IF($B$1+17&lt;=$B50,12*$B$7,-12*$B$6*(1+$B$4)^17))*IF(S50+IF($B$1+17&lt;=$B50,12*$B$7,-12*$B$6*(1+$B$4)^17)&gt;0,1+$B$3,1))</f>
        <v/>
      </c>
      <c r="U50">
        <f>IF($B$1+18&gt;90,T50,(T50+IF($B$1+18&lt;=$B50,12*$B$7,-12*$B$6*(1+$B$4)^18))*IF(T50+IF($B$1+18&lt;=$B50,12*$B$7,-12*$B$6*(1+$B$4)^18)&gt;0,1+$B$3,1))</f>
        <v/>
      </c>
      <c r="V50">
        <f>IF($B$1+19&gt;90,U50,(U50+IF($B$1+19&lt;=$B50,12*$B$7,-12*$B$6*(1+$B$4)^19))*IF(U50+IF($B$1+19&lt;=$B50,12*$B$7,-12*$B$6*(1+$B$4)^19)&gt;0,1+$B$3,1))</f>
        <v/>
      </c>
      <c r="W50">
        <f>IF($B$1+20&gt;90,V50,(V50+IF($B$1+20&lt;=$B50,12*$B$7,-12*$B$6*(1+$B$4)^20))*IF(V50+IF($B$1+20&lt;=$B50,12*$B$7,-12*$B$6*(1+$B$4)^20)&gt;0,1+$B$3,1))</f>
        <v/>
      </c>
      <c r="X50">
        <f>IF($B$1+21&gt;90,W50,(W50+IF($B$1+21&lt;=$B50,12*$B$7,-12*$B$6*(1+$B$4)^21))*IF(W50+IF($B$1+21&lt;=$B50,12*$B$7,-12*$B$6*(1+$B$4)^21)&gt;0,1+$B$3,1))</f>
        <v/>
      </c>
      <c r="Y50">
        <f>IF($B$1+22&gt;90,X50,(X50+IF($B$1+22&lt;=$B50,12*$B$7,-12*$B$6*(1+$B$4)^22))*IF(X50+IF($B$1+22&lt;=$B50,12*$B$7,-12*$B$6*(1+$B$4)^22)&gt;0,1+$B$3,1))</f>
        <v/>
      </c>
      <c r="Z50">
        <f>IF($B$1+23&gt;90,Y50,(Y50+IF($B$1+23&lt;=$B50,12*$B$7,-12*$B$6*(1+$B$4)^23))*IF(Y50+IF($B$1+23&lt;=$B50,12*$B$7,-12*$B$6*(1+$B$4)^23)&gt;0,1+$B$3,1))</f>
        <v/>
      </c>
      <c r="AA50">
        <f>IF($B$1+24&gt;90,Z50,(Z50+IF($B$1+24&lt;=$B50,12*$B$7,-12*$B$6*(1+$B$4)^24))*IF(Z50+IF($B$1+24&lt;=$B50,12*$B$7,-12*$B$6*(1+$B$4)^24)&gt;0,1+$B$3,1))</f>
        <v/>
      </c>
      <c r="AB50">
        <f>IF($B$1+25&gt;90,AA50,(AA50+IF($B$1+25&lt;=$B50,12*$B$7,-12*$B$6*(1+$B$4)^25))*IF(AA50+IF($B$1+25&lt;=$B50,12*$B$7,-12*$B$6*(1+$B$4)^25)&gt;0,1+$B$3,1))</f>
        <v/>
      </c>
      <c r="AC50">
        <f>IF($B$1+26&gt;90,AB50,(AB50+IF($B$1+26&lt;=$B50,12*$B$7,-12*$B$6*(1+$B$4)^26))*IF(AB50+IF($B$1+26&lt;=$B50,12*$B$7,-12*$B$6*(1+$B$4)^26)&gt;0,1+$B$3,1))</f>
        <v/>
      </c>
      <c r="AD50">
        <f>IF($B$1+27&gt;90,AC50,(AC50+IF($B$1+27&lt;=$B50,12*$B$7,-12*$B$6*(1+$B$4)^27))*IF(AC50+IF($B$1+27&lt;=$B50,12*$B$7,-12*$B$6*(1+$B$4)^27)&gt;0,1+$B$3,1))</f>
        <v/>
      </c>
      <c r="AE50">
        <f>IF($B$1+28&gt;90,AD50,(AD50+IF($B$1+28&lt;=$B50,12*$B$7,-12*$B$6*(1+$B$4)^28))*IF(AD50+IF($B$1+28&lt;=$B50,12*$B$7,-12*$B$6*(1+$B$4)^28)&gt;0,1+$B$3,1))</f>
        <v/>
      </c>
      <c r="AF50">
        <f>IF($B$1+29&gt;90,AE50,(AE50+IF($B$1+29&lt;=$B50,12*$B$7,-12*$B$6*(1+$B$4)^29))*IF(AE50+IF($B$1+29&lt;=$B50,12*$B$7,-12*$B$6*(1+$B$4)^29)&gt;0,1+$B$3,1))</f>
        <v/>
      </c>
      <c r="AG50">
        <f>IF($B$1+30&gt;90,AF50,(AF50+IF($B$1+30&lt;=$B50,12*$B$7,-12*$B$6*(1+$B$4)^30))*IF(AF50+IF($B$1+30&lt;=$B50,12*$B$7,-12*$B$6*(1+$B$4)^30)&gt;0,1+$B$3,1))</f>
        <v/>
      </c>
      <c r="AH50">
        <f>IF($B$1+31&gt;90,AG50,(AG50+IF($B$1+31&lt;=$B50,12*$B$7,-12*$B$6*(1+$B$4)^31))*IF(AG50+IF($B$1+31&lt;=$B50,12*$B$7,-12*$B$6*(1+$B$4)^31)&gt;0,1+$B$3,1))</f>
        <v/>
      </c>
      <c r="AI50">
        <f>IF($B$1+32&gt;90,AH50,(AH50+IF($B$1+32&lt;=$B50,12*$B$7,-12*$B$6*(1+$B$4)^32))*IF(AH50+IF($B$1+32&lt;=$B50,12*$B$7,-12*$B$6*(1+$B$4)^32)&gt;0,1+$B$3,1))</f>
        <v/>
      </c>
      <c r="AJ50">
        <f>IF($B$1+33&gt;90,AI50,(AI50+IF($B$1+33&lt;=$B50,12*$B$7,-12*$B$6*(1+$B$4)^33))*IF(AI50+IF($B$1+33&lt;=$B50,12*$B$7,-12*$B$6*(1+$B$4)^33)&gt;0,1+$B$3,1))</f>
        <v/>
      </c>
      <c r="AK50">
        <f>IF($B$1+34&gt;90,AJ50,(AJ50+IF($B$1+34&lt;=$B50,12*$B$7,-12*$B$6*(1+$B$4)^34))*IF(AJ50+IF($B$1+34&lt;=$B50,12*$B$7,-12*$B$6*(1+$B$4)^34)&gt;0,1+$B$3,1))</f>
        <v/>
      </c>
      <c r="AL50">
        <f>IF($B$1+35&gt;90,AK50,(AK50+IF($B$1+35&lt;=$B50,12*$B$7,-12*$B$6*(1+$B$4)^35))*IF(AK50+IF($B$1+35&lt;=$B50,12*$B$7,-12*$B$6*(1+$B$4)^35)&gt;0,1+$B$3,1))</f>
        <v/>
      </c>
      <c r="AM50">
        <f>IF($B$1+36&gt;90,AL50,(AL50+IF($B$1+36&lt;=$B50,12*$B$7,-12*$B$6*(1+$B$4)^36))*IF(AL50+IF($B$1+36&lt;=$B50,12*$B$7,-12*$B$6*(1+$B$4)^36)&gt;0,1+$B$3,1))</f>
        <v/>
      </c>
      <c r="AN50">
        <f>IF($B$1+37&gt;90,AM50,(AM50+IF($B$1+37&lt;=$B50,12*$B$7,-12*$B$6*(1+$B$4)^37))*IF(AM50+IF($B$1+37&lt;=$B50,12*$B$7,-12*$B$6*(1+$B$4)^37)&gt;0,1+$B$3,1))</f>
        <v/>
      </c>
      <c r="AO50">
        <f>IF($B$1+38&gt;90,AN50,(AN50+IF($B$1+38&lt;=$B50,12*$B$7,-12*$B$6*(1+$B$4)^38))*IF(AN50+IF($B$1+38&lt;=$B50,12*$B$7,-12*$B$6*(1+$B$4)^38)&gt;0,1+$B$3,1))</f>
        <v/>
      </c>
      <c r="AP50">
        <f>IF($B$1+39&gt;90,AO50,(AO50+IF($B$1+39&lt;=$B50,12*$B$7,-12*$B$6*(1+$B$4)^39))*IF(AO50+IF($B$1+39&lt;=$B50,12*$B$7,-12*$B$6*(1+$B$4)^39)&gt;0,1+$B$3,1))</f>
        <v/>
      </c>
      <c r="AQ50">
        <f>IF($B$1+40&gt;90,AP50,(AP50+IF($B$1+40&lt;=$B50,12*$B$7,-12*$B$6*(1+$B$4)^40))*IF(AP50+IF($B$1+40&lt;=$B50,12*$B$7,-12*$B$6*(1+$B$4)^40)&gt;0,1+$B$3,1))</f>
        <v/>
      </c>
      <c r="AR50">
        <f>IF($B$1+41&gt;90,AQ50,(AQ50+IF($B$1+41&lt;=$B50,12*$B$7,-12*$B$6*(1+$B$4)^41))*IF(AQ50+IF($B$1+41&lt;=$B50,12*$B$7,-12*$B$6*(1+$B$4)^41)&gt;0,1+$B$3,1))</f>
        <v/>
      </c>
      <c r="AS50">
        <f>IF($B$1+42&gt;90,AR50,(AR50+IF($B$1+42&lt;=$B50,12*$B$7,-12*$B$6*(1+$B$4)^42))*IF(AR50+IF($B$1+42&lt;=$B50,12*$B$7,-12*$B$6*(1+$B$4)^42)&gt;0,1+$B$3,1))</f>
        <v/>
      </c>
      <c r="AT50">
        <f>IF($B$1+43&gt;90,AS50,(AS50+IF($B$1+43&lt;=$B50,12*$B$7,-12*$B$6*(1+$B$4)^43))*IF(AS50+IF($B$1+43&lt;=$B50,12*$B$7,-12*$B$6*(1+$B$4)^43)&gt;0,1+$B$3,1))</f>
        <v/>
      </c>
      <c r="AU50">
        <f>IF($B$1+44&gt;90,AT50,(AT50+IF($B$1+44&lt;=$B50,12*$B$7,-12*$B$6*(1+$B$4)^44))*IF(AT50+IF($B$1+44&lt;=$B50,12*$B$7,-12*$B$6*(1+$B$4)^44)&gt;0,1+$B$3,1))</f>
        <v/>
      </c>
      <c r="AV50">
        <f>IF($B$1+45&gt;90,AU50,(AU50+IF($B$1+45&lt;=$B50,12*$B$7,-12*$B$6*(1+$B$4)^45))*IF(AU50+IF($B$1+45&lt;=$B50,12*$B$7,-12*$B$6*(1+$B$4)^45)&gt;0,1+$B$3,1))</f>
        <v/>
      </c>
      <c r="AW50">
        <f>IF($B$1+46&gt;90,AV50,(AV50+IF($B$1+46&lt;=$B50,12*$B$7,-12*$B$6*(1+$B$4)^46))*IF(AV50+IF($B$1+46&lt;=$B50,12*$B$7,-12*$B$6*(1+$B$4)^46)&gt;0,1+$B$3,1))</f>
        <v/>
      </c>
      <c r="AX50">
        <f>IF($B$1+47&gt;90,AW50,(AW50+IF($B$1+47&lt;=$B50,12*$B$7,-12*$B$6*(1+$B$4)^47))*IF(AW50+IF($B$1+47&lt;=$B50,12*$B$7,-12*$B$6*(1+$B$4)^47)&gt;0,1+$B$3,1))</f>
        <v/>
      </c>
      <c r="AY50">
        <f>IF($B$1+48&gt;90,AX50,(AX50+IF($B$1+48&lt;=$B50,12*$B$7,-12*$B$6*(1+$B$4)^48))*IF(AX50+IF($B$1+48&lt;=$B50,12*$B$7,-12*$B$6*(1+$B$4)^48)&gt;0,1+$B$3,1))</f>
        <v/>
      </c>
      <c r="AZ50">
        <f>IF($B$1+49&gt;90,AY50,(AY50+IF($B$1+49&lt;=$B50,12*$B$7,-12*$B$6*(1+$B$4)^49))*IF(AY50+IF($B$1+49&lt;=$B50,12*$B$7,-12*$B$6*(1+$B$4)^49)&gt;0,1+$B$3,1))</f>
        <v/>
      </c>
      <c r="BA50">
        <f>IF($B$1+50&gt;90,AZ50,(AZ50+IF($B$1+50&lt;=$B50,12*$B$7,-12*$B$6*(1+$B$4)^50))*IF(AZ50+IF($B$1+50&lt;=$B50,12*$B$7,-12*$B$6*(1+$B$4)^50)&gt;0,1+$B$3,1))</f>
        <v/>
      </c>
      <c r="BB50">
        <f>IF($B$1+51&gt;90,BA50,(BA50+IF($B$1+51&lt;=$B50,12*$B$7,-12*$B$6*(1+$B$4)^51))*IF(BA50+IF($B$1+51&lt;=$B50,12*$B$7,-12*$B$6*(1+$B$4)^51)&gt;0,1+$B$3,1))</f>
        <v/>
      </c>
      <c r="BC50">
        <f>IF($B$1+52&gt;90,BB50,(BB50+IF($B$1+52&lt;=$B50,12*$B$7,-12*$B$6*(1+$B$4)^52))*IF(BB50+IF($B$1+52&lt;=$B50,12*$B$7,-12*$B$6*(1+$B$4)^52)&gt;0,1+$B$3,1))</f>
        <v/>
      </c>
      <c r="BD50">
        <f>IF($B$1+53&gt;90,BC50,(BC50+IF($B$1+53&lt;=$B50,12*$B$7,-12*$B$6*(1+$B$4)^53))*IF(BC50+IF($B$1+53&lt;=$B50,12*$B$7,-12*$B$6*(1+$B$4)^53)&gt;0,1+$B$3,1))</f>
        <v/>
      </c>
      <c r="BE50">
        <f>IF($B$1+54&gt;90,BD50,(BD50+IF($B$1+54&lt;=$B50,12*$B$7,-12*$B$6*(1+$B$4)^54))*IF(BD50+IF($B$1+54&lt;=$B50,12*$B$7,-12*$B$6*(1+$B$4)^54)&gt;0,1+$B$3,1))</f>
        <v/>
      </c>
      <c r="BF50">
        <f>IF($B$1+55&gt;90,BE50,(BE50+IF($B$1+55&lt;=$B50,12*$B$7,-12*$B$6*(1+$B$4)^55))*IF(BE50+IF($B$1+55&lt;=$B50,12*$B$7,-12*$B$6*(1+$B$4)^55)&gt;0,1+$B$3,1))</f>
        <v/>
      </c>
      <c r="BG50">
        <f>IF($B$1+56&gt;90,BF50,(BF50+IF($B$1+56&lt;=$B50,12*$B$7,-12*$B$6*(1+$B$4)^56))*IF(BF50+IF($B$1+56&lt;=$B50,12*$B$7,-12*$B$6*(1+$B$4)^56)&gt;0,1+$B$3,1))</f>
        <v/>
      </c>
      <c r="BH50">
        <f>IF($B$1+57&gt;90,BG50,(BG50+IF($B$1+57&lt;=$B50,12*$B$7,-12*$B$6*(1+$B$4)^57))*IF(BG50+IF($B$1+57&lt;=$B50,12*$B$7,-12*$B$6*(1+$B$4)^57)&gt;0,1+$B$3,1))</f>
        <v/>
      </c>
      <c r="BI50">
        <f>IF($B$1+58&gt;90,BH50,(BH50+IF($B$1+58&lt;=$B50,12*$B$7,-12*$B$6*(1+$B$4)^58))*IF(BH50+IF($B$1+58&lt;=$B50,12*$B$7,-12*$B$6*(1+$B$4)^58)&gt;0,1+$B$3,1))</f>
        <v/>
      </c>
      <c r="BJ50">
        <f>IF($B$1+59&gt;90,BI50,(BI50+IF($B$1+59&lt;=$B50,12*$B$7,-12*$B$6*(1+$B$4)^59))*IF(BI50+IF($B$1+59&lt;=$B50,12*$B$7,-12*$B$6*(1+$B$4)^59)&gt;0,1+$B$3,1))</f>
        <v/>
      </c>
      <c r="BK50">
        <f>IF($B$1+60&gt;90,BJ50,(BJ50+IF($B$1+60&lt;=$B50,12*$B$7,-12*$B$6*(1+$B$4)^60))*IF(BJ50+IF($B$1+60&lt;=$B50,12*$B$7,-12*$B$6*(1+$B$4)^60)&gt;0,1+$B$3,1))</f>
        <v/>
      </c>
      <c r="BL50">
        <f>IF($B$1+61&gt;90,BK50,(BK50+IF($B$1+61&lt;=$B50,12*$B$7,-12*$B$6*(1+$B$4)^61))*IF(BK50+IF($B$1+61&lt;=$B50,12*$B$7,-12*$B$6*(1+$B$4)^61)&gt;0,1+$B$3,1))</f>
        <v/>
      </c>
      <c r="BM50">
        <f>IF($B$1+62&gt;90,BL50,(BL50+IF($B$1+62&lt;=$B50,12*$B$7,-12*$B$6*(1+$B$4)^62))*IF(BL50+IF($B$1+62&lt;=$B50,12*$B$7,-12*$B$6*(1+$B$4)^62)&gt;0,1+$B$3,1))</f>
        <v/>
      </c>
      <c r="BN50">
        <f>IF($B$1+63&gt;90,BM50,(BM50+IF($B$1+63&lt;=$B50,12*$B$7,-12*$B$6*(1+$B$4)^63))*IF(BM50+IF($B$1+63&lt;=$B50,12*$B$7,-12*$B$6*(1+$B$4)^63)&gt;0,1+$B$3,1))</f>
        <v/>
      </c>
      <c r="BO50">
        <f>IF($B$1+64&gt;90,BN50,(BN50+IF($B$1+64&lt;=$B50,12*$B$7,-12*$B$6*(1+$B$4)^64))*IF(BN50+IF($B$1+64&lt;=$B50,12*$B$7,-12*$B$6*(1+$B$4)^64)&gt;0,1+$B$3,1))</f>
        <v/>
      </c>
      <c r="BP50">
        <f>IF($B$1+65&gt;90,BO50,(BO50+IF($B$1+65&lt;=$B50,12*$B$7,-12*$B$6*(1+$B$4)^65))*IF(BO50+IF($B$1+65&lt;=$B50,12*$B$7,-12*$B$6*(1+$B$4)^65)&gt;0,1+$B$3,1))</f>
        <v/>
      </c>
      <c r="BQ50">
        <f>IF($B$1+66&gt;90,BP50,(BP50+IF($B$1+66&lt;=$B50,12*$B$7,-12*$B$6*(1+$B$4)^66))*IF(BP50+IF($B$1+66&lt;=$B50,12*$B$7,-12*$B$6*(1+$B$4)^66)&gt;0,1+$B$3,1))</f>
        <v/>
      </c>
      <c r="BR50">
        <f>IF($B$1+67&gt;90,BQ50,(BQ50+IF($B$1+67&lt;=$B50,12*$B$7,-12*$B$6*(1+$B$4)^67))*IF(BQ50+IF($B$1+67&lt;=$B50,12*$B$7,-12*$B$6*(1+$B$4)^67)&gt;0,1+$B$3,1))</f>
        <v/>
      </c>
      <c r="BS50">
        <f>IF($B$1+68&gt;90,BR50,(BR50+IF($B$1+68&lt;=$B50,12*$B$7,-12*$B$6*(1+$B$4)^68))*IF(BR50+IF($B$1+68&lt;=$B50,12*$B$7,-12*$B$6*(1+$B$4)^68)&gt;0,1+$B$3,1))</f>
        <v/>
      </c>
      <c r="BT50">
        <f>IF($B$1+69&gt;90,BS50,(BS50+IF($B$1+69&lt;=$B50,12*$B$7,-12*$B$6*(1+$B$4)^69))*IF(BS50+IF($B$1+69&lt;=$B50,12*$B$7,-12*$B$6*(1+$B$4)^69)&gt;0,1+$B$3,1))</f>
        <v/>
      </c>
      <c r="BU50">
        <f>IF($B$1+70&gt;90,BT50,(BT50+IF($B$1+70&lt;=$B50,12*$B$7,-12*$B$6*(1+$B$4)^70))*IF(BT50+IF($B$1+70&lt;=$B50,12*$B$7,-12*$B$6*(1+$B$4)^70)&gt;0,1+$B$3,1))</f>
        <v/>
      </c>
      <c r="BV50">
        <f>BU50</f>
        <v/>
      </c>
      <c r="BW50">
        <f>IF(AND($B50&lt;=70,BV50&gt;0),$B50,999)</f>
        <v/>
      </c>
      <c r="CB50" t="n">
        <v>49</v>
      </c>
      <c r="CC50">
        <f>IF($B$1+CB50&gt;90,0,12*$B$6*(1+$B$4)^CB50/(1+$B$3)^(CB50-1))</f>
        <v/>
      </c>
      <c r="CE50">
        <f>IF($B$1+48&gt;90,NA(),$B$1+48)</f>
        <v/>
      </c>
      <c r="CF50">
        <f>IF(OR($B$21="",$B$1+48&gt;90),NA(),INDEX($C$40:$BU$90,$B$21-$B$1+1,49))</f>
        <v/>
      </c>
    </row>
    <row r="51">
      <c r="A51" t="n">
        <v>11</v>
      </c>
      <c r="B51">
        <f>$B$1+11</f>
        <v/>
      </c>
      <c r="C51">
        <f>$B$2</f>
        <v/>
      </c>
      <c r="D51">
        <f>IF($B$1+1&gt;90,C51,(C51+IF($B$1+1&lt;=$B51,12*$B$7,-12*$B$6*(1+$B$4)^1))*IF(C51+IF($B$1+1&lt;=$B51,12*$B$7,-12*$B$6*(1+$B$4)^1)&gt;0,1+$B$3,1))</f>
        <v/>
      </c>
      <c r="E51">
        <f>IF($B$1+2&gt;90,D51,(D51+IF($B$1+2&lt;=$B51,12*$B$7,-12*$B$6*(1+$B$4)^2))*IF(D51+IF($B$1+2&lt;=$B51,12*$B$7,-12*$B$6*(1+$B$4)^2)&gt;0,1+$B$3,1))</f>
        <v/>
      </c>
      <c r="F51">
        <f>IF($B$1+3&gt;90,E51,(E51+IF($B$1+3&lt;=$B51,12*$B$7,-12*$B$6*(1+$B$4)^3))*IF(E51+IF($B$1+3&lt;=$B51,12*$B$7,-12*$B$6*(1+$B$4)^3)&gt;0,1+$B$3,1))</f>
        <v/>
      </c>
      <c r="G51">
        <f>IF($B$1+4&gt;90,F51,(F51+IF($B$1+4&lt;=$B51,12*$B$7,-12*$B$6*(1+$B$4)^4))*IF(F51+IF($B$1+4&lt;=$B51,12*$B$7,-12*$B$6*(1+$B$4)^4)&gt;0,1+$B$3,1))</f>
        <v/>
      </c>
      <c r="H51">
        <f>IF($B$1+5&gt;90,G51,(G51+IF($B$1+5&lt;=$B51,12*$B$7,-12*$B$6*(1+$B$4)^5))*IF(G51+IF($B$1+5&lt;=$B51,12*$B$7,-12*$B$6*(1+$B$4)^5)&gt;0,1+$B$3,1))</f>
        <v/>
      </c>
      <c r="I51">
        <f>IF($B$1+6&gt;90,H51,(H51+IF($B$1+6&lt;=$B51,12*$B$7,-12*$B$6*(1+$B$4)^6))*IF(H51+IF($B$1+6&lt;=$B51,12*$B$7,-12*$B$6*(1+$B$4)^6)&gt;0,1+$B$3,1))</f>
        <v/>
      </c>
      <c r="J51">
        <f>IF($B$1+7&gt;90,I51,(I51+IF($B$1+7&lt;=$B51,12*$B$7,-12*$B$6*(1+$B$4)^7))*IF(I51+IF($B$1+7&lt;=$B51,12*$B$7,-12*$B$6*(1+$B$4)^7)&gt;0,1+$B$3,1))</f>
        <v/>
      </c>
      <c r="K51">
        <f>IF($B$1+8&gt;90,J51,(J51+IF($B$1+8&lt;=$B51,12*$B$7,-12*$B$6*(1+$B$4)^8))*IF(J51+IF($B$1+8&lt;=$B51,12*$B$7,-12*$B$6*(1+$B$4)^8)&gt;0,1+$B$3,1))</f>
        <v/>
      </c>
      <c r="L51">
        <f>IF($B$1+9&gt;90,K51,(K51+IF($B$1+9&lt;=$B51,12*$B$7,-12*$B$6*(1+$B$4)^9))*IF(K51+IF($B$1+9&lt;=$B51,12*$B$7,-12*$B$6*(1+$B$4)^9)&gt;0,1+$B$3,1))</f>
        <v/>
      </c>
      <c r="M51">
        <f>IF($B$1+10&gt;90,L51,(L51+IF($B$1+10&lt;=$B51,12*$B$7,-12*$B$6*(1+$B$4)^10))*IF(L51+IF($B$1+10&lt;=$B51,12*$B$7,-12*$B$6*(1+$B$4)^10)&gt;0,1+$B$3,1))</f>
        <v/>
      </c>
      <c r="N51">
        <f>IF($B$1+11&gt;90,M51,(M51+IF($B$1+11&lt;=$B51,12*$B$7,-12*$B$6*(1+$B$4)^11))*IF(M51+IF($B$1+11&lt;=$B51,12*$B$7,-12*$B$6*(1+$B$4)^11)&gt;0,1+$B$3,1))</f>
        <v/>
      </c>
      <c r="O51">
        <f>IF($B$1+12&gt;90,N51,(N51+IF($B$1+12&lt;=$B51,12*$B$7,-12*$B$6*(1+$B$4)^12))*IF(N51+IF($B$1+12&lt;=$B51,12*$B$7,-12*$B$6*(1+$B$4)^12)&gt;0,1+$B$3,1))</f>
        <v/>
      </c>
      <c r="P51">
        <f>IF($B$1+13&gt;90,O51,(O51+IF($B$1+13&lt;=$B51,12*$B$7,-12*$B$6*(1+$B$4)^13))*IF(O51+IF($B$1+13&lt;=$B51,12*$B$7,-12*$B$6*(1+$B$4)^13)&gt;0,1+$B$3,1))</f>
        <v/>
      </c>
      <c r="Q51">
        <f>IF($B$1+14&gt;90,P51,(P51+IF($B$1+14&lt;=$B51,12*$B$7,-12*$B$6*(1+$B$4)^14))*IF(P51+IF($B$1+14&lt;=$B51,12*$B$7,-12*$B$6*(1+$B$4)^14)&gt;0,1+$B$3,1))</f>
        <v/>
      </c>
      <c r="R51">
        <f>IF($B$1+15&gt;90,Q51,(Q51+IF($B$1+15&lt;=$B51,12*$B$7,-12*$B$6*(1+$B$4)^15))*IF(Q51+IF($B$1+15&lt;=$B51,12*$B$7,-12*$B$6*(1+$B$4)^15)&gt;0,1+$B$3,1))</f>
        <v/>
      </c>
      <c r="S51">
        <f>IF($B$1+16&gt;90,R51,(R51+IF($B$1+16&lt;=$B51,12*$B$7,-12*$B$6*(1+$B$4)^16))*IF(R51+IF($B$1+16&lt;=$B51,12*$B$7,-12*$B$6*(1+$B$4)^16)&gt;0,1+$B$3,1))</f>
        <v/>
      </c>
      <c r="T51">
        <f>IF($B$1+17&gt;90,S51,(S51+IF($B$1+17&lt;=$B51,12*$B$7,-12*$B$6*(1+$B$4)^17))*IF(S51+IF($B$1+17&lt;=$B51,12*$B$7,-12*$B$6*(1+$B$4)^17)&gt;0,1+$B$3,1))</f>
        <v/>
      </c>
      <c r="U51">
        <f>IF($B$1+18&gt;90,T51,(T51+IF($B$1+18&lt;=$B51,12*$B$7,-12*$B$6*(1+$B$4)^18))*IF(T51+IF($B$1+18&lt;=$B51,12*$B$7,-12*$B$6*(1+$B$4)^18)&gt;0,1+$B$3,1))</f>
        <v/>
      </c>
      <c r="V51">
        <f>IF($B$1+19&gt;90,U51,(U51+IF($B$1+19&lt;=$B51,12*$B$7,-12*$B$6*(1+$B$4)^19))*IF(U51+IF($B$1+19&lt;=$B51,12*$B$7,-12*$B$6*(1+$B$4)^19)&gt;0,1+$B$3,1))</f>
        <v/>
      </c>
      <c r="W51">
        <f>IF($B$1+20&gt;90,V51,(V51+IF($B$1+20&lt;=$B51,12*$B$7,-12*$B$6*(1+$B$4)^20))*IF(V51+IF($B$1+20&lt;=$B51,12*$B$7,-12*$B$6*(1+$B$4)^20)&gt;0,1+$B$3,1))</f>
        <v/>
      </c>
      <c r="X51">
        <f>IF($B$1+21&gt;90,W51,(W51+IF($B$1+21&lt;=$B51,12*$B$7,-12*$B$6*(1+$B$4)^21))*IF(W51+IF($B$1+21&lt;=$B51,12*$B$7,-12*$B$6*(1+$B$4)^21)&gt;0,1+$B$3,1))</f>
        <v/>
      </c>
      <c r="Y51">
        <f>IF($B$1+22&gt;90,X51,(X51+IF($B$1+22&lt;=$B51,12*$B$7,-12*$B$6*(1+$B$4)^22))*IF(X51+IF($B$1+22&lt;=$B51,12*$B$7,-12*$B$6*(1+$B$4)^22)&gt;0,1+$B$3,1))</f>
        <v/>
      </c>
      <c r="Z51">
        <f>IF($B$1+23&gt;90,Y51,(Y51+IF($B$1+23&lt;=$B51,12*$B$7,-12*$B$6*(1+$B$4)^23))*IF(Y51+IF($B$1+23&lt;=$B51,12*$B$7,-12*$B$6*(1+$B$4)^23)&gt;0,1+$B$3,1))</f>
        <v/>
      </c>
      <c r="AA51">
        <f>IF($B$1+24&gt;90,Z51,(Z51+IF($B$1+24&lt;=$B51,12*$B$7,-12*$B$6*(1+$B$4)^24))*IF(Z51+IF($B$1+24&lt;=$B51,12*$B$7,-12*$B$6*(1+$B$4)^24)&gt;0,1+$B$3,1))</f>
        <v/>
      </c>
      <c r="AB51">
        <f>IF($B$1+25&gt;90,AA51,(AA51+IF($B$1+25&lt;=$B51,12*$B$7,-12*$B$6*(1+$B$4)^25))*IF(AA51+IF($B$1+25&lt;=$B51,12*$B$7,-12*$B$6*(1+$B$4)^25)&gt;0,1+$B$3,1))</f>
        <v/>
      </c>
      <c r="AC51">
        <f>IF($B$1+26&gt;90,AB51,(AB51+IF($B$1+26&lt;=$B51,12*$B$7,-12*$B$6*(1+$B$4)^26))*IF(AB51+IF($B$1+26&lt;=$B51,12*$B$7,-12*$B$6*(1+$B$4)^26)&gt;0,1+$B$3,1))</f>
        <v/>
      </c>
      <c r="AD51">
        <f>IF($B$1+27&gt;90,AC51,(AC51+IF($B$1+27&lt;=$B51,12*$B$7,-12*$B$6*(1+$B$4)^27))*IF(AC51+IF($B$1+27&lt;=$B51,12*$B$7,-12*$B$6*(1+$B$4)^27)&gt;0,1+$B$3,1))</f>
        <v/>
      </c>
      <c r="AE51">
        <f>IF($B$1+28&gt;90,AD51,(AD51+IF($B$1+28&lt;=$B51,12*$B$7,-12*$B$6*(1+$B$4)^28))*IF(AD51+IF($B$1+28&lt;=$B51,12*$B$7,-12*$B$6*(1+$B$4)^28)&gt;0,1+$B$3,1))</f>
        <v/>
      </c>
      <c r="AF51">
        <f>IF($B$1+29&gt;90,AE51,(AE51+IF($B$1+29&lt;=$B51,12*$B$7,-12*$B$6*(1+$B$4)^29))*IF(AE51+IF($B$1+29&lt;=$B51,12*$B$7,-12*$B$6*(1+$B$4)^29)&gt;0,1+$B$3,1))</f>
        <v/>
      </c>
      <c r="AG51">
        <f>IF($B$1+30&gt;90,AF51,(AF51+IF($B$1+30&lt;=$B51,12*$B$7,-12*$B$6*(1+$B$4)^30))*IF(AF51+IF($B$1+30&lt;=$B51,12*$B$7,-12*$B$6*(1+$B$4)^30)&gt;0,1+$B$3,1))</f>
        <v/>
      </c>
      <c r="AH51">
        <f>IF($B$1+31&gt;90,AG51,(AG51+IF($B$1+31&lt;=$B51,12*$B$7,-12*$B$6*(1+$B$4)^31))*IF(AG51+IF($B$1+31&lt;=$B51,12*$B$7,-12*$B$6*(1+$B$4)^31)&gt;0,1+$B$3,1))</f>
        <v/>
      </c>
      <c r="AI51">
        <f>IF($B$1+32&gt;90,AH51,(AH51+IF($B$1+32&lt;=$B51,12*$B$7,-12*$B$6*(1+$B$4)^32))*IF(AH51+IF($B$1+32&lt;=$B51,12*$B$7,-12*$B$6*(1+$B$4)^32)&gt;0,1+$B$3,1))</f>
        <v/>
      </c>
      <c r="AJ51">
        <f>IF($B$1+33&gt;90,AI51,(AI51+IF($B$1+33&lt;=$B51,12*$B$7,-12*$B$6*(1+$B$4)^33))*IF(AI51+IF($B$1+33&lt;=$B51,12*$B$7,-12*$B$6*(1+$B$4)^33)&gt;0,1+$B$3,1))</f>
        <v/>
      </c>
      <c r="AK51">
        <f>IF($B$1+34&gt;90,AJ51,(AJ51+IF($B$1+34&lt;=$B51,12*$B$7,-12*$B$6*(1+$B$4)^34))*IF(AJ51+IF($B$1+34&lt;=$B51,12*$B$7,-12*$B$6*(1+$B$4)^34)&gt;0,1+$B$3,1))</f>
        <v/>
      </c>
      <c r="AL51">
        <f>IF($B$1+35&gt;90,AK51,(AK51+IF($B$1+35&lt;=$B51,12*$B$7,-12*$B$6*(1+$B$4)^35))*IF(AK51+IF($B$1+35&lt;=$B51,12*$B$7,-12*$B$6*(1+$B$4)^35)&gt;0,1+$B$3,1))</f>
        <v/>
      </c>
      <c r="AM51">
        <f>IF($B$1+36&gt;90,AL51,(AL51+IF($B$1+36&lt;=$B51,12*$B$7,-12*$B$6*(1+$B$4)^36))*IF(AL51+IF($B$1+36&lt;=$B51,12*$B$7,-12*$B$6*(1+$B$4)^36)&gt;0,1+$B$3,1))</f>
        <v/>
      </c>
      <c r="AN51">
        <f>IF($B$1+37&gt;90,AM51,(AM51+IF($B$1+37&lt;=$B51,12*$B$7,-12*$B$6*(1+$B$4)^37))*IF(AM51+IF($B$1+37&lt;=$B51,12*$B$7,-12*$B$6*(1+$B$4)^37)&gt;0,1+$B$3,1))</f>
        <v/>
      </c>
      <c r="AO51">
        <f>IF($B$1+38&gt;90,AN51,(AN51+IF($B$1+38&lt;=$B51,12*$B$7,-12*$B$6*(1+$B$4)^38))*IF(AN51+IF($B$1+38&lt;=$B51,12*$B$7,-12*$B$6*(1+$B$4)^38)&gt;0,1+$B$3,1))</f>
        <v/>
      </c>
      <c r="AP51">
        <f>IF($B$1+39&gt;90,AO51,(AO51+IF($B$1+39&lt;=$B51,12*$B$7,-12*$B$6*(1+$B$4)^39))*IF(AO51+IF($B$1+39&lt;=$B51,12*$B$7,-12*$B$6*(1+$B$4)^39)&gt;0,1+$B$3,1))</f>
        <v/>
      </c>
      <c r="AQ51">
        <f>IF($B$1+40&gt;90,AP51,(AP51+IF($B$1+40&lt;=$B51,12*$B$7,-12*$B$6*(1+$B$4)^40))*IF(AP51+IF($B$1+40&lt;=$B51,12*$B$7,-12*$B$6*(1+$B$4)^40)&gt;0,1+$B$3,1))</f>
        <v/>
      </c>
      <c r="AR51">
        <f>IF($B$1+41&gt;90,AQ51,(AQ51+IF($B$1+41&lt;=$B51,12*$B$7,-12*$B$6*(1+$B$4)^41))*IF(AQ51+IF($B$1+41&lt;=$B51,12*$B$7,-12*$B$6*(1+$B$4)^41)&gt;0,1+$B$3,1))</f>
        <v/>
      </c>
      <c r="AS51">
        <f>IF($B$1+42&gt;90,AR51,(AR51+IF($B$1+42&lt;=$B51,12*$B$7,-12*$B$6*(1+$B$4)^42))*IF(AR51+IF($B$1+42&lt;=$B51,12*$B$7,-12*$B$6*(1+$B$4)^42)&gt;0,1+$B$3,1))</f>
        <v/>
      </c>
      <c r="AT51">
        <f>IF($B$1+43&gt;90,AS51,(AS51+IF($B$1+43&lt;=$B51,12*$B$7,-12*$B$6*(1+$B$4)^43))*IF(AS51+IF($B$1+43&lt;=$B51,12*$B$7,-12*$B$6*(1+$B$4)^43)&gt;0,1+$B$3,1))</f>
        <v/>
      </c>
      <c r="AU51">
        <f>IF($B$1+44&gt;90,AT51,(AT51+IF($B$1+44&lt;=$B51,12*$B$7,-12*$B$6*(1+$B$4)^44))*IF(AT51+IF($B$1+44&lt;=$B51,12*$B$7,-12*$B$6*(1+$B$4)^44)&gt;0,1+$B$3,1))</f>
        <v/>
      </c>
      <c r="AV51">
        <f>IF($B$1+45&gt;90,AU51,(AU51+IF($B$1+45&lt;=$B51,12*$B$7,-12*$B$6*(1+$B$4)^45))*IF(AU51+IF($B$1+45&lt;=$B51,12*$B$7,-12*$B$6*(1+$B$4)^45)&gt;0,1+$B$3,1))</f>
        <v/>
      </c>
      <c r="AW51">
        <f>IF($B$1+46&gt;90,AV51,(AV51+IF($B$1+46&lt;=$B51,12*$B$7,-12*$B$6*(1+$B$4)^46))*IF(AV51+IF($B$1+46&lt;=$B51,12*$B$7,-12*$B$6*(1+$B$4)^46)&gt;0,1+$B$3,1))</f>
        <v/>
      </c>
      <c r="AX51">
        <f>IF($B$1+47&gt;90,AW51,(AW51+IF($B$1+47&lt;=$B51,12*$B$7,-12*$B$6*(1+$B$4)^47))*IF(AW51+IF($B$1+47&lt;=$B51,12*$B$7,-12*$B$6*(1+$B$4)^47)&gt;0,1+$B$3,1))</f>
        <v/>
      </c>
      <c r="AY51">
        <f>IF($B$1+48&gt;90,AX51,(AX51+IF($B$1+48&lt;=$B51,12*$B$7,-12*$B$6*(1+$B$4)^48))*IF(AX51+IF($B$1+48&lt;=$B51,12*$B$7,-12*$B$6*(1+$B$4)^48)&gt;0,1+$B$3,1))</f>
        <v/>
      </c>
      <c r="AZ51">
        <f>IF($B$1+49&gt;90,AY51,(AY51+IF($B$1+49&lt;=$B51,12*$B$7,-12*$B$6*(1+$B$4)^49))*IF(AY51+IF($B$1+49&lt;=$B51,12*$B$7,-12*$B$6*(1+$B$4)^49)&gt;0,1+$B$3,1))</f>
        <v/>
      </c>
      <c r="BA51">
        <f>IF($B$1+50&gt;90,AZ51,(AZ51+IF($B$1+50&lt;=$B51,12*$B$7,-12*$B$6*(1+$B$4)^50))*IF(AZ51+IF($B$1+50&lt;=$B51,12*$B$7,-12*$B$6*(1+$B$4)^50)&gt;0,1+$B$3,1))</f>
        <v/>
      </c>
      <c r="BB51">
        <f>IF($B$1+51&gt;90,BA51,(BA51+IF($B$1+51&lt;=$B51,12*$B$7,-12*$B$6*(1+$B$4)^51))*IF(BA51+IF($B$1+51&lt;=$B51,12*$B$7,-12*$B$6*(1+$B$4)^51)&gt;0,1+$B$3,1))</f>
        <v/>
      </c>
      <c r="BC51">
        <f>IF($B$1+52&gt;90,BB51,(BB51+IF($B$1+52&lt;=$B51,12*$B$7,-12*$B$6*(1+$B$4)^52))*IF(BB51+IF($B$1+52&lt;=$B51,12*$B$7,-12*$B$6*(1+$B$4)^52)&gt;0,1+$B$3,1))</f>
        <v/>
      </c>
      <c r="BD51">
        <f>IF($B$1+53&gt;90,BC51,(BC51+IF($B$1+53&lt;=$B51,12*$B$7,-12*$B$6*(1+$B$4)^53))*IF(BC51+IF($B$1+53&lt;=$B51,12*$B$7,-12*$B$6*(1+$B$4)^53)&gt;0,1+$B$3,1))</f>
        <v/>
      </c>
      <c r="BE51">
        <f>IF($B$1+54&gt;90,BD51,(BD51+IF($B$1+54&lt;=$B51,12*$B$7,-12*$B$6*(1+$B$4)^54))*IF(BD51+IF($B$1+54&lt;=$B51,12*$B$7,-12*$B$6*(1+$B$4)^54)&gt;0,1+$B$3,1))</f>
        <v/>
      </c>
      <c r="BF51">
        <f>IF($B$1+55&gt;90,BE51,(BE51+IF($B$1+55&lt;=$B51,12*$B$7,-12*$B$6*(1+$B$4)^55))*IF(BE51+IF($B$1+55&lt;=$B51,12*$B$7,-12*$B$6*(1+$B$4)^55)&gt;0,1+$B$3,1))</f>
        <v/>
      </c>
      <c r="BG51">
        <f>IF($B$1+56&gt;90,BF51,(BF51+IF($B$1+56&lt;=$B51,12*$B$7,-12*$B$6*(1+$B$4)^56))*IF(BF51+IF($B$1+56&lt;=$B51,12*$B$7,-12*$B$6*(1+$B$4)^56)&gt;0,1+$B$3,1))</f>
        <v/>
      </c>
      <c r="BH51">
        <f>IF($B$1+57&gt;90,BG51,(BG51+IF($B$1+57&lt;=$B51,12*$B$7,-12*$B$6*(1+$B$4)^57))*IF(BG51+IF($B$1+57&lt;=$B51,12*$B$7,-12*$B$6*(1+$B$4)^57)&gt;0,1+$B$3,1))</f>
        <v/>
      </c>
      <c r="BI51">
        <f>IF($B$1+58&gt;90,BH51,(BH51+IF($B$1+58&lt;=$B51,12*$B$7,-12*$B$6*(1+$B$4)^58))*IF(BH51+IF($B$1+58&lt;=$B51,12*$B$7,-12*$B$6*(1+$B$4)^58)&gt;0,1+$B$3,1))</f>
        <v/>
      </c>
      <c r="BJ51">
        <f>IF($B$1+59&gt;90,BI51,(BI51+IF($B$1+59&lt;=$B51,12*$B$7,-12*$B$6*(1+$B$4)^59))*IF(BI51+IF($B$1+59&lt;=$B51,12*$B$7,-12*$B$6*(1+$B$4)^59)&gt;0,1+$B$3,1))</f>
        <v/>
      </c>
      <c r="BK51">
        <f>IF($B$1+60&gt;90,BJ51,(BJ51+IF($B$1+60&lt;=$B51,12*$B$7,-12*$B$6*(1+$B$4)^60))*IF(BJ51+IF($B$1+60&lt;=$B51,12*$B$7,-12*$B$6*(1+$B$4)^60)&gt;0,1+$B$3,1))</f>
        <v/>
      </c>
      <c r="BL51">
        <f>IF($B$1+61&gt;90,BK51,(BK51+IF($B$1+61&lt;=$B51,12*$B$7,-12*$B$6*(1+$B$4)^61))*IF(BK51+IF($B$1+61&lt;=$B51,12*$B$7,-12*$B$6*(1+$B$4)^61)&gt;0,1+$B$3,1))</f>
        <v/>
      </c>
      <c r="BM51">
        <f>IF($B$1+62&gt;90,BL51,(BL51+IF($B$1+62&lt;=$B51,12*$B$7,-12*$B$6*(1+$B$4)^62))*IF(BL51+IF($B$1+62&lt;=$B51,12*$B$7,-12*$B$6*(1+$B$4)^62)&gt;0,1+$B$3,1))</f>
        <v/>
      </c>
      <c r="BN51">
        <f>IF($B$1+63&gt;90,BM51,(BM51+IF($B$1+63&lt;=$B51,12*$B$7,-12*$B$6*(1+$B$4)^63))*IF(BM51+IF($B$1+63&lt;=$B51,12*$B$7,-12*$B$6*(1+$B$4)^63)&gt;0,1+$B$3,1))</f>
        <v/>
      </c>
      <c r="BO51">
        <f>IF($B$1+64&gt;90,BN51,(BN51+IF($B$1+64&lt;=$B51,12*$B$7,-12*$B$6*(1+$B$4)^64))*IF(BN51+IF($B$1+64&lt;=$B51,12*$B$7,-12*$B$6*(1+$B$4)^64)&gt;0,1+$B$3,1))</f>
        <v/>
      </c>
      <c r="BP51">
        <f>IF($B$1+65&gt;90,BO51,(BO51+IF($B$1+65&lt;=$B51,12*$B$7,-12*$B$6*(1+$B$4)^65))*IF(BO51+IF($B$1+65&lt;=$B51,12*$B$7,-12*$B$6*(1+$B$4)^65)&gt;0,1+$B$3,1))</f>
        <v/>
      </c>
      <c r="BQ51">
        <f>IF($B$1+66&gt;90,BP51,(BP51+IF($B$1+66&lt;=$B51,12*$B$7,-12*$B$6*(1+$B$4)^66))*IF(BP51+IF($B$1+66&lt;=$B51,12*$B$7,-12*$B$6*(1+$B$4)^66)&gt;0,1+$B$3,1))</f>
        <v/>
      </c>
      <c r="BR51">
        <f>IF($B$1+67&gt;90,BQ51,(BQ51+IF($B$1+67&lt;=$B51,12*$B$7,-12*$B$6*(1+$B$4)^67))*IF(BQ51+IF($B$1+67&lt;=$B51,12*$B$7,-12*$B$6*(1+$B$4)^67)&gt;0,1+$B$3,1))</f>
        <v/>
      </c>
      <c r="BS51">
        <f>IF($B$1+68&gt;90,BR51,(BR51+IF($B$1+68&lt;=$B51,12*$B$7,-12*$B$6*(1+$B$4)^68))*IF(BR51+IF($B$1+68&lt;=$B51,12*$B$7,-12*$B$6*(1+$B$4)^68)&gt;0,1+$B$3,1))</f>
        <v/>
      </c>
      <c r="BT51">
        <f>IF($B$1+69&gt;90,BS51,(BS51+IF($B$1+69&lt;=$B51,12*$B$7,-12*$B$6*(1+$B$4)^69))*IF(BS51+IF($B$1+69&lt;=$B51,12*$B$7,-12*$B$6*(1+$B$4)^69)&gt;0,1+$B$3,1))</f>
        <v/>
      </c>
      <c r="BU51">
        <f>IF($B$1+70&gt;90,BT51,(BT51+IF($B$1+70&lt;=$B51,12*$B$7,-12*$B$6*(1+$B$4)^70))*IF(BT51+IF($B$1+70&lt;=$B51,12*$B$7,-12*$B$6*(1+$B$4)^70)&gt;0,1+$B$3,1))</f>
        <v/>
      </c>
      <c r="BV51">
        <f>BU51</f>
        <v/>
      </c>
      <c r="BW51">
        <f>IF(AND($B51&lt;=70,BV51&gt;0),$B51,999)</f>
        <v/>
      </c>
      <c r="CB51" t="n">
        <v>50</v>
      </c>
      <c r="CC51">
        <f>IF($B$1+CB51&gt;90,0,12*$B$6*(1+$B$4)^CB51/(1+$B$3)^(CB51-1))</f>
        <v/>
      </c>
      <c r="CE51">
        <f>IF($B$1+49&gt;90,NA(),$B$1+49)</f>
        <v/>
      </c>
      <c r="CF51">
        <f>IF(OR($B$21="",$B$1+49&gt;90),NA(),INDEX($C$40:$BU$90,$B$21-$B$1+1,50))</f>
        <v/>
      </c>
    </row>
    <row r="52">
      <c r="A52" t="n">
        <v>12</v>
      </c>
      <c r="B52">
        <f>$B$1+12</f>
        <v/>
      </c>
      <c r="C52">
        <f>$B$2</f>
        <v/>
      </c>
      <c r="D52">
        <f>IF($B$1+1&gt;90,C52,(C52+IF($B$1+1&lt;=$B52,12*$B$7,-12*$B$6*(1+$B$4)^1))*IF(C52+IF($B$1+1&lt;=$B52,12*$B$7,-12*$B$6*(1+$B$4)^1)&gt;0,1+$B$3,1))</f>
        <v/>
      </c>
      <c r="E52">
        <f>IF($B$1+2&gt;90,D52,(D52+IF($B$1+2&lt;=$B52,12*$B$7,-12*$B$6*(1+$B$4)^2))*IF(D52+IF($B$1+2&lt;=$B52,12*$B$7,-12*$B$6*(1+$B$4)^2)&gt;0,1+$B$3,1))</f>
        <v/>
      </c>
      <c r="F52">
        <f>IF($B$1+3&gt;90,E52,(E52+IF($B$1+3&lt;=$B52,12*$B$7,-12*$B$6*(1+$B$4)^3))*IF(E52+IF($B$1+3&lt;=$B52,12*$B$7,-12*$B$6*(1+$B$4)^3)&gt;0,1+$B$3,1))</f>
        <v/>
      </c>
      <c r="G52">
        <f>IF($B$1+4&gt;90,F52,(F52+IF($B$1+4&lt;=$B52,12*$B$7,-12*$B$6*(1+$B$4)^4))*IF(F52+IF($B$1+4&lt;=$B52,12*$B$7,-12*$B$6*(1+$B$4)^4)&gt;0,1+$B$3,1))</f>
        <v/>
      </c>
      <c r="H52">
        <f>IF($B$1+5&gt;90,G52,(G52+IF($B$1+5&lt;=$B52,12*$B$7,-12*$B$6*(1+$B$4)^5))*IF(G52+IF($B$1+5&lt;=$B52,12*$B$7,-12*$B$6*(1+$B$4)^5)&gt;0,1+$B$3,1))</f>
        <v/>
      </c>
      <c r="I52">
        <f>IF($B$1+6&gt;90,H52,(H52+IF($B$1+6&lt;=$B52,12*$B$7,-12*$B$6*(1+$B$4)^6))*IF(H52+IF($B$1+6&lt;=$B52,12*$B$7,-12*$B$6*(1+$B$4)^6)&gt;0,1+$B$3,1))</f>
        <v/>
      </c>
      <c r="J52">
        <f>IF($B$1+7&gt;90,I52,(I52+IF($B$1+7&lt;=$B52,12*$B$7,-12*$B$6*(1+$B$4)^7))*IF(I52+IF($B$1+7&lt;=$B52,12*$B$7,-12*$B$6*(1+$B$4)^7)&gt;0,1+$B$3,1))</f>
        <v/>
      </c>
      <c r="K52">
        <f>IF($B$1+8&gt;90,J52,(J52+IF($B$1+8&lt;=$B52,12*$B$7,-12*$B$6*(1+$B$4)^8))*IF(J52+IF($B$1+8&lt;=$B52,12*$B$7,-12*$B$6*(1+$B$4)^8)&gt;0,1+$B$3,1))</f>
        <v/>
      </c>
      <c r="L52">
        <f>IF($B$1+9&gt;90,K52,(K52+IF($B$1+9&lt;=$B52,12*$B$7,-12*$B$6*(1+$B$4)^9))*IF(K52+IF($B$1+9&lt;=$B52,12*$B$7,-12*$B$6*(1+$B$4)^9)&gt;0,1+$B$3,1))</f>
        <v/>
      </c>
      <c r="M52">
        <f>IF($B$1+10&gt;90,L52,(L52+IF($B$1+10&lt;=$B52,12*$B$7,-12*$B$6*(1+$B$4)^10))*IF(L52+IF($B$1+10&lt;=$B52,12*$B$7,-12*$B$6*(1+$B$4)^10)&gt;0,1+$B$3,1))</f>
        <v/>
      </c>
      <c r="N52">
        <f>IF($B$1+11&gt;90,M52,(M52+IF($B$1+11&lt;=$B52,12*$B$7,-12*$B$6*(1+$B$4)^11))*IF(M52+IF($B$1+11&lt;=$B52,12*$B$7,-12*$B$6*(1+$B$4)^11)&gt;0,1+$B$3,1))</f>
        <v/>
      </c>
      <c r="O52">
        <f>IF($B$1+12&gt;90,N52,(N52+IF($B$1+12&lt;=$B52,12*$B$7,-12*$B$6*(1+$B$4)^12))*IF(N52+IF($B$1+12&lt;=$B52,12*$B$7,-12*$B$6*(1+$B$4)^12)&gt;0,1+$B$3,1))</f>
        <v/>
      </c>
      <c r="P52">
        <f>IF($B$1+13&gt;90,O52,(O52+IF($B$1+13&lt;=$B52,12*$B$7,-12*$B$6*(1+$B$4)^13))*IF(O52+IF($B$1+13&lt;=$B52,12*$B$7,-12*$B$6*(1+$B$4)^13)&gt;0,1+$B$3,1))</f>
        <v/>
      </c>
      <c r="Q52">
        <f>IF($B$1+14&gt;90,P52,(P52+IF($B$1+14&lt;=$B52,12*$B$7,-12*$B$6*(1+$B$4)^14))*IF(P52+IF($B$1+14&lt;=$B52,12*$B$7,-12*$B$6*(1+$B$4)^14)&gt;0,1+$B$3,1))</f>
        <v/>
      </c>
      <c r="R52">
        <f>IF($B$1+15&gt;90,Q52,(Q52+IF($B$1+15&lt;=$B52,12*$B$7,-12*$B$6*(1+$B$4)^15))*IF(Q52+IF($B$1+15&lt;=$B52,12*$B$7,-12*$B$6*(1+$B$4)^15)&gt;0,1+$B$3,1))</f>
        <v/>
      </c>
      <c r="S52">
        <f>IF($B$1+16&gt;90,R52,(R52+IF($B$1+16&lt;=$B52,12*$B$7,-12*$B$6*(1+$B$4)^16))*IF(R52+IF($B$1+16&lt;=$B52,12*$B$7,-12*$B$6*(1+$B$4)^16)&gt;0,1+$B$3,1))</f>
        <v/>
      </c>
      <c r="T52">
        <f>IF($B$1+17&gt;90,S52,(S52+IF($B$1+17&lt;=$B52,12*$B$7,-12*$B$6*(1+$B$4)^17))*IF(S52+IF($B$1+17&lt;=$B52,12*$B$7,-12*$B$6*(1+$B$4)^17)&gt;0,1+$B$3,1))</f>
        <v/>
      </c>
      <c r="U52">
        <f>IF($B$1+18&gt;90,T52,(T52+IF($B$1+18&lt;=$B52,12*$B$7,-12*$B$6*(1+$B$4)^18))*IF(T52+IF($B$1+18&lt;=$B52,12*$B$7,-12*$B$6*(1+$B$4)^18)&gt;0,1+$B$3,1))</f>
        <v/>
      </c>
      <c r="V52">
        <f>IF($B$1+19&gt;90,U52,(U52+IF($B$1+19&lt;=$B52,12*$B$7,-12*$B$6*(1+$B$4)^19))*IF(U52+IF($B$1+19&lt;=$B52,12*$B$7,-12*$B$6*(1+$B$4)^19)&gt;0,1+$B$3,1))</f>
        <v/>
      </c>
      <c r="W52">
        <f>IF($B$1+20&gt;90,V52,(V52+IF($B$1+20&lt;=$B52,12*$B$7,-12*$B$6*(1+$B$4)^20))*IF(V52+IF($B$1+20&lt;=$B52,12*$B$7,-12*$B$6*(1+$B$4)^20)&gt;0,1+$B$3,1))</f>
        <v/>
      </c>
      <c r="X52">
        <f>IF($B$1+21&gt;90,W52,(W52+IF($B$1+21&lt;=$B52,12*$B$7,-12*$B$6*(1+$B$4)^21))*IF(W52+IF($B$1+21&lt;=$B52,12*$B$7,-12*$B$6*(1+$B$4)^21)&gt;0,1+$B$3,1))</f>
        <v/>
      </c>
      <c r="Y52">
        <f>IF($B$1+22&gt;90,X52,(X52+IF($B$1+22&lt;=$B52,12*$B$7,-12*$B$6*(1+$B$4)^22))*IF(X52+IF($B$1+22&lt;=$B52,12*$B$7,-12*$B$6*(1+$B$4)^22)&gt;0,1+$B$3,1))</f>
        <v/>
      </c>
      <c r="Z52">
        <f>IF($B$1+23&gt;90,Y52,(Y52+IF($B$1+23&lt;=$B52,12*$B$7,-12*$B$6*(1+$B$4)^23))*IF(Y52+IF($B$1+23&lt;=$B52,12*$B$7,-12*$B$6*(1+$B$4)^23)&gt;0,1+$B$3,1))</f>
        <v/>
      </c>
      <c r="AA52">
        <f>IF($B$1+24&gt;90,Z52,(Z52+IF($B$1+24&lt;=$B52,12*$B$7,-12*$B$6*(1+$B$4)^24))*IF(Z52+IF($B$1+24&lt;=$B52,12*$B$7,-12*$B$6*(1+$B$4)^24)&gt;0,1+$B$3,1))</f>
        <v/>
      </c>
      <c r="AB52">
        <f>IF($B$1+25&gt;90,AA52,(AA52+IF($B$1+25&lt;=$B52,12*$B$7,-12*$B$6*(1+$B$4)^25))*IF(AA52+IF($B$1+25&lt;=$B52,12*$B$7,-12*$B$6*(1+$B$4)^25)&gt;0,1+$B$3,1))</f>
        <v/>
      </c>
      <c r="AC52">
        <f>IF($B$1+26&gt;90,AB52,(AB52+IF($B$1+26&lt;=$B52,12*$B$7,-12*$B$6*(1+$B$4)^26))*IF(AB52+IF($B$1+26&lt;=$B52,12*$B$7,-12*$B$6*(1+$B$4)^26)&gt;0,1+$B$3,1))</f>
        <v/>
      </c>
      <c r="AD52">
        <f>IF($B$1+27&gt;90,AC52,(AC52+IF($B$1+27&lt;=$B52,12*$B$7,-12*$B$6*(1+$B$4)^27))*IF(AC52+IF($B$1+27&lt;=$B52,12*$B$7,-12*$B$6*(1+$B$4)^27)&gt;0,1+$B$3,1))</f>
        <v/>
      </c>
      <c r="AE52">
        <f>IF($B$1+28&gt;90,AD52,(AD52+IF($B$1+28&lt;=$B52,12*$B$7,-12*$B$6*(1+$B$4)^28))*IF(AD52+IF($B$1+28&lt;=$B52,12*$B$7,-12*$B$6*(1+$B$4)^28)&gt;0,1+$B$3,1))</f>
        <v/>
      </c>
      <c r="AF52">
        <f>IF($B$1+29&gt;90,AE52,(AE52+IF($B$1+29&lt;=$B52,12*$B$7,-12*$B$6*(1+$B$4)^29))*IF(AE52+IF($B$1+29&lt;=$B52,12*$B$7,-12*$B$6*(1+$B$4)^29)&gt;0,1+$B$3,1))</f>
        <v/>
      </c>
      <c r="AG52">
        <f>IF($B$1+30&gt;90,AF52,(AF52+IF($B$1+30&lt;=$B52,12*$B$7,-12*$B$6*(1+$B$4)^30))*IF(AF52+IF($B$1+30&lt;=$B52,12*$B$7,-12*$B$6*(1+$B$4)^30)&gt;0,1+$B$3,1))</f>
        <v/>
      </c>
      <c r="AH52">
        <f>IF($B$1+31&gt;90,AG52,(AG52+IF($B$1+31&lt;=$B52,12*$B$7,-12*$B$6*(1+$B$4)^31))*IF(AG52+IF($B$1+31&lt;=$B52,12*$B$7,-12*$B$6*(1+$B$4)^31)&gt;0,1+$B$3,1))</f>
        <v/>
      </c>
      <c r="AI52">
        <f>IF($B$1+32&gt;90,AH52,(AH52+IF($B$1+32&lt;=$B52,12*$B$7,-12*$B$6*(1+$B$4)^32))*IF(AH52+IF($B$1+32&lt;=$B52,12*$B$7,-12*$B$6*(1+$B$4)^32)&gt;0,1+$B$3,1))</f>
        <v/>
      </c>
      <c r="AJ52">
        <f>IF($B$1+33&gt;90,AI52,(AI52+IF($B$1+33&lt;=$B52,12*$B$7,-12*$B$6*(1+$B$4)^33))*IF(AI52+IF($B$1+33&lt;=$B52,12*$B$7,-12*$B$6*(1+$B$4)^33)&gt;0,1+$B$3,1))</f>
        <v/>
      </c>
      <c r="AK52">
        <f>IF($B$1+34&gt;90,AJ52,(AJ52+IF($B$1+34&lt;=$B52,12*$B$7,-12*$B$6*(1+$B$4)^34))*IF(AJ52+IF($B$1+34&lt;=$B52,12*$B$7,-12*$B$6*(1+$B$4)^34)&gt;0,1+$B$3,1))</f>
        <v/>
      </c>
      <c r="AL52">
        <f>IF($B$1+35&gt;90,AK52,(AK52+IF($B$1+35&lt;=$B52,12*$B$7,-12*$B$6*(1+$B$4)^35))*IF(AK52+IF($B$1+35&lt;=$B52,12*$B$7,-12*$B$6*(1+$B$4)^35)&gt;0,1+$B$3,1))</f>
        <v/>
      </c>
      <c r="AM52">
        <f>IF($B$1+36&gt;90,AL52,(AL52+IF($B$1+36&lt;=$B52,12*$B$7,-12*$B$6*(1+$B$4)^36))*IF(AL52+IF($B$1+36&lt;=$B52,12*$B$7,-12*$B$6*(1+$B$4)^36)&gt;0,1+$B$3,1))</f>
        <v/>
      </c>
      <c r="AN52">
        <f>IF($B$1+37&gt;90,AM52,(AM52+IF($B$1+37&lt;=$B52,12*$B$7,-12*$B$6*(1+$B$4)^37))*IF(AM52+IF($B$1+37&lt;=$B52,12*$B$7,-12*$B$6*(1+$B$4)^37)&gt;0,1+$B$3,1))</f>
        <v/>
      </c>
      <c r="AO52">
        <f>IF($B$1+38&gt;90,AN52,(AN52+IF($B$1+38&lt;=$B52,12*$B$7,-12*$B$6*(1+$B$4)^38))*IF(AN52+IF($B$1+38&lt;=$B52,12*$B$7,-12*$B$6*(1+$B$4)^38)&gt;0,1+$B$3,1))</f>
        <v/>
      </c>
      <c r="AP52">
        <f>IF($B$1+39&gt;90,AO52,(AO52+IF($B$1+39&lt;=$B52,12*$B$7,-12*$B$6*(1+$B$4)^39))*IF(AO52+IF($B$1+39&lt;=$B52,12*$B$7,-12*$B$6*(1+$B$4)^39)&gt;0,1+$B$3,1))</f>
        <v/>
      </c>
      <c r="AQ52">
        <f>IF($B$1+40&gt;90,AP52,(AP52+IF($B$1+40&lt;=$B52,12*$B$7,-12*$B$6*(1+$B$4)^40))*IF(AP52+IF($B$1+40&lt;=$B52,12*$B$7,-12*$B$6*(1+$B$4)^40)&gt;0,1+$B$3,1))</f>
        <v/>
      </c>
      <c r="AR52">
        <f>IF($B$1+41&gt;90,AQ52,(AQ52+IF($B$1+41&lt;=$B52,12*$B$7,-12*$B$6*(1+$B$4)^41))*IF(AQ52+IF($B$1+41&lt;=$B52,12*$B$7,-12*$B$6*(1+$B$4)^41)&gt;0,1+$B$3,1))</f>
        <v/>
      </c>
      <c r="AS52">
        <f>IF($B$1+42&gt;90,AR52,(AR52+IF($B$1+42&lt;=$B52,12*$B$7,-12*$B$6*(1+$B$4)^42))*IF(AR52+IF($B$1+42&lt;=$B52,12*$B$7,-12*$B$6*(1+$B$4)^42)&gt;0,1+$B$3,1))</f>
        <v/>
      </c>
      <c r="AT52">
        <f>IF($B$1+43&gt;90,AS52,(AS52+IF($B$1+43&lt;=$B52,12*$B$7,-12*$B$6*(1+$B$4)^43))*IF(AS52+IF($B$1+43&lt;=$B52,12*$B$7,-12*$B$6*(1+$B$4)^43)&gt;0,1+$B$3,1))</f>
        <v/>
      </c>
      <c r="AU52">
        <f>IF($B$1+44&gt;90,AT52,(AT52+IF($B$1+44&lt;=$B52,12*$B$7,-12*$B$6*(1+$B$4)^44))*IF(AT52+IF($B$1+44&lt;=$B52,12*$B$7,-12*$B$6*(1+$B$4)^44)&gt;0,1+$B$3,1))</f>
        <v/>
      </c>
      <c r="AV52">
        <f>IF($B$1+45&gt;90,AU52,(AU52+IF($B$1+45&lt;=$B52,12*$B$7,-12*$B$6*(1+$B$4)^45))*IF(AU52+IF($B$1+45&lt;=$B52,12*$B$7,-12*$B$6*(1+$B$4)^45)&gt;0,1+$B$3,1))</f>
        <v/>
      </c>
      <c r="AW52">
        <f>IF($B$1+46&gt;90,AV52,(AV52+IF($B$1+46&lt;=$B52,12*$B$7,-12*$B$6*(1+$B$4)^46))*IF(AV52+IF($B$1+46&lt;=$B52,12*$B$7,-12*$B$6*(1+$B$4)^46)&gt;0,1+$B$3,1))</f>
        <v/>
      </c>
      <c r="AX52">
        <f>IF($B$1+47&gt;90,AW52,(AW52+IF($B$1+47&lt;=$B52,12*$B$7,-12*$B$6*(1+$B$4)^47))*IF(AW52+IF($B$1+47&lt;=$B52,12*$B$7,-12*$B$6*(1+$B$4)^47)&gt;0,1+$B$3,1))</f>
        <v/>
      </c>
      <c r="AY52">
        <f>IF($B$1+48&gt;90,AX52,(AX52+IF($B$1+48&lt;=$B52,12*$B$7,-12*$B$6*(1+$B$4)^48))*IF(AX52+IF($B$1+48&lt;=$B52,12*$B$7,-12*$B$6*(1+$B$4)^48)&gt;0,1+$B$3,1))</f>
        <v/>
      </c>
      <c r="AZ52">
        <f>IF($B$1+49&gt;90,AY52,(AY52+IF($B$1+49&lt;=$B52,12*$B$7,-12*$B$6*(1+$B$4)^49))*IF(AY52+IF($B$1+49&lt;=$B52,12*$B$7,-12*$B$6*(1+$B$4)^49)&gt;0,1+$B$3,1))</f>
        <v/>
      </c>
      <c r="BA52">
        <f>IF($B$1+50&gt;90,AZ52,(AZ52+IF($B$1+50&lt;=$B52,12*$B$7,-12*$B$6*(1+$B$4)^50))*IF(AZ52+IF($B$1+50&lt;=$B52,12*$B$7,-12*$B$6*(1+$B$4)^50)&gt;0,1+$B$3,1))</f>
        <v/>
      </c>
      <c r="BB52">
        <f>IF($B$1+51&gt;90,BA52,(BA52+IF($B$1+51&lt;=$B52,12*$B$7,-12*$B$6*(1+$B$4)^51))*IF(BA52+IF($B$1+51&lt;=$B52,12*$B$7,-12*$B$6*(1+$B$4)^51)&gt;0,1+$B$3,1))</f>
        <v/>
      </c>
      <c r="BC52">
        <f>IF($B$1+52&gt;90,BB52,(BB52+IF($B$1+52&lt;=$B52,12*$B$7,-12*$B$6*(1+$B$4)^52))*IF(BB52+IF($B$1+52&lt;=$B52,12*$B$7,-12*$B$6*(1+$B$4)^52)&gt;0,1+$B$3,1))</f>
        <v/>
      </c>
      <c r="BD52">
        <f>IF($B$1+53&gt;90,BC52,(BC52+IF($B$1+53&lt;=$B52,12*$B$7,-12*$B$6*(1+$B$4)^53))*IF(BC52+IF($B$1+53&lt;=$B52,12*$B$7,-12*$B$6*(1+$B$4)^53)&gt;0,1+$B$3,1))</f>
        <v/>
      </c>
      <c r="BE52">
        <f>IF($B$1+54&gt;90,BD52,(BD52+IF($B$1+54&lt;=$B52,12*$B$7,-12*$B$6*(1+$B$4)^54))*IF(BD52+IF($B$1+54&lt;=$B52,12*$B$7,-12*$B$6*(1+$B$4)^54)&gt;0,1+$B$3,1))</f>
        <v/>
      </c>
      <c r="BF52">
        <f>IF($B$1+55&gt;90,BE52,(BE52+IF($B$1+55&lt;=$B52,12*$B$7,-12*$B$6*(1+$B$4)^55))*IF(BE52+IF($B$1+55&lt;=$B52,12*$B$7,-12*$B$6*(1+$B$4)^55)&gt;0,1+$B$3,1))</f>
        <v/>
      </c>
      <c r="BG52">
        <f>IF($B$1+56&gt;90,BF52,(BF52+IF($B$1+56&lt;=$B52,12*$B$7,-12*$B$6*(1+$B$4)^56))*IF(BF52+IF($B$1+56&lt;=$B52,12*$B$7,-12*$B$6*(1+$B$4)^56)&gt;0,1+$B$3,1))</f>
        <v/>
      </c>
      <c r="BH52">
        <f>IF($B$1+57&gt;90,BG52,(BG52+IF($B$1+57&lt;=$B52,12*$B$7,-12*$B$6*(1+$B$4)^57))*IF(BG52+IF($B$1+57&lt;=$B52,12*$B$7,-12*$B$6*(1+$B$4)^57)&gt;0,1+$B$3,1))</f>
        <v/>
      </c>
      <c r="BI52">
        <f>IF($B$1+58&gt;90,BH52,(BH52+IF($B$1+58&lt;=$B52,12*$B$7,-12*$B$6*(1+$B$4)^58))*IF(BH52+IF($B$1+58&lt;=$B52,12*$B$7,-12*$B$6*(1+$B$4)^58)&gt;0,1+$B$3,1))</f>
        <v/>
      </c>
      <c r="BJ52">
        <f>IF($B$1+59&gt;90,BI52,(BI52+IF($B$1+59&lt;=$B52,12*$B$7,-12*$B$6*(1+$B$4)^59))*IF(BI52+IF($B$1+59&lt;=$B52,12*$B$7,-12*$B$6*(1+$B$4)^59)&gt;0,1+$B$3,1))</f>
        <v/>
      </c>
      <c r="BK52">
        <f>IF($B$1+60&gt;90,BJ52,(BJ52+IF($B$1+60&lt;=$B52,12*$B$7,-12*$B$6*(1+$B$4)^60))*IF(BJ52+IF($B$1+60&lt;=$B52,12*$B$7,-12*$B$6*(1+$B$4)^60)&gt;0,1+$B$3,1))</f>
        <v/>
      </c>
      <c r="BL52">
        <f>IF($B$1+61&gt;90,BK52,(BK52+IF($B$1+61&lt;=$B52,12*$B$7,-12*$B$6*(1+$B$4)^61))*IF(BK52+IF($B$1+61&lt;=$B52,12*$B$7,-12*$B$6*(1+$B$4)^61)&gt;0,1+$B$3,1))</f>
        <v/>
      </c>
      <c r="BM52">
        <f>IF($B$1+62&gt;90,BL52,(BL52+IF($B$1+62&lt;=$B52,12*$B$7,-12*$B$6*(1+$B$4)^62))*IF(BL52+IF($B$1+62&lt;=$B52,12*$B$7,-12*$B$6*(1+$B$4)^62)&gt;0,1+$B$3,1))</f>
        <v/>
      </c>
      <c r="BN52">
        <f>IF($B$1+63&gt;90,BM52,(BM52+IF($B$1+63&lt;=$B52,12*$B$7,-12*$B$6*(1+$B$4)^63))*IF(BM52+IF($B$1+63&lt;=$B52,12*$B$7,-12*$B$6*(1+$B$4)^63)&gt;0,1+$B$3,1))</f>
        <v/>
      </c>
      <c r="BO52">
        <f>IF($B$1+64&gt;90,BN52,(BN52+IF($B$1+64&lt;=$B52,12*$B$7,-12*$B$6*(1+$B$4)^64))*IF(BN52+IF($B$1+64&lt;=$B52,12*$B$7,-12*$B$6*(1+$B$4)^64)&gt;0,1+$B$3,1))</f>
        <v/>
      </c>
      <c r="BP52">
        <f>IF($B$1+65&gt;90,BO52,(BO52+IF($B$1+65&lt;=$B52,12*$B$7,-12*$B$6*(1+$B$4)^65))*IF(BO52+IF($B$1+65&lt;=$B52,12*$B$7,-12*$B$6*(1+$B$4)^65)&gt;0,1+$B$3,1))</f>
        <v/>
      </c>
      <c r="BQ52">
        <f>IF($B$1+66&gt;90,BP52,(BP52+IF($B$1+66&lt;=$B52,12*$B$7,-12*$B$6*(1+$B$4)^66))*IF(BP52+IF($B$1+66&lt;=$B52,12*$B$7,-12*$B$6*(1+$B$4)^66)&gt;0,1+$B$3,1))</f>
        <v/>
      </c>
      <c r="BR52">
        <f>IF($B$1+67&gt;90,BQ52,(BQ52+IF($B$1+67&lt;=$B52,12*$B$7,-12*$B$6*(1+$B$4)^67))*IF(BQ52+IF($B$1+67&lt;=$B52,12*$B$7,-12*$B$6*(1+$B$4)^67)&gt;0,1+$B$3,1))</f>
        <v/>
      </c>
      <c r="BS52">
        <f>IF($B$1+68&gt;90,BR52,(BR52+IF($B$1+68&lt;=$B52,12*$B$7,-12*$B$6*(1+$B$4)^68))*IF(BR52+IF($B$1+68&lt;=$B52,12*$B$7,-12*$B$6*(1+$B$4)^68)&gt;0,1+$B$3,1))</f>
        <v/>
      </c>
      <c r="BT52">
        <f>IF($B$1+69&gt;90,BS52,(BS52+IF($B$1+69&lt;=$B52,12*$B$7,-12*$B$6*(1+$B$4)^69))*IF(BS52+IF($B$1+69&lt;=$B52,12*$B$7,-12*$B$6*(1+$B$4)^69)&gt;0,1+$B$3,1))</f>
        <v/>
      </c>
      <c r="BU52">
        <f>IF($B$1+70&gt;90,BT52,(BT52+IF($B$1+70&lt;=$B52,12*$B$7,-12*$B$6*(1+$B$4)^70))*IF(BT52+IF($B$1+70&lt;=$B52,12*$B$7,-12*$B$6*(1+$B$4)^70)&gt;0,1+$B$3,1))</f>
        <v/>
      </c>
      <c r="BV52">
        <f>BU52</f>
        <v/>
      </c>
      <c r="BW52">
        <f>IF(AND($B52&lt;=70,BV52&gt;0),$B52,999)</f>
        <v/>
      </c>
      <c r="CB52" t="n">
        <v>51</v>
      </c>
      <c r="CC52">
        <f>IF($B$1+CB52&gt;90,0,12*$B$6*(1+$B$4)^CB52/(1+$B$3)^(CB52-1))</f>
        <v/>
      </c>
      <c r="CE52">
        <f>IF($B$1+50&gt;90,NA(),$B$1+50)</f>
        <v/>
      </c>
      <c r="CF52">
        <f>IF(OR($B$21="",$B$1+50&gt;90),NA(),INDEX($C$40:$BU$90,$B$21-$B$1+1,51))</f>
        <v/>
      </c>
    </row>
    <row r="53">
      <c r="A53" t="n">
        <v>13</v>
      </c>
      <c r="B53">
        <f>$B$1+13</f>
        <v/>
      </c>
      <c r="C53">
        <f>$B$2</f>
        <v/>
      </c>
      <c r="D53">
        <f>IF($B$1+1&gt;90,C53,(C53+IF($B$1+1&lt;=$B53,12*$B$7,-12*$B$6*(1+$B$4)^1))*IF(C53+IF($B$1+1&lt;=$B53,12*$B$7,-12*$B$6*(1+$B$4)^1)&gt;0,1+$B$3,1))</f>
        <v/>
      </c>
      <c r="E53">
        <f>IF($B$1+2&gt;90,D53,(D53+IF($B$1+2&lt;=$B53,12*$B$7,-12*$B$6*(1+$B$4)^2))*IF(D53+IF($B$1+2&lt;=$B53,12*$B$7,-12*$B$6*(1+$B$4)^2)&gt;0,1+$B$3,1))</f>
        <v/>
      </c>
      <c r="F53">
        <f>IF($B$1+3&gt;90,E53,(E53+IF($B$1+3&lt;=$B53,12*$B$7,-12*$B$6*(1+$B$4)^3))*IF(E53+IF($B$1+3&lt;=$B53,12*$B$7,-12*$B$6*(1+$B$4)^3)&gt;0,1+$B$3,1))</f>
        <v/>
      </c>
      <c r="G53">
        <f>IF($B$1+4&gt;90,F53,(F53+IF($B$1+4&lt;=$B53,12*$B$7,-12*$B$6*(1+$B$4)^4))*IF(F53+IF($B$1+4&lt;=$B53,12*$B$7,-12*$B$6*(1+$B$4)^4)&gt;0,1+$B$3,1))</f>
        <v/>
      </c>
      <c r="H53">
        <f>IF($B$1+5&gt;90,G53,(G53+IF($B$1+5&lt;=$B53,12*$B$7,-12*$B$6*(1+$B$4)^5))*IF(G53+IF($B$1+5&lt;=$B53,12*$B$7,-12*$B$6*(1+$B$4)^5)&gt;0,1+$B$3,1))</f>
        <v/>
      </c>
      <c r="I53">
        <f>IF($B$1+6&gt;90,H53,(H53+IF($B$1+6&lt;=$B53,12*$B$7,-12*$B$6*(1+$B$4)^6))*IF(H53+IF($B$1+6&lt;=$B53,12*$B$7,-12*$B$6*(1+$B$4)^6)&gt;0,1+$B$3,1))</f>
        <v/>
      </c>
      <c r="J53">
        <f>IF($B$1+7&gt;90,I53,(I53+IF($B$1+7&lt;=$B53,12*$B$7,-12*$B$6*(1+$B$4)^7))*IF(I53+IF($B$1+7&lt;=$B53,12*$B$7,-12*$B$6*(1+$B$4)^7)&gt;0,1+$B$3,1))</f>
        <v/>
      </c>
      <c r="K53">
        <f>IF($B$1+8&gt;90,J53,(J53+IF($B$1+8&lt;=$B53,12*$B$7,-12*$B$6*(1+$B$4)^8))*IF(J53+IF($B$1+8&lt;=$B53,12*$B$7,-12*$B$6*(1+$B$4)^8)&gt;0,1+$B$3,1))</f>
        <v/>
      </c>
      <c r="L53">
        <f>IF($B$1+9&gt;90,K53,(K53+IF($B$1+9&lt;=$B53,12*$B$7,-12*$B$6*(1+$B$4)^9))*IF(K53+IF($B$1+9&lt;=$B53,12*$B$7,-12*$B$6*(1+$B$4)^9)&gt;0,1+$B$3,1))</f>
        <v/>
      </c>
      <c r="M53">
        <f>IF($B$1+10&gt;90,L53,(L53+IF($B$1+10&lt;=$B53,12*$B$7,-12*$B$6*(1+$B$4)^10))*IF(L53+IF($B$1+10&lt;=$B53,12*$B$7,-12*$B$6*(1+$B$4)^10)&gt;0,1+$B$3,1))</f>
        <v/>
      </c>
      <c r="N53">
        <f>IF($B$1+11&gt;90,M53,(M53+IF($B$1+11&lt;=$B53,12*$B$7,-12*$B$6*(1+$B$4)^11))*IF(M53+IF($B$1+11&lt;=$B53,12*$B$7,-12*$B$6*(1+$B$4)^11)&gt;0,1+$B$3,1))</f>
        <v/>
      </c>
      <c r="O53">
        <f>IF($B$1+12&gt;90,N53,(N53+IF($B$1+12&lt;=$B53,12*$B$7,-12*$B$6*(1+$B$4)^12))*IF(N53+IF($B$1+12&lt;=$B53,12*$B$7,-12*$B$6*(1+$B$4)^12)&gt;0,1+$B$3,1))</f>
        <v/>
      </c>
      <c r="P53">
        <f>IF($B$1+13&gt;90,O53,(O53+IF($B$1+13&lt;=$B53,12*$B$7,-12*$B$6*(1+$B$4)^13))*IF(O53+IF($B$1+13&lt;=$B53,12*$B$7,-12*$B$6*(1+$B$4)^13)&gt;0,1+$B$3,1))</f>
        <v/>
      </c>
      <c r="Q53">
        <f>IF($B$1+14&gt;90,P53,(P53+IF($B$1+14&lt;=$B53,12*$B$7,-12*$B$6*(1+$B$4)^14))*IF(P53+IF($B$1+14&lt;=$B53,12*$B$7,-12*$B$6*(1+$B$4)^14)&gt;0,1+$B$3,1))</f>
        <v/>
      </c>
      <c r="R53">
        <f>IF($B$1+15&gt;90,Q53,(Q53+IF($B$1+15&lt;=$B53,12*$B$7,-12*$B$6*(1+$B$4)^15))*IF(Q53+IF($B$1+15&lt;=$B53,12*$B$7,-12*$B$6*(1+$B$4)^15)&gt;0,1+$B$3,1))</f>
        <v/>
      </c>
      <c r="S53">
        <f>IF($B$1+16&gt;90,R53,(R53+IF($B$1+16&lt;=$B53,12*$B$7,-12*$B$6*(1+$B$4)^16))*IF(R53+IF($B$1+16&lt;=$B53,12*$B$7,-12*$B$6*(1+$B$4)^16)&gt;0,1+$B$3,1))</f>
        <v/>
      </c>
      <c r="T53">
        <f>IF($B$1+17&gt;90,S53,(S53+IF($B$1+17&lt;=$B53,12*$B$7,-12*$B$6*(1+$B$4)^17))*IF(S53+IF($B$1+17&lt;=$B53,12*$B$7,-12*$B$6*(1+$B$4)^17)&gt;0,1+$B$3,1))</f>
        <v/>
      </c>
      <c r="U53">
        <f>IF($B$1+18&gt;90,T53,(T53+IF($B$1+18&lt;=$B53,12*$B$7,-12*$B$6*(1+$B$4)^18))*IF(T53+IF($B$1+18&lt;=$B53,12*$B$7,-12*$B$6*(1+$B$4)^18)&gt;0,1+$B$3,1))</f>
        <v/>
      </c>
      <c r="V53">
        <f>IF($B$1+19&gt;90,U53,(U53+IF($B$1+19&lt;=$B53,12*$B$7,-12*$B$6*(1+$B$4)^19))*IF(U53+IF($B$1+19&lt;=$B53,12*$B$7,-12*$B$6*(1+$B$4)^19)&gt;0,1+$B$3,1))</f>
        <v/>
      </c>
      <c r="W53">
        <f>IF($B$1+20&gt;90,V53,(V53+IF($B$1+20&lt;=$B53,12*$B$7,-12*$B$6*(1+$B$4)^20))*IF(V53+IF($B$1+20&lt;=$B53,12*$B$7,-12*$B$6*(1+$B$4)^20)&gt;0,1+$B$3,1))</f>
        <v/>
      </c>
      <c r="X53">
        <f>IF($B$1+21&gt;90,W53,(W53+IF($B$1+21&lt;=$B53,12*$B$7,-12*$B$6*(1+$B$4)^21))*IF(W53+IF($B$1+21&lt;=$B53,12*$B$7,-12*$B$6*(1+$B$4)^21)&gt;0,1+$B$3,1))</f>
        <v/>
      </c>
      <c r="Y53">
        <f>IF($B$1+22&gt;90,X53,(X53+IF($B$1+22&lt;=$B53,12*$B$7,-12*$B$6*(1+$B$4)^22))*IF(X53+IF($B$1+22&lt;=$B53,12*$B$7,-12*$B$6*(1+$B$4)^22)&gt;0,1+$B$3,1))</f>
        <v/>
      </c>
      <c r="Z53">
        <f>IF($B$1+23&gt;90,Y53,(Y53+IF($B$1+23&lt;=$B53,12*$B$7,-12*$B$6*(1+$B$4)^23))*IF(Y53+IF($B$1+23&lt;=$B53,12*$B$7,-12*$B$6*(1+$B$4)^23)&gt;0,1+$B$3,1))</f>
        <v/>
      </c>
      <c r="AA53">
        <f>IF($B$1+24&gt;90,Z53,(Z53+IF($B$1+24&lt;=$B53,12*$B$7,-12*$B$6*(1+$B$4)^24))*IF(Z53+IF($B$1+24&lt;=$B53,12*$B$7,-12*$B$6*(1+$B$4)^24)&gt;0,1+$B$3,1))</f>
        <v/>
      </c>
      <c r="AB53">
        <f>IF($B$1+25&gt;90,AA53,(AA53+IF($B$1+25&lt;=$B53,12*$B$7,-12*$B$6*(1+$B$4)^25))*IF(AA53+IF($B$1+25&lt;=$B53,12*$B$7,-12*$B$6*(1+$B$4)^25)&gt;0,1+$B$3,1))</f>
        <v/>
      </c>
      <c r="AC53">
        <f>IF($B$1+26&gt;90,AB53,(AB53+IF($B$1+26&lt;=$B53,12*$B$7,-12*$B$6*(1+$B$4)^26))*IF(AB53+IF($B$1+26&lt;=$B53,12*$B$7,-12*$B$6*(1+$B$4)^26)&gt;0,1+$B$3,1))</f>
        <v/>
      </c>
      <c r="AD53">
        <f>IF($B$1+27&gt;90,AC53,(AC53+IF($B$1+27&lt;=$B53,12*$B$7,-12*$B$6*(1+$B$4)^27))*IF(AC53+IF($B$1+27&lt;=$B53,12*$B$7,-12*$B$6*(1+$B$4)^27)&gt;0,1+$B$3,1))</f>
        <v/>
      </c>
      <c r="AE53">
        <f>IF($B$1+28&gt;90,AD53,(AD53+IF($B$1+28&lt;=$B53,12*$B$7,-12*$B$6*(1+$B$4)^28))*IF(AD53+IF($B$1+28&lt;=$B53,12*$B$7,-12*$B$6*(1+$B$4)^28)&gt;0,1+$B$3,1))</f>
        <v/>
      </c>
      <c r="AF53">
        <f>IF($B$1+29&gt;90,AE53,(AE53+IF($B$1+29&lt;=$B53,12*$B$7,-12*$B$6*(1+$B$4)^29))*IF(AE53+IF($B$1+29&lt;=$B53,12*$B$7,-12*$B$6*(1+$B$4)^29)&gt;0,1+$B$3,1))</f>
        <v/>
      </c>
      <c r="AG53">
        <f>IF($B$1+30&gt;90,AF53,(AF53+IF($B$1+30&lt;=$B53,12*$B$7,-12*$B$6*(1+$B$4)^30))*IF(AF53+IF($B$1+30&lt;=$B53,12*$B$7,-12*$B$6*(1+$B$4)^30)&gt;0,1+$B$3,1))</f>
        <v/>
      </c>
      <c r="AH53">
        <f>IF($B$1+31&gt;90,AG53,(AG53+IF($B$1+31&lt;=$B53,12*$B$7,-12*$B$6*(1+$B$4)^31))*IF(AG53+IF($B$1+31&lt;=$B53,12*$B$7,-12*$B$6*(1+$B$4)^31)&gt;0,1+$B$3,1))</f>
        <v/>
      </c>
      <c r="AI53">
        <f>IF($B$1+32&gt;90,AH53,(AH53+IF($B$1+32&lt;=$B53,12*$B$7,-12*$B$6*(1+$B$4)^32))*IF(AH53+IF($B$1+32&lt;=$B53,12*$B$7,-12*$B$6*(1+$B$4)^32)&gt;0,1+$B$3,1))</f>
        <v/>
      </c>
      <c r="AJ53">
        <f>IF($B$1+33&gt;90,AI53,(AI53+IF($B$1+33&lt;=$B53,12*$B$7,-12*$B$6*(1+$B$4)^33))*IF(AI53+IF($B$1+33&lt;=$B53,12*$B$7,-12*$B$6*(1+$B$4)^33)&gt;0,1+$B$3,1))</f>
        <v/>
      </c>
      <c r="AK53">
        <f>IF($B$1+34&gt;90,AJ53,(AJ53+IF($B$1+34&lt;=$B53,12*$B$7,-12*$B$6*(1+$B$4)^34))*IF(AJ53+IF($B$1+34&lt;=$B53,12*$B$7,-12*$B$6*(1+$B$4)^34)&gt;0,1+$B$3,1))</f>
        <v/>
      </c>
      <c r="AL53">
        <f>IF($B$1+35&gt;90,AK53,(AK53+IF($B$1+35&lt;=$B53,12*$B$7,-12*$B$6*(1+$B$4)^35))*IF(AK53+IF($B$1+35&lt;=$B53,12*$B$7,-12*$B$6*(1+$B$4)^35)&gt;0,1+$B$3,1))</f>
        <v/>
      </c>
      <c r="AM53">
        <f>IF($B$1+36&gt;90,AL53,(AL53+IF($B$1+36&lt;=$B53,12*$B$7,-12*$B$6*(1+$B$4)^36))*IF(AL53+IF($B$1+36&lt;=$B53,12*$B$7,-12*$B$6*(1+$B$4)^36)&gt;0,1+$B$3,1))</f>
        <v/>
      </c>
      <c r="AN53">
        <f>IF($B$1+37&gt;90,AM53,(AM53+IF($B$1+37&lt;=$B53,12*$B$7,-12*$B$6*(1+$B$4)^37))*IF(AM53+IF($B$1+37&lt;=$B53,12*$B$7,-12*$B$6*(1+$B$4)^37)&gt;0,1+$B$3,1))</f>
        <v/>
      </c>
      <c r="AO53">
        <f>IF($B$1+38&gt;90,AN53,(AN53+IF($B$1+38&lt;=$B53,12*$B$7,-12*$B$6*(1+$B$4)^38))*IF(AN53+IF($B$1+38&lt;=$B53,12*$B$7,-12*$B$6*(1+$B$4)^38)&gt;0,1+$B$3,1))</f>
        <v/>
      </c>
      <c r="AP53">
        <f>IF($B$1+39&gt;90,AO53,(AO53+IF($B$1+39&lt;=$B53,12*$B$7,-12*$B$6*(1+$B$4)^39))*IF(AO53+IF($B$1+39&lt;=$B53,12*$B$7,-12*$B$6*(1+$B$4)^39)&gt;0,1+$B$3,1))</f>
        <v/>
      </c>
      <c r="AQ53">
        <f>IF($B$1+40&gt;90,AP53,(AP53+IF($B$1+40&lt;=$B53,12*$B$7,-12*$B$6*(1+$B$4)^40))*IF(AP53+IF($B$1+40&lt;=$B53,12*$B$7,-12*$B$6*(1+$B$4)^40)&gt;0,1+$B$3,1))</f>
        <v/>
      </c>
      <c r="AR53">
        <f>IF($B$1+41&gt;90,AQ53,(AQ53+IF($B$1+41&lt;=$B53,12*$B$7,-12*$B$6*(1+$B$4)^41))*IF(AQ53+IF($B$1+41&lt;=$B53,12*$B$7,-12*$B$6*(1+$B$4)^41)&gt;0,1+$B$3,1))</f>
        <v/>
      </c>
      <c r="AS53">
        <f>IF($B$1+42&gt;90,AR53,(AR53+IF($B$1+42&lt;=$B53,12*$B$7,-12*$B$6*(1+$B$4)^42))*IF(AR53+IF($B$1+42&lt;=$B53,12*$B$7,-12*$B$6*(1+$B$4)^42)&gt;0,1+$B$3,1))</f>
        <v/>
      </c>
      <c r="AT53">
        <f>IF($B$1+43&gt;90,AS53,(AS53+IF($B$1+43&lt;=$B53,12*$B$7,-12*$B$6*(1+$B$4)^43))*IF(AS53+IF($B$1+43&lt;=$B53,12*$B$7,-12*$B$6*(1+$B$4)^43)&gt;0,1+$B$3,1))</f>
        <v/>
      </c>
      <c r="AU53">
        <f>IF($B$1+44&gt;90,AT53,(AT53+IF($B$1+44&lt;=$B53,12*$B$7,-12*$B$6*(1+$B$4)^44))*IF(AT53+IF($B$1+44&lt;=$B53,12*$B$7,-12*$B$6*(1+$B$4)^44)&gt;0,1+$B$3,1))</f>
        <v/>
      </c>
      <c r="AV53">
        <f>IF($B$1+45&gt;90,AU53,(AU53+IF($B$1+45&lt;=$B53,12*$B$7,-12*$B$6*(1+$B$4)^45))*IF(AU53+IF($B$1+45&lt;=$B53,12*$B$7,-12*$B$6*(1+$B$4)^45)&gt;0,1+$B$3,1))</f>
        <v/>
      </c>
      <c r="AW53">
        <f>IF($B$1+46&gt;90,AV53,(AV53+IF($B$1+46&lt;=$B53,12*$B$7,-12*$B$6*(1+$B$4)^46))*IF(AV53+IF($B$1+46&lt;=$B53,12*$B$7,-12*$B$6*(1+$B$4)^46)&gt;0,1+$B$3,1))</f>
        <v/>
      </c>
      <c r="AX53">
        <f>IF($B$1+47&gt;90,AW53,(AW53+IF($B$1+47&lt;=$B53,12*$B$7,-12*$B$6*(1+$B$4)^47))*IF(AW53+IF($B$1+47&lt;=$B53,12*$B$7,-12*$B$6*(1+$B$4)^47)&gt;0,1+$B$3,1))</f>
        <v/>
      </c>
      <c r="AY53">
        <f>IF($B$1+48&gt;90,AX53,(AX53+IF($B$1+48&lt;=$B53,12*$B$7,-12*$B$6*(1+$B$4)^48))*IF(AX53+IF($B$1+48&lt;=$B53,12*$B$7,-12*$B$6*(1+$B$4)^48)&gt;0,1+$B$3,1))</f>
        <v/>
      </c>
      <c r="AZ53">
        <f>IF($B$1+49&gt;90,AY53,(AY53+IF($B$1+49&lt;=$B53,12*$B$7,-12*$B$6*(1+$B$4)^49))*IF(AY53+IF($B$1+49&lt;=$B53,12*$B$7,-12*$B$6*(1+$B$4)^49)&gt;0,1+$B$3,1))</f>
        <v/>
      </c>
      <c r="BA53">
        <f>IF($B$1+50&gt;90,AZ53,(AZ53+IF($B$1+50&lt;=$B53,12*$B$7,-12*$B$6*(1+$B$4)^50))*IF(AZ53+IF($B$1+50&lt;=$B53,12*$B$7,-12*$B$6*(1+$B$4)^50)&gt;0,1+$B$3,1))</f>
        <v/>
      </c>
      <c r="BB53">
        <f>IF($B$1+51&gt;90,BA53,(BA53+IF($B$1+51&lt;=$B53,12*$B$7,-12*$B$6*(1+$B$4)^51))*IF(BA53+IF($B$1+51&lt;=$B53,12*$B$7,-12*$B$6*(1+$B$4)^51)&gt;0,1+$B$3,1))</f>
        <v/>
      </c>
      <c r="BC53">
        <f>IF($B$1+52&gt;90,BB53,(BB53+IF($B$1+52&lt;=$B53,12*$B$7,-12*$B$6*(1+$B$4)^52))*IF(BB53+IF($B$1+52&lt;=$B53,12*$B$7,-12*$B$6*(1+$B$4)^52)&gt;0,1+$B$3,1))</f>
        <v/>
      </c>
      <c r="BD53">
        <f>IF($B$1+53&gt;90,BC53,(BC53+IF($B$1+53&lt;=$B53,12*$B$7,-12*$B$6*(1+$B$4)^53))*IF(BC53+IF($B$1+53&lt;=$B53,12*$B$7,-12*$B$6*(1+$B$4)^53)&gt;0,1+$B$3,1))</f>
        <v/>
      </c>
      <c r="BE53">
        <f>IF($B$1+54&gt;90,BD53,(BD53+IF($B$1+54&lt;=$B53,12*$B$7,-12*$B$6*(1+$B$4)^54))*IF(BD53+IF($B$1+54&lt;=$B53,12*$B$7,-12*$B$6*(1+$B$4)^54)&gt;0,1+$B$3,1))</f>
        <v/>
      </c>
      <c r="BF53">
        <f>IF($B$1+55&gt;90,BE53,(BE53+IF($B$1+55&lt;=$B53,12*$B$7,-12*$B$6*(1+$B$4)^55))*IF(BE53+IF($B$1+55&lt;=$B53,12*$B$7,-12*$B$6*(1+$B$4)^55)&gt;0,1+$B$3,1))</f>
        <v/>
      </c>
      <c r="BG53">
        <f>IF($B$1+56&gt;90,BF53,(BF53+IF($B$1+56&lt;=$B53,12*$B$7,-12*$B$6*(1+$B$4)^56))*IF(BF53+IF($B$1+56&lt;=$B53,12*$B$7,-12*$B$6*(1+$B$4)^56)&gt;0,1+$B$3,1))</f>
        <v/>
      </c>
      <c r="BH53">
        <f>IF($B$1+57&gt;90,BG53,(BG53+IF($B$1+57&lt;=$B53,12*$B$7,-12*$B$6*(1+$B$4)^57))*IF(BG53+IF($B$1+57&lt;=$B53,12*$B$7,-12*$B$6*(1+$B$4)^57)&gt;0,1+$B$3,1))</f>
        <v/>
      </c>
      <c r="BI53">
        <f>IF($B$1+58&gt;90,BH53,(BH53+IF($B$1+58&lt;=$B53,12*$B$7,-12*$B$6*(1+$B$4)^58))*IF(BH53+IF($B$1+58&lt;=$B53,12*$B$7,-12*$B$6*(1+$B$4)^58)&gt;0,1+$B$3,1))</f>
        <v/>
      </c>
      <c r="BJ53">
        <f>IF($B$1+59&gt;90,BI53,(BI53+IF($B$1+59&lt;=$B53,12*$B$7,-12*$B$6*(1+$B$4)^59))*IF(BI53+IF($B$1+59&lt;=$B53,12*$B$7,-12*$B$6*(1+$B$4)^59)&gt;0,1+$B$3,1))</f>
        <v/>
      </c>
      <c r="BK53">
        <f>IF($B$1+60&gt;90,BJ53,(BJ53+IF($B$1+60&lt;=$B53,12*$B$7,-12*$B$6*(1+$B$4)^60))*IF(BJ53+IF($B$1+60&lt;=$B53,12*$B$7,-12*$B$6*(1+$B$4)^60)&gt;0,1+$B$3,1))</f>
        <v/>
      </c>
      <c r="BL53">
        <f>IF($B$1+61&gt;90,BK53,(BK53+IF($B$1+61&lt;=$B53,12*$B$7,-12*$B$6*(1+$B$4)^61))*IF(BK53+IF($B$1+61&lt;=$B53,12*$B$7,-12*$B$6*(1+$B$4)^61)&gt;0,1+$B$3,1))</f>
        <v/>
      </c>
      <c r="BM53">
        <f>IF($B$1+62&gt;90,BL53,(BL53+IF($B$1+62&lt;=$B53,12*$B$7,-12*$B$6*(1+$B$4)^62))*IF(BL53+IF($B$1+62&lt;=$B53,12*$B$7,-12*$B$6*(1+$B$4)^62)&gt;0,1+$B$3,1))</f>
        <v/>
      </c>
      <c r="BN53">
        <f>IF($B$1+63&gt;90,BM53,(BM53+IF($B$1+63&lt;=$B53,12*$B$7,-12*$B$6*(1+$B$4)^63))*IF(BM53+IF($B$1+63&lt;=$B53,12*$B$7,-12*$B$6*(1+$B$4)^63)&gt;0,1+$B$3,1))</f>
        <v/>
      </c>
      <c r="BO53">
        <f>IF($B$1+64&gt;90,BN53,(BN53+IF($B$1+64&lt;=$B53,12*$B$7,-12*$B$6*(1+$B$4)^64))*IF(BN53+IF($B$1+64&lt;=$B53,12*$B$7,-12*$B$6*(1+$B$4)^64)&gt;0,1+$B$3,1))</f>
        <v/>
      </c>
      <c r="BP53">
        <f>IF($B$1+65&gt;90,BO53,(BO53+IF($B$1+65&lt;=$B53,12*$B$7,-12*$B$6*(1+$B$4)^65))*IF(BO53+IF($B$1+65&lt;=$B53,12*$B$7,-12*$B$6*(1+$B$4)^65)&gt;0,1+$B$3,1))</f>
        <v/>
      </c>
      <c r="BQ53">
        <f>IF($B$1+66&gt;90,BP53,(BP53+IF($B$1+66&lt;=$B53,12*$B$7,-12*$B$6*(1+$B$4)^66))*IF(BP53+IF($B$1+66&lt;=$B53,12*$B$7,-12*$B$6*(1+$B$4)^66)&gt;0,1+$B$3,1))</f>
        <v/>
      </c>
      <c r="BR53">
        <f>IF($B$1+67&gt;90,BQ53,(BQ53+IF($B$1+67&lt;=$B53,12*$B$7,-12*$B$6*(1+$B$4)^67))*IF(BQ53+IF($B$1+67&lt;=$B53,12*$B$7,-12*$B$6*(1+$B$4)^67)&gt;0,1+$B$3,1))</f>
        <v/>
      </c>
      <c r="BS53">
        <f>IF($B$1+68&gt;90,BR53,(BR53+IF($B$1+68&lt;=$B53,12*$B$7,-12*$B$6*(1+$B$4)^68))*IF(BR53+IF($B$1+68&lt;=$B53,12*$B$7,-12*$B$6*(1+$B$4)^68)&gt;0,1+$B$3,1))</f>
        <v/>
      </c>
      <c r="BT53">
        <f>IF($B$1+69&gt;90,BS53,(BS53+IF($B$1+69&lt;=$B53,12*$B$7,-12*$B$6*(1+$B$4)^69))*IF(BS53+IF($B$1+69&lt;=$B53,12*$B$7,-12*$B$6*(1+$B$4)^69)&gt;0,1+$B$3,1))</f>
        <v/>
      </c>
      <c r="BU53">
        <f>IF($B$1+70&gt;90,BT53,(BT53+IF($B$1+70&lt;=$B53,12*$B$7,-12*$B$6*(1+$B$4)^70))*IF(BT53+IF($B$1+70&lt;=$B53,12*$B$7,-12*$B$6*(1+$B$4)^70)&gt;0,1+$B$3,1))</f>
        <v/>
      </c>
      <c r="BV53">
        <f>BU53</f>
        <v/>
      </c>
      <c r="BW53">
        <f>IF(AND($B53&lt;=70,BV53&gt;0),$B53,999)</f>
        <v/>
      </c>
      <c r="CB53" t="n">
        <v>52</v>
      </c>
      <c r="CC53">
        <f>IF($B$1+CB53&gt;90,0,12*$B$6*(1+$B$4)^CB53/(1+$B$3)^(CB53-1))</f>
        <v/>
      </c>
      <c r="CE53">
        <f>IF($B$1+51&gt;90,NA(),$B$1+51)</f>
        <v/>
      </c>
      <c r="CF53">
        <f>IF(OR($B$21="",$B$1+51&gt;90),NA(),INDEX($C$40:$BU$90,$B$21-$B$1+1,52))</f>
        <v/>
      </c>
    </row>
    <row r="54">
      <c r="A54" t="n">
        <v>14</v>
      </c>
      <c r="B54">
        <f>$B$1+14</f>
        <v/>
      </c>
      <c r="C54">
        <f>$B$2</f>
        <v/>
      </c>
      <c r="D54">
        <f>IF($B$1+1&gt;90,C54,(C54+IF($B$1+1&lt;=$B54,12*$B$7,-12*$B$6*(1+$B$4)^1))*IF(C54+IF($B$1+1&lt;=$B54,12*$B$7,-12*$B$6*(1+$B$4)^1)&gt;0,1+$B$3,1))</f>
        <v/>
      </c>
      <c r="E54">
        <f>IF($B$1+2&gt;90,D54,(D54+IF($B$1+2&lt;=$B54,12*$B$7,-12*$B$6*(1+$B$4)^2))*IF(D54+IF($B$1+2&lt;=$B54,12*$B$7,-12*$B$6*(1+$B$4)^2)&gt;0,1+$B$3,1))</f>
        <v/>
      </c>
      <c r="F54">
        <f>IF($B$1+3&gt;90,E54,(E54+IF($B$1+3&lt;=$B54,12*$B$7,-12*$B$6*(1+$B$4)^3))*IF(E54+IF($B$1+3&lt;=$B54,12*$B$7,-12*$B$6*(1+$B$4)^3)&gt;0,1+$B$3,1))</f>
        <v/>
      </c>
      <c r="G54">
        <f>IF($B$1+4&gt;90,F54,(F54+IF($B$1+4&lt;=$B54,12*$B$7,-12*$B$6*(1+$B$4)^4))*IF(F54+IF($B$1+4&lt;=$B54,12*$B$7,-12*$B$6*(1+$B$4)^4)&gt;0,1+$B$3,1))</f>
        <v/>
      </c>
      <c r="H54">
        <f>IF($B$1+5&gt;90,G54,(G54+IF($B$1+5&lt;=$B54,12*$B$7,-12*$B$6*(1+$B$4)^5))*IF(G54+IF($B$1+5&lt;=$B54,12*$B$7,-12*$B$6*(1+$B$4)^5)&gt;0,1+$B$3,1))</f>
        <v/>
      </c>
      <c r="I54">
        <f>IF($B$1+6&gt;90,H54,(H54+IF($B$1+6&lt;=$B54,12*$B$7,-12*$B$6*(1+$B$4)^6))*IF(H54+IF($B$1+6&lt;=$B54,12*$B$7,-12*$B$6*(1+$B$4)^6)&gt;0,1+$B$3,1))</f>
        <v/>
      </c>
      <c r="J54">
        <f>IF($B$1+7&gt;90,I54,(I54+IF($B$1+7&lt;=$B54,12*$B$7,-12*$B$6*(1+$B$4)^7))*IF(I54+IF($B$1+7&lt;=$B54,12*$B$7,-12*$B$6*(1+$B$4)^7)&gt;0,1+$B$3,1))</f>
        <v/>
      </c>
      <c r="K54">
        <f>IF($B$1+8&gt;90,J54,(J54+IF($B$1+8&lt;=$B54,12*$B$7,-12*$B$6*(1+$B$4)^8))*IF(J54+IF($B$1+8&lt;=$B54,12*$B$7,-12*$B$6*(1+$B$4)^8)&gt;0,1+$B$3,1))</f>
        <v/>
      </c>
      <c r="L54">
        <f>IF($B$1+9&gt;90,K54,(K54+IF($B$1+9&lt;=$B54,12*$B$7,-12*$B$6*(1+$B$4)^9))*IF(K54+IF($B$1+9&lt;=$B54,12*$B$7,-12*$B$6*(1+$B$4)^9)&gt;0,1+$B$3,1))</f>
        <v/>
      </c>
      <c r="M54">
        <f>IF($B$1+10&gt;90,L54,(L54+IF($B$1+10&lt;=$B54,12*$B$7,-12*$B$6*(1+$B$4)^10))*IF(L54+IF($B$1+10&lt;=$B54,12*$B$7,-12*$B$6*(1+$B$4)^10)&gt;0,1+$B$3,1))</f>
        <v/>
      </c>
      <c r="N54">
        <f>IF($B$1+11&gt;90,M54,(M54+IF($B$1+11&lt;=$B54,12*$B$7,-12*$B$6*(1+$B$4)^11))*IF(M54+IF($B$1+11&lt;=$B54,12*$B$7,-12*$B$6*(1+$B$4)^11)&gt;0,1+$B$3,1))</f>
        <v/>
      </c>
      <c r="O54">
        <f>IF($B$1+12&gt;90,N54,(N54+IF($B$1+12&lt;=$B54,12*$B$7,-12*$B$6*(1+$B$4)^12))*IF(N54+IF($B$1+12&lt;=$B54,12*$B$7,-12*$B$6*(1+$B$4)^12)&gt;0,1+$B$3,1))</f>
        <v/>
      </c>
      <c r="P54">
        <f>IF($B$1+13&gt;90,O54,(O54+IF($B$1+13&lt;=$B54,12*$B$7,-12*$B$6*(1+$B$4)^13))*IF(O54+IF($B$1+13&lt;=$B54,12*$B$7,-12*$B$6*(1+$B$4)^13)&gt;0,1+$B$3,1))</f>
        <v/>
      </c>
      <c r="Q54">
        <f>IF($B$1+14&gt;90,P54,(P54+IF($B$1+14&lt;=$B54,12*$B$7,-12*$B$6*(1+$B$4)^14))*IF(P54+IF($B$1+14&lt;=$B54,12*$B$7,-12*$B$6*(1+$B$4)^14)&gt;0,1+$B$3,1))</f>
        <v/>
      </c>
      <c r="R54">
        <f>IF($B$1+15&gt;90,Q54,(Q54+IF($B$1+15&lt;=$B54,12*$B$7,-12*$B$6*(1+$B$4)^15))*IF(Q54+IF($B$1+15&lt;=$B54,12*$B$7,-12*$B$6*(1+$B$4)^15)&gt;0,1+$B$3,1))</f>
        <v/>
      </c>
      <c r="S54">
        <f>IF($B$1+16&gt;90,R54,(R54+IF($B$1+16&lt;=$B54,12*$B$7,-12*$B$6*(1+$B$4)^16))*IF(R54+IF($B$1+16&lt;=$B54,12*$B$7,-12*$B$6*(1+$B$4)^16)&gt;0,1+$B$3,1))</f>
        <v/>
      </c>
      <c r="T54">
        <f>IF($B$1+17&gt;90,S54,(S54+IF($B$1+17&lt;=$B54,12*$B$7,-12*$B$6*(1+$B$4)^17))*IF(S54+IF($B$1+17&lt;=$B54,12*$B$7,-12*$B$6*(1+$B$4)^17)&gt;0,1+$B$3,1))</f>
        <v/>
      </c>
      <c r="U54">
        <f>IF($B$1+18&gt;90,T54,(T54+IF($B$1+18&lt;=$B54,12*$B$7,-12*$B$6*(1+$B$4)^18))*IF(T54+IF($B$1+18&lt;=$B54,12*$B$7,-12*$B$6*(1+$B$4)^18)&gt;0,1+$B$3,1))</f>
        <v/>
      </c>
      <c r="V54">
        <f>IF($B$1+19&gt;90,U54,(U54+IF($B$1+19&lt;=$B54,12*$B$7,-12*$B$6*(1+$B$4)^19))*IF(U54+IF($B$1+19&lt;=$B54,12*$B$7,-12*$B$6*(1+$B$4)^19)&gt;0,1+$B$3,1))</f>
        <v/>
      </c>
      <c r="W54">
        <f>IF($B$1+20&gt;90,V54,(V54+IF($B$1+20&lt;=$B54,12*$B$7,-12*$B$6*(1+$B$4)^20))*IF(V54+IF($B$1+20&lt;=$B54,12*$B$7,-12*$B$6*(1+$B$4)^20)&gt;0,1+$B$3,1))</f>
        <v/>
      </c>
      <c r="X54">
        <f>IF($B$1+21&gt;90,W54,(W54+IF($B$1+21&lt;=$B54,12*$B$7,-12*$B$6*(1+$B$4)^21))*IF(W54+IF($B$1+21&lt;=$B54,12*$B$7,-12*$B$6*(1+$B$4)^21)&gt;0,1+$B$3,1))</f>
        <v/>
      </c>
      <c r="Y54">
        <f>IF($B$1+22&gt;90,X54,(X54+IF($B$1+22&lt;=$B54,12*$B$7,-12*$B$6*(1+$B$4)^22))*IF(X54+IF($B$1+22&lt;=$B54,12*$B$7,-12*$B$6*(1+$B$4)^22)&gt;0,1+$B$3,1))</f>
        <v/>
      </c>
      <c r="Z54">
        <f>IF($B$1+23&gt;90,Y54,(Y54+IF($B$1+23&lt;=$B54,12*$B$7,-12*$B$6*(1+$B$4)^23))*IF(Y54+IF($B$1+23&lt;=$B54,12*$B$7,-12*$B$6*(1+$B$4)^23)&gt;0,1+$B$3,1))</f>
        <v/>
      </c>
      <c r="AA54">
        <f>IF($B$1+24&gt;90,Z54,(Z54+IF($B$1+24&lt;=$B54,12*$B$7,-12*$B$6*(1+$B$4)^24))*IF(Z54+IF($B$1+24&lt;=$B54,12*$B$7,-12*$B$6*(1+$B$4)^24)&gt;0,1+$B$3,1))</f>
        <v/>
      </c>
      <c r="AB54">
        <f>IF($B$1+25&gt;90,AA54,(AA54+IF($B$1+25&lt;=$B54,12*$B$7,-12*$B$6*(1+$B$4)^25))*IF(AA54+IF($B$1+25&lt;=$B54,12*$B$7,-12*$B$6*(1+$B$4)^25)&gt;0,1+$B$3,1))</f>
        <v/>
      </c>
      <c r="AC54">
        <f>IF($B$1+26&gt;90,AB54,(AB54+IF($B$1+26&lt;=$B54,12*$B$7,-12*$B$6*(1+$B$4)^26))*IF(AB54+IF($B$1+26&lt;=$B54,12*$B$7,-12*$B$6*(1+$B$4)^26)&gt;0,1+$B$3,1))</f>
        <v/>
      </c>
      <c r="AD54">
        <f>IF($B$1+27&gt;90,AC54,(AC54+IF($B$1+27&lt;=$B54,12*$B$7,-12*$B$6*(1+$B$4)^27))*IF(AC54+IF($B$1+27&lt;=$B54,12*$B$7,-12*$B$6*(1+$B$4)^27)&gt;0,1+$B$3,1))</f>
        <v/>
      </c>
      <c r="AE54">
        <f>IF($B$1+28&gt;90,AD54,(AD54+IF($B$1+28&lt;=$B54,12*$B$7,-12*$B$6*(1+$B$4)^28))*IF(AD54+IF($B$1+28&lt;=$B54,12*$B$7,-12*$B$6*(1+$B$4)^28)&gt;0,1+$B$3,1))</f>
        <v/>
      </c>
      <c r="AF54">
        <f>IF($B$1+29&gt;90,AE54,(AE54+IF($B$1+29&lt;=$B54,12*$B$7,-12*$B$6*(1+$B$4)^29))*IF(AE54+IF($B$1+29&lt;=$B54,12*$B$7,-12*$B$6*(1+$B$4)^29)&gt;0,1+$B$3,1))</f>
        <v/>
      </c>
      <c r="AG54">
        <f>IF($B$1+30&gt;90,AF54,(AF54+IF($B$1+30&lt;=$B54,12*$B$7,-12*$B$6*(1+$B$4)^30))*IF(AF54+IF($B$1+30&lt;=$B54,12*$B$7,-12*$B$6*(1+$B$4)^30)&gt;0,1+$B$3,1))</f>
        <v/>
      </c>
      <c r="AH54">
        <f>IF($B$1+31&gt;90,AG54,(AG54+IF($B$1+31&lt;=$B54,12*$B$7,-12*$B$6*(1+$B$4)^31))*IF(AG54+IF($B$1+31&lt;=$B54,12*$B$7,-12*$B$6*(1+$B$4)^31)&gt;0,1+$B$3,1))</f>
        <v/>
      </c>
      <c r="AI54">
        <f>IF($B$1+32&gt;90,AH54,(AH54+IF($B$1+32&lt;=$B54,12*$B$7,-12*$B$6*(1+$B$4)^32))*IF(AH54+IF($B$1+32&lt;=$B54,12*$B$7,-12*$B$6*(1+$B$4)^32)&gt;0,1+$B$3,1))</f>
        <v/>
      </c>
      <c r="AJ54">
        <f>IF($B$1+33&gt;90,AI54,(AI54+IF($B$1+33&lt;=$B54,12*$B$7,-12*$B$6*(1+$B$4)^33))*IF(AI54+IF($B$1+33&lt;=$B54,12*$B$7,-12*$B$6*(1+$B$4)^33)&gt;0,1+$B$3,1))</f>
        <v/>
      </c>
      <c r="AK54">
        <f>IF($B$1+34&gt;90,AJ54,(AJ54+IF($B$1+34&lt;=$B54,12*$B$7,-12*$B$6*(1+$B$4)^34))*IF(AJ54+IF($B$1+34&lt;=$B54,12*$B$7,-12*$B$6*(1+$B$4)^34)&gt;0,1+$B$3,1))</f>
        <v/>
      </c>
      <c r="AL54">
        <f>IF($B$1+35&gt;90,AK54,(AK54+IF($B$1+35&lt;=$B54,12*$B$7,-12*$B$6*(1+$B$4)^35))*IF(AK54+IF($B$1+35&lt;=$B54,12*$B$7,-12*$B$6*(1+$B$4)^35)&gt;0,1+$B$3,1))</f>
        <v/>
      </c>
      <c r="AM54">
        <f>IF($B$1+36&gt;90,AL54,(AL54+IF($B$1+36&lt;=$B54,12*$B$7,-12*$B$6*(1+$B$4)^36))*IF(AL54+IF($B$1+36&lt;=$B54,12*$B$7,-12*$B$6*(1+$B$4)^36)&gt;0,1+$B$3,1))</f>
        <v/>
      </c>
      <c r="AN54">
        <f>IF($B$1+37&gt;90,AM54,(AM54+IF($B$1+37&lt;=$B54,12*$B$7,-12*$B$6*(1+$B$4)^37))*IF(AM54+IF($B$1+37&lt;=$B54,12*$B$7,-12*$B$6*(1+$B$4)^37)&gt;0,1+$B$3,1))</f>
        <v/>
      </c>
      <c r="AO54">
        <f>IF($B$1+38&gt;90,AN54,(AN54+IF($B$1+38&lt;=$B54,12*$B$7,-12*$B$6*(1+$B$4)^38))*IF(AN54+IF($B$1+38&lt;=$B54,12*$B$7,-12*$B$6*(1+$B$4)^38)&gt;0,1+$B$3,1))</f>
        <v/>
      </c>
      <c r="AP54">
        <f>IF($B$1+39&gt;90,AO54,(AO54+IF($B$1+39&lt;=$B54,12*$B$7,-12*$B$6*(1+$B$4)^39))*IF(AO54+IF($B$1+39&lt;=$B54,12*$B$7,-12*$B$6*(1+$B$4)^39)&gt;0,1+$B$3,1))</f>
        <v/>
      </c>
      <c r="AQ54">
        <f>IF($B$1+40&gt;90,AP54,(AP54+IF($B$1+40&lt;=$B54,12*$B$7,-12*$B$6*(1+$B$4)^40))*IF(AP54+IF($B$1+40&lt;=$B54,12*$B$7,-12*$B$6*(1+$B$4)^40)&gt;0,1+$B$3,1))</f>
        <v/>
      </c>
      <c r="AR54">
        <f>IF($B$1+41&gt;90,AQ54,(AQ54+IF($B$1+41&lt;=$B54,12*$B$7,-12*$B$6*(1+$B$4)^41))*IF(AQ54+IF($B$1+41&lt;=$B54,12*$B$7,-12*$B$6*(1+$B$4)^41)&gt;0,1+$B$3,1))</f>
        <v/>
      </c>
      <c r="AS54">
        <f>IF($B$1+42&gt;90,AR54,(AR54+IF($B$1+42&lt;=$B54,12*$B$7,-12*$B$6*(1+$B$4)^42))*IF(AR54+IF($B$1+42&lt;=$B54,12*$B$7,-12*$B$6*(1+$B$4)^42)&gt;0,1+$B$3,1))</f>
        <v/>
      </c>
      <c r="AT54">
        <f>IF($B$1+43&gt;90,AS54,(AS54+IF($B$1+43&lt;=$B54,12*$B$7,-12*$B$6*(1+$B$4)^43))*IF(AS54+IF($B$1+43&lt;=$B54,12*$B$7,-12*$B$6*(1+$B$4)^43)&gt;0,1+$B$3,1))</f>
        <v/>
      </c>
      <c r="AU54">
        <f>IF($B$1+44&gt;90,AT54,(AT54+IF($B$1+44&lt;=$B54,12*$B$7,-12*$B$6*(1+$B$4)^44))*IF(AT54+IF($B$1+44&lt;=$B54,12*$B$7,-12*$B$6*(1+$B$4)^44)&gt;0,1+$B$3,1))</f>
        <v/>
      </c>
      <c r="AV54">
        <f>IF($B$1+45&gt;90,AU54,(AU54+IF($B$1+45&lt;=$B54,12*$B$7,-12*$B$6*(1+$B$4)^45))*IF(AU54+IF($B$1+45&lt;=$B54,12*$B$7,-12*$B$6*(1+$B$4)^45)&gt;0,1+$B$3,1))</f>
        <v/>
      </c>
      <c r="AW54">
        <f>IF($B$1+46&gt;90,AV54,(AV54+IF($B$1+46&lt;=$B54,12*$B$7,-12*$B$6*(1+$B$4)^46))*IF(AV54+IF($B$1+46&lt;=$B54,12*$B$7,-12*$B$6*(1+$B$4)^46)&gt;0,1+$B$3,1))</f>
        <v/>
      </c>
      <c r="AX54">
        <f>IF($B$1+47&gt;90,AW54,(AW54+IF($B$1+47&lt;=$B54,12*$B$7,-12*$B$6*(1+$B$4)^47))*IF(AW54+IF($B$1+47&lt;=$B54,12*$B$7,-12*$B$6*(1+$B$4)^47)&gt;0,1+$B$3,1))</f>
        <v/>
      </c>
      <c r="AY54">
        <f>IF($B$1+48&gt;90,AX54,(AX54+IF($B$1+48&lt;=$B54,12*$B$7,-12*$B$6*(1+$B$4)^48))*IF(AX54+IF($B$1+48&lt;=$B54,12*$B$7,-12*$B$6*(1+$B$4)^48)&gt;0,1+$B$3,1))</f>
        <v/>
      </c>
      <c r="AZ54">
        <f>IF($B$1+49&gt;90,AY54,(AY54+IF($B$1+49&lt;=$B54,12*$B$7,-12*$B$6*(1+$B$4)^49))*IF(AY54+IF($B$1+49&lt;=$B54,12*$B$7,-12*$B$6*(1+$B$4)^49)&gt;0,1+$B$3,1))</f>
        <v/>
      </c>
      <c r="BA54">
        <f>IF($B$1+50&gt;90,AZ54,(AZ54+IF($B$1+50&lt;=$B54,12*$B$7,-12*$B$6*(1+$B$4)^50))*IF(AZ54+IF($B$1+50&lt;=$B54,12*$B$7,-12*$B$6*(1+$B$4)^50)&gt;0,1+$B$3,1))</f>
        <v/>
      </c>
      <c r="BB54">
        <f>IF($B$1+51&gt;90,BA54,(BA54+IF($B$1+51&lt;=$B54,12*$B$7,-12*$B$6*(1+$B$4)^51))*IF(BA54+IF($B$1+51&lt;=$B54,12*$B$7,-12*$B$6*(1+$B$4)^51)&gt;0,1+$B$3,1))</f>
        <v/>
      </c>
      <c r="BC54">
        <f>IF($B$1+52&gt;90,BB54,(BB54+IF($B$1+52&lt;=$B54,12*$B$7,-12*$B$6*(1+$B$4)^52))*IF(BB54+IF($B$1+52&lt;=$B54,12*$B$7,-12*$B$6*(1+$B$4)^52)&gt;0,1+$B$3,1))</f>
        <v/>
      </c>
      <c r="BD54">
        <f>IF($B$1+53&gt;90,BC54,(BC54+IF($B$1+53&lt;=$B54,12*$B$7,-12*$B$6*(1+$B$4)^53))*IF(BC54+IF($B$1+53&lt;=$B54,12*$B$7,-12*$B$6*(1+$B$4)^53)&gt;0,1+$B$3,1))</f>
        <v/>
      </c>
      <c r="BE54">
        <f>IF($B$1+54&gt;90,BD54,(BD54+IF($B$1+54&lt;=$B54,12*$B$7,-12*$B$6*(1+$B$4)^54))*IF(BD54+IF($B$1+54&lt;=$B54,12*$B$7,-12*$B$6*(1+$B$4)^54)&gt;0,1+$B$3,1))</f>
        <v/>
      </c>
      <c r="BF54">
        <f>IF($B$1+55&gt;90,BE54,(BE54+IF($B$1+55&lt;=$B54,12*$B$7,-12*$B$6*(1+$B$4)^55))*IF(BE54+IF($B$1+55&lt;=$B54,12*$B$7,-12*$B$6*(1+$B$4)^55)&gt;0,1+$B$3,1))</f>
        <v/>
      </c>
      <c r="BG54">
        <f>IF($B$1+56&gt;90,BF54,(BF54+IF($B$1+56&lt;=$B54,12*$B$7,-12*$B$6*(1+$B$4)^56))*IF(BF54+IF($B$1+56&lt;=$B54,12*$B$7,-12*$B$6*(1+$B$4)^56)&gt;0,1+$B$3,1))</f>
        <v/>
      </c>
      <c r="BH54">
        <f>IF($B$1+57&gt;90,BG54,(BG54+IF($B$1+57&lt;=$B54,12*$B$7,-12*$B$6*(1+$B$4)^57))*IF(BG54+IF($B$1+57&lt;=$B54,12*$B$7,-12*$B$6*(1+$B$4)^57)&gt;0,1+$B$3,1))</f>
        <v/>
      </c>
      <c r="BI54">
        <f>IF($B$1+58&gt;90,BH54,(BH54+IF($B$1+58&lt;=$B54,12*$B$7,-12*$B$6*(1+$B$4)^58))*IF(BH54+IF($B$1+58&lt;=$B54,12*$B$7,-12*$B$6*(1+$B$4)^58)&gt;0,1+$B$3,1))</f>
        <v/>
      </c>
      <c r="BJ54">
        <f>IF($B$1+59&gt;90,BI54,(BI54+IF($B$1+59&lt;=$B54,12*$B$7,-12*$B$6*(1+$B$4)^59))*IF(BI54+IF($B$1+59&lt;=$B54,12*$B$7,-12*$B$6*(1+$B$4)^59)&gt;0,1+$B$3,1))</f>
        <v/>
      </c>
      <c r="BK54">
        <f>IF($B$1+60&gt;90,BJ54,(BJ54+IF($B$1+60&lt;=$B54,12*$B$7,-12*$B$6*(1+$B$4)^60))*IF(BJ54+IF($B$1+60&lt;=$B54,12*$B$7,-12*$B$6*(1+$B$4)^60)&gt;0,1+$B$3,1))</f>
        <v/>
      </c>
      <c r="BL54">
        <f>IF($B$1+61&gt;90,BK54,(BK54+IF($B$1+61&lt;=$B54,12*$B$7,-12*$B$6*(1+$B$4)^61))*IF(BK54+IF($B$1+61&lt;=$B54,12*$B$7,-12*$B$6*(1+$B$4)^61)&gt;0,1+$B$3,1))</f>
        <v/>
      </c>
      <c r="BM54">
        <f>IF($B$1+62&gt;90,BL54,(BL54+IF($B$1+62&lt;=$B54,12*$B$7,-12*$B$6*(1+$B$4)^62))*IF(BL54+IF($B$1+62&lt;=$B54,12*$B$7,-12*$B$6*(1+$B$4)^62)&gt;0,1+$B$3,1))</f>
        <v/>
      </c>
      <c r="BN54">
        <f>IF($B$1+63&gt;90,BM54,(BM54+IF($B$1+63&lt;=$B54,12*$B$7,-12*$B$6*(1+$B$4)^63))*IF(BM54+IF($B$1+63&lt;=$B54,12*$B$7,-12*$B$6*(1+$B$4)^63)&gt;0,1+$B$3,1))</f>
        <v/>
      </c>
      <c r="BO54">
        <f>IF($B$1+64&gt;90,BN54,(BN54+IF($B$1+64&lt;=$B54,12*$B$7,-12*$B$6*(1+$B$4)^64))*IF(BN54+IF($B$1+64&lt;=$B54,12*$B$7,-12*$B$6*(1+$B$4)^64)&gt;0,1+$B$3,1))</f>
        <v/>
      </c>
      <c r="BP54">
        <f>IF($B$1+65&gt;90,BO54,(BO54+IF($B$1+65&lt;=$B54,12*$B$7,-12*$B$6*(1+$B$4)^65))*IF(BO54+IF($B$1+65&lt;=$B54,12*$B$7,-12*$B$6*(1+$B$4)^65)&gt;0,1+$B$3,1))</f>
        <v/>
      </c>
      <c r="BQ54">
        <f>IF($B$1+66&gt;90,BP54,(BP54+IF($B$1+66&lt;=$B54,12*$B$7,-12*$B$6*(1+$B$4)^66))*IF(BP54+IF($B$1+66&lt;=$B54,12*$B$7,-12*$B$6*(1+$B$4)^66)&gt;0,1+$B$3,1))</f>
        <v/>
      </c>
      <c r="BR54">
        <f>IF($B$1+67&gt;90,BQ54,(BQ54+IF($B$1+67&lt;=$B54,12*$B$7,-12*$B$6*(1+$B$4)^67))*IF(BQ54+IF($B$1+67&lt;=$B54,12*$B$7,-12*$B$6*(1+$B$4)^67)&gt;0,1+$B$3,1))</f>
        <v/>
      </c>
      <c r="BS54">
        <f>IF($B$1+68&gt;90,BR54,(BR54+IF($B$1+68&lt;=$B54,12*$B$7,-12*$B$6*(1+$B$4)^68))*IF(BR54+IF($B$1+68&lt;=$B54,12*$B$7,-12*$B$6*(1+$B$4)^68)&gt;0,1+$B$3,1))</f>
        <v/>
      </c>
      <c r="BT54">
        <f>IF($B$1+69&gt;90,BS54,(BS54+IF($B$1+69&lt;=$B54,12*$B$7,-12*$B$6*(1+$B$4)^69))*IF(BS54+IF($B$1+69&lt;=$B54,12*$B$7,-12*$B$6*(1+$B$4)^69)&gt;0,1+$B$3,1))</f>
        <v/>
      </c>
      <c r="BU54">
        <f>IF($B$1+70&gt;90,BT54,(BT54+IF($B$1+70&lt;=$B54,12*$B$7,-12*$B$6*(1+$B$4)^70))*IF(BT54+IF($B$1+70&lt;=$B54,12*$B$7,-12*$B$6*(1+$B$4)^70)&gt;0,1+$B$3,1))</f>
        <v/>
      </c>
      <c r="BV54">
        <f>BU54</f>
        <v/>
      </c>
      <c r="BW54">
        <f>IF(AND($B54&lt;=70,BV54&gt;0),$B54,999)</f>
        <v/>
      </c>
      <c r="CB54" t="n">
        <v>53</v>
      </c>
      <c r="CC54">
        <f>IF($B$1+CB54&gt;90,0,12*$B$6*(1+$B$4)^CB54/(1+$B$3)^(CB54-1))</f>
        <v/>
      </c>
      <c r="CE54">
        <f>IF($B$1+52&gt;90,NA(),$B$1+52)</f>
        <v/>
      </c>
      <c r="CF54">
        <f>IF(OR($B$21="",$B$1+52&gt;90),NA(),INDEX($C$40:$BU$90,$B$21-$B$1+1,53))</f>
        <v/>
      </c>
    </row>
    <row r="55">
      <c r="A55" t="n">
        <v>15</v>
      </c>
      <c r="B55">
        <f>$B$1+15</f>
        <v/>
      </c>
      <c r="C55">
        <f>$B$2</f>
        <v/>
      </c>
      <c r="D55">
        <f>IF($B$1+1&gt;90,C55,(C55+IF($B$1+1&lt;=$B55,12*$B$7,-12*$B$6*(1+$B$4)^1))*IF(C55+IF($B$1+1&lt;=$B55,12*$B$7,-12*$B$6*(1+$B$4)^1)&gt;0,1+$B$3,1))</f>
        <v/>
      </c>
      <c r="E55">
        <f>IF($B$1+2&gt;90,D55,(D55+IF($B$1+2&lt;=$B55,12*$B$7,-12*$B$6*(1+$B$4)^2))*IF(D55+IF($B$1+2&lt;=$B55,12*$B$7,-12*$B$6*(1+$B$4)^2)&gt;0,1+$B$3,1))</f>
        <v/>
      </c>
      <c r="F55">
        <f>IF($B$1+3&gt;90,E55,(E55+IF($B$1+3&lt;=$B55,12*$B$7,-12*$B$6*(1+$B$4)^3))*IF(E55+IF($B$1+3&lt;=$B55,12*$B$7,-12*$B$6*(1+$B$4)^3)&gt;0,1+$B$3,1))</f>
        <v/>
      </c>
      <c r="G55">
        <f>IF($B$1+4&gt;90,F55,(F55+IF($B$1+4&lt;=$B55,12*$B$7,-12*$B$6*(1+$B$4)^4))*IF(F55+IF($B$1+4&lt;=$B55,12*$B$7,-12*$B$6*(1+$B$4)^4)&gt;0,1+$B$3,1))</f>
        <v/>
      </c>
      <c r="H55">
        <f>IF($B$1+5&gt;90,G55,(G55+IF($B$1+5&lt;=$B55,12*$B$7,-12*$B$6*(1+$B$4)^5))*IF(G55+IF($B$1+5&lt;=$B55,12*$B$7,-12*$B$6*(1+$B$4)^5)&gt;0,1+$B$3,1))</f>
        <v/>
      </c>
      <c r="I55">
        <f>IF($B$1+6&gt;90,H55,(H55+IF($B$1+6&lt;=$B55,12*$B$7,-12*$B$6*(1+$B$4)^6))*IF(H55+IF($B$1+6&lt;=$B55,12*$B$7,-12*$B$6*(1+$B$4)^6)&gt;0,1+$B$3,1))</f>
        <v/>
      </c>
      <c r="J55">
        <f>IF($B$1+7&gt;90,I55,(I55+IF($B$1+7&lt;=$B55,12*$B$7,-12*$B$6*(1+$B$4)^7))*IF(I55+IF($B$1+7&lt;=$B55,12*$B$7,-12*$B$6*(1+$B$4)^7)&gt;0,1+$B$3,1))</f>
        <v/>
      </c>
      <c r="K55">
        <f>IF($B$1+8&gt;90,J55,(J55+IF($B$1+8&lt;=$B55,12*$B$7,-12*$B$6*(1+$B$4)^8))*IF(J55+IF($B$1+8&lt;=$B55,12*$B$7,-12*$B$6*(1+$B$4)^8)&gt;0,1+$B$3,1))</f>
        <v/>
      </c>
      <c r="L55">
        <f>IF($B$1+9&gt;90,K55,(K55+IF($B$1+9&lt;=$B55,12*$B$7,-12*$B$6*(1+$B$4)^9))*IF(K55+IF($B$1+9&lt;=$B55,12*$B$7,-12*$B$6*(1+$B$4)^9)&gt;0,1+$B$3,1))</f>
        <v/>
      </c>
      <c r="M55">
        <f>IF($B$1+10&gt;90,L55,(L55+IF($B$1+10&lt;=$B55,12*$B$7,-12*$B$6*(1+$B$4)^10))*IF(L55+IF($B$1+10&lt;=$B55,12*$B$7,-12*$B$6*(1+$B$4)^10)&gt;0,1+$B$3,1))</f>
        <v/>
      </c>
      <c r="N55">
        <f>IF($B$1+11&gt;90,M55,(M55+IF($B$1+11&lt;=$B55,12*$B$7,-12*$B$6*(1+$B$4)^11))*IF(M55+IF($B$1+11&lt;=$B55,12*$B$7,-12*$B$6*(1+$B$4)^11)&gt;0,1+$B$3,1))</f>
        <v/>
      </c>
      <c r="O55">
        <f>IF($B$1+12&gt;90,N55,(N55+IF($B$1+12&lt;=$B55,12*$B$7,-12*$B$6*(1+$B$4)^12))*IF(N55+IF($B$1+12&lt;=$B55,12*$B$7,-12*$B$6*(1+$B$4)^12)&gt;0,1+$B$3,1))</f>
        <v/>
      </c>
      <c r="P55">
        <f>IF($B$1+13&gt;90,O55,(O55+IF($B$1+13&lt;=$B55,12*$B$7,-12*$B$6*(1+$B$4)^13))*IF(O55+IF($B$1+13&lt;=$B55,12*$B$7,-12*$B$6*(1+$B$4)^13)&gt;0,1+$B$3,1))</f>
        <v/>
      </c>
      <c r="Q55">
        <f>IF($B$1+14&gt;90,P55,(P55+IF($B$1+14&lt;=$B55,12*$B$7,-12*$B$6*(1+$B$4)^14))*IF(P55+IF($B$1+14&lt;=$B55,12*$B$7,-12*$B$6*(1+$B$4)^14)&gt;0,1+$B$3,1))</f>
        <v/>
      </c>
      <c r="R55">
        <f>IF($B$1+15&gt;90,Q55,(Q55+IF($B$1+15&lt;=$B55,12*$B$7,-12*$B$6*(1+$B$4)^15))*IF(Q55+IF($B$1+15&lt;=$B55,12*$B$7,-12*$B$6*(1+$B$4)^15)&gt;0,1+$B$3,1))</f>
        <v/>
      </c>
      <c r="S55">
        <f>IF($B$1+16&gt;90,R55,(R55+IF($B$1+16&lt;=$B55,12*$B$7,-12*$B$6*(1+$B$4)^16))*IF(R55+IF($B$1+16&lt;=$B55,12*$B$7,-12*$B$6*(1+$B$4)^16)&gt;0,1+$B$3,1))</f>
        <v/>
      </c>
      <c r="T55">
        <f>IF($B$1+17&gt;90,S55,(S55+IF($B$1+17&lt;=$B55,12*$B$7,-12*$B$6*(1+$B$4)^17))*IF(S55+IF($B$1+17&lt;=$B55,12*$B$7,-12*$B$6*(1+$B$4)^17)&gt;0,1+$B$3,1))</f>
        <v/>
      </c>
      <c r="U55">
        <f>IF($B$1+18&gt;90,T55,(T55+IF($B$1+18&lt;=$B55,12*$B$7,-12*$B$6*(1+$B$4)^18))*IF(T55+IF($B$1+18&lt;=$B55,12*$B$7,-12*$B$6*(1+$B$4)^18)&gt;0,1+$B$3,1))</f>
        <v/>
      </c>
      <c r="V55">
        <f>IF($B$1+19&gt;90,U55,(U55+IF($B$1+19&lt;=$B55,12*$B$7,-12*$B$6*(1+$B$4)^19))*IF(U55+IF($B$1+19&lt;=$B55,12*$B$7,-12*$B$6*(1+$B$4)^19)&gt;0,1+$B$3,1))</f>
        <v/>
      </c>
      <c r="W55">
        <f>IF($B$1+20&gt;90,V55,(V55+IF($B$1+20&lt;=$B55,12*$B$7,-12*$B$6*(1+$B$4)^20))*IF(V55+IF($B$1+20&lt;=$B55,12*$B$7,-12*$B$6*(1+$B$4)^20)&gt;0,1+$B$3,1))</f>
        <v/>
      </c>
      <c r="X55">
        <f>IF($B$1+21&gt;90,W55,(W55+IF($B$1+21&lt;=$B55,12*$B$7,-12*$B$6*(1+$B$4)^21))*IF(W55+IF($B$1+21&lt;=$B55,12*$B$7,-12*$B$6*(1+$B$4)^21)&gt;0,1+$B$3,1))</f>
        <v/>
      </c>
      <c r="Y55">
        <f>IF($B$1+22&gt;90,X55,(X55+IF($B$1+22&lt;=$B55,12*$B$7,-12*$B$6*(1+$B$4)^22))*IF(X55+IF($B$1+22&lt;=$B55,12*$B$7,-12*$B$6*(1+$B$4)^22)&gt;0,1+$B$3,1))</f>
        <v/>
      </c>
      <c r="Z55">
        <f>IF($B$1+23&gt;90,Y55,(Y55+IF($B$1+23&lt;=$B55,12*$B$7,-12*$B$6*(1+$B$4)^23))*IF(Y55+IF($B$1+23&lt;=$B55,12*$B$7,-12*$B$6*(1+$B$4)^23)&gt;0,1+$B$3,1))</f>
        <v/>
      </c>
      <c r="AA55">
        <f>IF($B$1+24&gt;90,Z55,(Z55+IF($B$1+24&lt;=$B55,12*$B$7,-12*$B$6*(1+$B$4)^24))*IF(Z55+IF($B$1+24&lt;=$B55,12*$B$7,-12*$B$6*(1+$B$4)^24)&gt;0,1+$B$3,1))</f>
        <v/>
      </c>
      <c r="AB55">
        <f>IF($B$1+25&gt;90,AA55,(AA55+IF($B$1+25&lt;=$B55,12*$B$7,-12*$B$6*(1+$B$4)^25))*IF(AA55+IF($B$1+25&lt;=$B55,12*$B$7,-12*$B$6*(1+$B$4)^25)&gt;0,1+$B$3,1))</f>
        <v/>
      </c>
      <c r="AC55">
        <f>IF($B$1+26&gt;90,AB55,(AB55+IF($B$1+26&lt;=$B55,12*$B$7,-12*$B$6*(1+$B$4)^26))*IF(AB55+IF($B$1+26&lt;=$B55,12*$B$7,-12*$B$6*(1+$B$4)^26)&gt;0,1+$B$3,1))</f>
        <v/>
      </c>
      <c r="AD55">
        <f>IF($B$1+27&gt;90,AC55,(AC55+IF($B$1+27&lt;=$B55,12*$B$7,-12*$B$6*(1+$B$4)^27))*IF(AC55+IF($B$1+27&lt;=$B55,12*$B$7,-12*$B$6*(1+$B$4)^27)&gt;0,1+$B$3,1))</f>
        <v/>
      </c>
      <c r="AE55">
        <f>IF($B$1+28&gt;90,AD55,(AD55+IF($B$1+28&lt;=$B55,12*$B$7,-12*$B$6*(1+$B$4)^28))*IF(AD55+IF($B$1+28&lt;=$B55,12*$B$7,-12*$B$6*(1+$B$4)^28)&gt;0,1+$B$3,1))</f>
        <v/>
      </c>
      <c r="AF55">
        <f>IF($B$1+29&gt;90,AE55,(AE55+IF($B$1+29&lt;=$B55,12*$B$7,-12*$B$6*(1+$B$4)^29))*IF(AE55+IF($B$1+29&lt;=$B55,12*$B$7,-12*$B$6*(1+$B$4)^29)&gt;0,1+$B$3,1))</f>
        <v/>
      </c>
      <c r="AG55">
        <f>IF($B$1+30&gt;90,AF55,(AF55+IF($B$1+30&lt;=$B55,12*$B$7,-12*$B$6*(1+$B$4)^30))*IF(AF55+IF($B$1+30&lt;=$B55,12*$B$7,-12*$B$6*(1+$B$4)^30)&gt;0,1+$B$3,1))</f>
        <v/>
      </c>
      <c r="AH55">
        <f>IF($B$1+31&gt;90,AG55,(AG55+IF($B$1+31&lt;=$B55,12*$B$7,-12*$B$6*(1+$B$4)^31))*IF(AG55+IF($B$1+31&lt;=$B55,12*$B$7,-12*$B$6*(1+$B$4)^31)&gt;0,1+$B$3,1))</f>
        <v/>
      </c>
      <c r="AI55">
        <f>IF($B$1+32&gt;90,AH55,(AH55+IF($B$1+32&lt;=$B55,12*$B$7,-12*$B$6*(1+$B$4)^32))*IF(AH55+IF($B$1+32&lt;=$B55,12*$B$7,-12*$B$6*(1+$B$4)^32)&gt;0,1+$B$3,1))</f>
        <v/>
      </c>
      <c r="AJ55">
        <f>IF($B$1+33&gt;90,AI55,(AI55+IF($B$1+33&lt;=$B55,12*$B$7,-12*$B$6*(1+$B$4)^33))*IF(AI55+IF($B$1+33&lt;=$B55,12*$B$7,-12*$B$6*(1+$B$4)^33)&gt;0,1+$B$3,1))</f>
        <v/>
      </c>
      <c r="AK55">
        <f>IF($B$1+34&gt;90,AJ55,(AJ55+IF($B$1+34&lt;=$B55,12*$B$7,-12*$B$6*(1+$B$4)^34))*IF(AJ55+IF($B$1+34&lt;=$B55,12*$B$7,-12*$B$6*(1+$B$4)^34)&gt;0,1+$B$3,1))</f>
        <v/>
      </c>
      <c r="AL55">
        <f>IF($B$1+35&gt;90,AK55,(AK55+IF($B$1+35&lt;=$B55,12*$B$7,-12*$B$6*(1+$B$4)^35))*IF(AK55+IF($B$1+35&lt;=$B55,12*$B$7,-12*$B$6*(1+$B$4)^35)&gt;0,1+$B$3,1))</f>
        <v/>
      </c>
      <c r="AM55">
        <f>IF($B$1+36&gt;90,AL55,(AL55+IF($B$1+36&lt;=$B55,12*$B$7,-12*$B$6*(1+$B$4)^36))*IF(AL55+IF($B$1+36&lt;=$B55,12*$B$7,-12*$B$6*(1+$B$4)^36)&gt;0,1+$B$3,1))</f>
        <v/>
      </c>
      <c r="AN55">
        <f>IF($B$1+37&gt;90,AM55,(AM55+IF($B$1+37&lt;=$B55,12*$B$7,-12*$B$6*(1+$B$4)^37))*IF(AM55+IF($B$1+37&lt;=$B55,12*$B$7,-12*$B$6*(1+$B$4)^37)&gt;0,1+$B$3,1))</f>
        <v/>
      </c>
      <c r="AO55">
        <f>IF($B$1+38&gt;90,AN55,(AN55+IF($B$1+38&lt;=$B55,12*$B$7,-12*$B$6*(1+$B$4)^38))*IF(AN55+IF($B$1+38&lt;=$B55,12*$B$7,-12*$B$6*(1+$B$4)^38)&gt;0,1+$B$3,1))</f>
        <v/>
      </c>
      <c r="AP55">
        <f>IF($B$1+39&gt;90,AO55,(AO55+IF($B$1+39&lt;=$B55,12*$B$7,-12*$B$6*(1+$B$4)^39))*IF(AO55+IF($B$1+39&lt;=$B55,12*$B$7,-12*$B$6*(1+$B$4)^39)&gt;0,1+$B$3,1))</f>
        <v/>
      </c>
      <c r="AQ55">
        <f>IF($B$1+40&gt;90,AP55,(AP55+IF($B$1+40&lt;=$B55,12*$B$7,-12*$B$6*(1+$B$4)^40))*IF(AP55+IF($B$1+40&lt;=$B55,12*$B$7,-12*$B$6*(1+$B$4)^40)&gt;0,1+$B$3,1))</f>
        <v/>
      </c>
      <c r="AR55">
        <f>IF($B$1+41&gt;90,AQ55,(AQ55+IF($B$1+41&lt;=$B55,12*$B$7,-12*$B$6*(1+$B$4)^41))*IF(AQ55+IF($B$1+41&lt;=$B55,12*$B$7,-12*$B$6*(1+$B$4)^41)&gt;0,1+$B$3,1))</f>
        <v/>
      </c>
      <c r="AS55">
        <f>IF($B$1+42&gt;90,AR55,(AR55+IF($B$1+42&lt;=$B55,12*$B$7,-12*$B$6*(1+$B$4)^42))*IF(AR55+IF($B$1+42&lt;=$B55,12*$B$7,-12*$B$6*(1+$B$4)^42)&gt;0,1+$B$3,1))</f>
        <v/>
      </c>
      <c r="AT55">
        <f>IF($B$1+43&gt;90,AS55,(AS55+IF($B$1+43&lt;=$B55,12*$B$7,-12*$B$6*(1+$B$4)^43))*IF(AS55+IF($B$1+43&lt;=$B55,12*$B$7,-12*$B$6*(1+$B$4)^43)&gt;0,1+$B$3,1))</f>
        <v/>
      </c>
      <c r="AU55">
        <f>IF($B$1+44&gt;90,AT55,(AT55+IF($B$1+44&lt;=$B55,12*$B$7,-12*$B$6*(1+$B$4)^44))*IF(AT55+IF($B$1+44&lt;=$B55,12*$B$7,-12*$B$6*(1+$B$4)^44)&gt;0,1+$B$3,1))</f>
        <v/>
      </c>
      <c r="AV55">
        <f>IF($B$1+45&gt;90,AU55,(AU55+IF($B$1+45&lt;=$B55,12*$B$7,-12*$B$6*(1+$B$4)^45))*IF(AU55+IF($B$1+45&lt;=$B55,12*$B$7,-12*$B$6*(1+$B$4)^45)&gt;0,1+$B$3,1))</f>
        <v/>
      </c>
      <c r="AW55">
        <f>IF($B$1+46&gt;90,AV55,(AV55+IF($B$1+46&lt;=$B55,12*$B$7,-12*$B$6*(1+$B$4)^46))*IF(AV55+IF($B$1+46&lt;=$B55,12*$B$7,-12*$B$6*(1+$B$4)^46)&gt;0,1+$B$3,1))</f>
        <v/>
      </c>
      <c r="AX55">
        <f>IF($B$1+47&gt;90,AW55,(AW55+IF($B$1+47&lt;=$B55,12*$B$7,-12*$B$6*(1+$B$4)^47))*IF(AW55+IF($B$1+47&lt;=$B55,12*$B$7,-12*$B$6*(1+$B$4)^47)&gt;0,1+$B$3,1))</f>
        <v/>
      </c>
      <c r="AY55">
        <f>IF($B$1+48&gt;90,AX55,(AX55+IF($B$1+48&lt;=$B55,12*$B$7,-12*$B$6*(1+$B$4)^48))*IF(AX55+IF($B$1+48&lt;=$B55,12*$B$7,-12*$B$6*(1+$B$4)^48)&gt;0,1+$B$3,1))</f>
        <v/>
      </c>
      <c r="AZ55">
        <f>IF($B$1+49&gt;90,AY55,(AY55+IF($B$1+49&lt;=$B55,12*$B$7,-12*$B$6*(1+$B$4)^49))*IF(AY55+IF($B$1+49&lt;=$B55,12*$B$7,-12*$B$6*(1+$B$4)^49)&gt;0,1+$B$3,1))</f>
        <v/>
      </c>
      <c r="BA55">
        <f>IF($B$1+50&gt;90,AZ55,(AZ55+IF($B$1+50&lt;=$B55,12*$B$7,-12*$B$6*(1+$B$4)^50))*IF(AZ55+IF($B$1+50&lt;=$B55,12*$B$7,-12*$B$6*(1+$B$4)^50)&gt;0,1+$B$3,1))</f>
        <v/>
      </c>
      <c r="BB55">
        <f>IF($B$1+51&gt;90,BA55,(BA55+IF($B$1+51&lt;=$B55,12*$B$7,-12*$B$6*(1+$B$4)^51))*IF(BA55+IF($B$1+51&lt;=$B55,12*$B$7,-12*$B$6*(1+$B$4)^51)&gt;0,1+$B$3,1))</f>
        <v/>
      </c>
      <c r="BC55">
        <f>IF($B$1+52&gt;90,BB55,(BB55+IF($B$1+52&lt;=$B55,12*$B$7,-12*$B$6*(1+$B$4)^52))*IF(BB55+IF($B$1+52&lt;=$B55,12*$B$7,-12*$B$6*(1+$B$4)^52)&gt;0,1+$B$3,1))</f>
        <v/>
      </c>
      <c r="BD55">
        <f>IF($B$1+53&gt;90,BC55,(BC55+IF($B$1+53&lt;=$B55,12*$B$7,-12*$B$6*(1+$B$4)^53))*IF(BC55+IF($B$1+53&lt;=$B55,12*$B$7,-12*$B$6*(1+$B$4)^53)&gt;0,1+$B$3,1))</f>
        <v/>
      </c>
      <c r="BE55">
        <f>IF($B$1+54&gt;90,BD55,(BD55+IF($B$1+54&lt;=$B55,12*$B$7,-12*$B$6*(1+$B$4)^54))*IF(BD55+IF($B$1+54&lt;=$B55,12*$B$7,-12*$B$6*(1+$B$4)^54)&gt;0,1+$B$3,1))</f>
        <v/>
      </c>
      <c r="BF55">
        <f>IF($B$1+55&gt;90,BE55,(BE55+IF($B$1+55&lt;=$B55,12*$B$7,-12*$B$6*(1+$B$4)^55))*IF(BE55+IF($B$1+55&lt;=$B55,12*$B$7,-12*$B$6*(1+$B$4)^55)&gt;0,1+$B$3,1))</f>
        <v/>
      </c>
      <c r="BG55">
        <f>IF($B$1+56&gt;90,BF55,(BF55+IF($B$1+56&lt;=$B55,12*$B$7,-12*$B$6*(1+$B$4)^56))*IF(BF55+IF($B$1+56&lt;=$B55,12*$B$7,-12*$B$6*(1+$B$4)^56)&gt;0,1+$B$3,1))</f>
        <v/>
      </c>
      <c r="BH55">
        <f>IF($B$1+57&gt;90,BG55,(BG55+IF($B$1+57&lt;=$B55,12*$B$7,-12*$B$6*(1+$B$4)^57))*IF(BG55+IF($B$1+57&lt;=$B55,12*$B$7,-12*$B$6*(1+$B$4)^57)&gt;0,1+$B$3,1))</f>
        <v/>
      </c>
      <c r="BI55">
        <f>IF($B$1+58&gt;90,BH55,(BH55+IF($B$1+58&lt;=$B55,12*$B$7,-12*$B$6*(1+$B$4)^58))*IF(BH55+IF($B$1+58&lt;=$B55,12*$B$7,-12*$B$6*(1+$B$4)^58)&gt;0,1+$B$3,1))</f>
        <v/>
      </c>
      <c r="BJ55">
        <f>IF($B$1+59&gt;90,BI55,(BI55+IF($B$1+59&lt;=$B55,12*$B$7,-12*$B$6*(1+$B$4)^59))*IF(BI55+IF($B$1+59&lt;=$B55,12*$B$7,-12*$B$6*(1+$B$4)^59)&gt;0,1+$B$3,1))</f>
        <v/>
      </c>
      <c r="BK55">
        <f>IF($B$1+60&gt;90,BJ55,(BJ55+IF($B$1+60&lt;=$B55,12*$B$7,-12*$B$6*(1+$B$4)^60))*IF(BJ55+IF($B$1+60&lt;=$B55,12*$B$7,-12*$B$6*(1+$B$4)^60)&gt;0,1+$B$3,1))</f>
        <v/>
      </c>
      <c r="BL55">
        <f>IF($B$1+61&gt;90,BK55,(BK55+IF($B$1+61&lt;=$B55,12*$B$7,-12*$B$6*(1+$B$4)^61))*IF(BK55+IF($B$1+61&lt;=$B55,12*$B$7,-12*$B$6*(1+$B$4)^61)&gt;0,1+$B$3,1))</f>
        <v/>
      </c>
      <c r="BM55">
        <f>IF($B$1+62&gt;90,BL55,(BL55+IF($B$1+62&lt;=$B55,12*$B$7,-12*$B$6*(1+$B$4)^62))*IF(BL55+IF($B$1+62&lt;=$B55,12*$B$7,-12*$B$6*(1+$B$4)^62)&gt;0,1+$B$3,1))</f>
        <v/>
      </c>
      <c r="BN55">
        <f>IF($B$1+63&gt;90,BM55,(BM55+IF($B$1+63&lt;=$B55,12*$B$7,-12*$B$6*(1+$B$4)^63))*IF(BM55+IF($B$1+63&lt;=$B55,12*$B$7,-12*$B$6*(1+$B$4)^63)&gt;0,1+$B$3,1))</f>
        <v/>
      </c>
      <c r="BO55">
        <f>IF($B$1+64&gt;90,BN55,(BN55+IF($B$1+64&lt;=$B55,12*$B$7,-12*$B$6*(1+$B$4)^64))*IF(BN55+IF($B$1+64&lt;=$B55,12*$B$7,-12*$B$6*(1+$B$4)^64)&gt;0,1+$B$3,1))</f>
        <v/>
      </c>
      <c r="BP55">
        <f>IF($B$1+65&gt;90,BO55,(BO55+IF($B$1+65&lt;=$B55,12*$B$7,-12*$B$6*(1+$B$4)^65))*IF(BO55+IF($B$1+65&lt;=$B55,12*$B$7,-12*$B$6*(1+$B$4)^65)&gt;0,1+$B$3,1))</f>
        <v/>
      </c>
      <c r="BQ55">
        <f>IF($B$1+66&gt;90,BP55,(BP55+IF($B$1+66&lt;=$B55,12*$B$7,-12*$B$6*(1+$B$4)^66))*IF(BP55+IF($B$1+66&lt;=$B55,12*$B$7,-12*$B$6*(1+$B$4)^66)&gt;0,1+$B$3,1))</f>
        <v/>
      </c>
      <c r="BR55">
        <f>IF($B$1+67&gt;90,BQ55,(BQ55+IF($B$1+67&lt;=$B55,12*$B$7,-12*$B$6*(1+$B$4)^67))*IF(BQ55+IF($B$1+67&lt;=$B55,12*$B$7,-12*$B$6*(1+$B$4)^67)&gt;0,1+$B$3,1))</f>
        <v/>
      </c>
      <c r="BS55">
        <f>IF($B$1+68&gt;90,BR55,(BR55+IF($B$1+68&lt;=$B55,12*$B$7,-12*$B$6*(1+$B$4)^68))*IF(BR55+IF($B$1+68&lt;=$B55,12*$B$7,-12*$B$6*(1+$B$4)^68)&gt;0,1+$B$3,1))</f>
        <v/>
      </c>
      <c r="BT55">
        <f>IF($B$1+69&gt;90,BS55,(BS55+IF($B$1+69&lt;=$B55,12*$B$7,-12*$B$6*(1+$B$4)^69))*IF(BS55+IF($B$1+69&lt;=$B55,12*$B$7,-12*$B$6*(1+$B$4)^69)&gt;0,1+$B$3,1))</f>
        <v/>
      </c>
      <c r="BU55">
        <f>IF($B$1+70&gt;90,BT55,(BT55+IF($B$1+70&lt;=$B55,12*$B$7,-12*$B$6*(1+$B$4)^70))*IF(BT55+IF($B$1+70&lt;=$B55,12*$B$7,-12*$B$6*(1+$B$4)^70)&gt;0,1+$B$3,1))</f>
        <v/>
      </c>
      <c r="BV55">
        <f>BU55</f>
        <v/>
      </c>
      <c r="BW55">
        <f>IF(AND($B55&lt;=70,BV55&gt;0),$B55,999)</f>
        <v/>
      </c>
      <c r="CB55" t="n">
        <v>54</v>
      </c>
      <c r="CC55">
        <f>IF($B$1+CB55&gt;90,0,12*$B$6*(1+$B$4)^CB55/(1+$B$3)^(CB55-1))</f>
        <v/>
      </c>
      <c r="CE55">
        <f>IF($B$1+53&gt;90,NA(),$B$1+53)</f>
        <v/>
      </c>
      <c r="CF55">
        <f>IF(OR($B$21="",$B$1+53&gt;90),NA(),INDEX($C$40:$BU$90,$B$21-$B$1+1,54))</f>
        <v/>
      </c>
    </row>
    <row r="56">
      <c r="A56" t="n">
        <v>16</v>
      </c>
      <c r="B56">
        <f>$B$1+16</f>
        <v/>
      </c>
      <c r="C56">
        <f>$B$2</f>
        <v/>
      </c>
      <c r="D56">
        <f>IF($B$1+1&gt;90,C56,(C56+IF($B$1+1&lt;=$B56,12*$B$7,-12*$B$6*(1+$B$4)^1))*IF(C56+IF($B$1+1&lt;=$B56,12*$B$7,-12*$B$6*(1+$B$4)^1)&gt;0,1+$B$3,1))</f>
        <v/>
      </c>
      <c r="E56">
        <f>IF($B$1+2&gt;90,D56,(D56+IF($B$1+2&lt;=$B56,12*$B$7,-12*$B$6*(1+$B$4)^2))*IF(D56+IF($B$1+2&lt;=$B56,12*$B$7,-12*$B$6*(1+$B$4)^2)&gt;0,1+$B$3,1))</f>
        <v/>
      </c>
      <c r="F56">
        <f>IF($B$1+3&gt;90,E56,(E56+IF($B$1+3&lt;=$B56,12*$B$7,-12*$B$6*(1+$B$4)^3))*IF(E56+IF($B$1+3&lt;=$B56,12*$B$7,-12*$B$6*(1+$B$4)^3)&gt;0,1+$B$3,1))</f>
        <v/>
      </c>
      <c r="G56">
        <f>IF($B$1+4&gt;90,F56,(F56+IF($B$1+4&lt;=$B56,12*$B$7,-12*$B$6*(1+$B$4)^4))*IF(F56+IF($B$1+4&lt;=$B56,12*$B$7,-12*$B$6*(1+$B$4)^4)&gt;0,1+$B$3,1))</f>
        <v/>
      </c>
      <c r="H56">
        <f>IF($B$1+5&gt;90,G56,(G56+IF($B$1+5&lt;=$B56,12*$B$7,-12*$B$6*(1+$B$4)^5))*IF(G56+IF($B$1+5&lt;=$B56,12*$B$7,-12*$B$6*(1+$B$4)^5)&gt;0,1+$B$3,1))</f>
        <v/>
      </c>
      <c r="I56">
        <f>IF($B$1+6&gt;90,H56,(H56+IF($B$1+6&lt;=$B56,12*$B$7,-12*$B$6*(1+$B$4)^6))*IF(H56+IF($B$1+6&lt;=$B56,12*$B$7,-12*$B$6*(1+$B$4)^6)&gt;0,1+$B$3,1))</f>
        <v/>
      </c>
      <c r="J56">
        <f>IF($B$1+7&gt;90,I56,(I56+IF($B$1+7&lt;=$B56,12*$B$7,-12*$B$6*(1+$B$4)^7))*IF(I56+IF($B$1+7&lt;=$B56,12*$B$7,-12*$B$6*(1+$B$4)^7)&gt;0,1+$B$3,1))</f>
        <v/>
      </c>
      <c r="K56">
        <f>IF($B$1+8&gt;90,J56,(J56+IF($B$1+8&lt;=$B56,12*$B$7,-12*$B$6*(1+$B$4)^8))*IF(J56+IF($B$1+8&lt;=$B56,12*$B$7,-12*$B$6*(1+$B$4)^8)&gt;0,1+$B$3,1))</f>
        <v/>
      </c>
      <c r="L56">
        <f>IF($B$1+9&gt;90,K56,(K56+IF($B$1+9&lt;=$B56,12*$B$7,-12*$B$6*(1+$B$4)^9))*IF(K56+IF($B$1+9&lt;=$B56,12*$B$7,-12*$B$6*(1+$B$4)^9)&gt;0,1+$B$3,1))</f>
        <v/>
      </c>
      <c r="M56">
        <f>IF($B$1+10&gt;90,L56,(L56+IF($B$1+10&lt;=$B56,12*$B$7,-12*$B$6*(1+$B$4)^10))*IF(L56+IF($B$1+10&lt;=$B56,12*$B$7,-12*$B$6*(1+$B$4)^10)&gt;0,1+$B$3,1))</f>
        <v/>
      </c>
      <c r="N56">
        <f>IF($B$1+11&gt;90,M56,(M56+IF($B$1+11&lt;=$B56,12*$B$7,-12*$B$6*(1+$B$4)^11))*IF(M56+IF($B$1+11&lt;=$B56,12*$B$7,-12*$B$6*(1+$B$4)^11)&gt;0,1+$B$3,1))</f>
        <v/>
      </c>
      <c r="O56">
        <f>IF($B$1+12&gt;90,N56,(N56+IF($B$1+12&lt;=$B56,12*$B$7,-12*$B$6*(1+$B$4)^12))*IF(N56+IF($B$1+12&lt;=$B56,12*$B$7,-12*$B$6*(1+$B$4)^12)&gt;0,1+$B$3,1))</f>
        <v/>
      </c>
      <c r="P56">
        <f>IF($B$1+13&gt;90,O56,(O56+IF($B$1+13&lt;=$B56,12*$B$7,-12*$B$6*(1+$B$4)^13))*IF(O56+IF($B$1+13&lt;=$B56,12*$B$7,-12*$B$6*(1+$B$4)^13)&gt;0,1+$B$3,1))</f>
        <v/>
      </c>
      <c r="Q56">
        <f>IF($B$1+14&gt;90,P56,(P56+IF($B$1+14&lt;=$B56,12*$B$7,-12*$B$6*(1+$B$4)^14))*IF(P56+IF($B$1+14&lt;=$B56,12*$B$7,-12*$B$6*(1+$B$4)^14)&gt;0,1+$B$3,1))</f>
        <v/>
      </c>
      <c r="R56">
        <f>IF($B$1+15&gt;90,Q56,(Q56+IF($B$1+15&lt;=$B56,12*$B$7,-12*$B$6*(1+$B$4)^15))*IF(Q56+IF($B$1+15&lt;=$B56,12*$B$7,-12*$B$6*(1+$B$4)^15)&gt;0,1+$B$3,1))</f>
        <v/>
      </c>
      <c r="S56">
        <f>IF($B$1+16&gt;90,R56,(R56+IF($B$1+16&lt;=$B56,12*$B$7,-12*$B$6*(1+$B$4)^16))*IF(R56+IF($B$1+16&lt;=$B56,12*$B$7,-12*$B$6*(1+$B$4)^16)&gt;0,1+$B$3,1))</f>
        <v/>
      </c>
      <c r="T56">
        <f>IF($B$1+17&gt;90,S56,(S56+IF($B$1+17&lt;=$B56,12*$B$7,-12*$B$6*(1+$B$4)^17))*IF(S56+IF($B$1+17&lt;=$B56,12*$B$7,-12*$B$6*(1+$B$4)^17)&gt;0,1+$B$3,1))</f>
        <v/>
      </c>
      <c r="U56">
        <f>IF($B$1+18&gt;90,T56,(T56+IF($B$1+18&lt;=$B56,12*$B$7,-12*$B$6*(1+$B$4)^18))*IF(T56+IF($B$1+18&lt;=$B56,12*$B$7,-12*$B$6*(1+$B$4)^18)&gt;0,1+$B$3,1))</f>
        <v/>
      </c>
      <c r="V56">
        <f>IF($B$1+19&gt;90,U56,(U56+IF($B$1+19&lt;=$B56,12*$B$7,-12*$B$6*(1+$B$4)^19))*IF(U56+IF($B$1+19&lt;=$B56,12*$B$7,-12*$B$6*(1+$B$4)^19)&gt;0,1+$B$3,1))</f>
        <v/>
      </c>
      <c r="W56">
        <f>IF($B$1+20&gt;90,V56,(V56+IF($B$1+20&lt;=$B56,12*$B$7,-12*$B$6*(1+$B$4)^20))*IF(V56+IF($B$1+20&lt;=$B56,12*$B$7,-12*$B$6*(1+$B$4)^20)&gt;0,1+$B$3,1))</f>
        <v/>
      </c>
      <c r="X56">
        <f>IF($B$1+21&gt;90,W56,(W56+IF($B$1+21&lt;=$B56,12*$B$7,-12*$B$6*(1+$B$4)^21))*IF(W56+IF($B$1+21&lt;=$B56,12*$B$7,-12*$B$6*(1+$B$4)^21)&gt;0,1+$B$3,1))</f>
        <v/>
      </c>
      <c r="Y56">
        <f>IF($B$1+22&gt;90,X56,(X56+IF($B$1+22&lt;=$B56,12*$B$7,-12*$B$6*(1+$B$4)^22))*IF(X56+IF($B$1+22&lt;=$B56,12*$B$7,-12*$B$6*(1+$B$4)^22)&gt;0,1+$B$3,1))</f>
        <v/>
      </c>
      <c r="Z56">
        <f>IF($B$1+23&gt;90,Y56,(Y56+IF($B$1+23&lt;=$B56,12*$B$7,-12*$B$6*(1+$B$4)^23))*IF(Y56+IF($B$1+23&lt;=$B56,12*$B$7,-12*$B$6*(1+$B$4)^23)&gt;0,1+$B$3,1))</f>
        <v/>
      </c>
      <c r="AA56">
        <f>IF($B$1+24&gt;90,Z56,(Z56+IF($B$1+24&lt;=$B56,12*$B$7,-12*$B$6*(1+$B$4)^24))*IF(Z56+IF($B$1+24&lt;=$B56,12*$B$7,-12*$B$6*(1+$B$4)^24)&gt;0,1+$B$3,1))</f>
        <v/>
      </c>
      <c r="AB56">
        <f>IF($B$1+25&gt;90,AA56,(AA56+IF($B$1+25&lt;=$B56,12*$B$7,-12*$B$6*(1+$B$4)^25))*IF(AA56+IF($B$1+25&lt;=$B56,12*$B$7,-12*$B$6*(1+$B$4)^25)&gt;0,1+$B$3,1))</f>
        <v/>
      </c>
      <c r="AC56">
        <f>IF($B$1+26&gt;90,AB56,(AB56+IF($B$1+26&lt;=$B56,12*$B$7,-12*$B$6*(1+$B$4)^26))*IF(AB56+IF($B$1+26&lt;=$B56,12*$B$7,-12*$B$6*(1+$B$4)^26)&gt;0,1+$B$3,1))</f>
        <v/>
      </c>
      <c r="AD56">
        <f>IF($B$1+27&gt;90,AC56,(AC56+IF($B$1+27&lt;=$B56,12*$B$7,-12*$B$6*(1+$B$4)^27))*IF(AC56+IF($B$1+27&lt;=$B56,12*$B$7,-12*$B$6*(1+$B$4)^27)&gt;0,1+$B$3,1))</f>
        <v/>
      </c>
      <c r="AE56">
        <f>IF($B$1+28&gt;90,AD56,(AD56+IF($B$1+28&lt;=$B56,12*$B$7,-12*$B$6*(1+$B$4)^28))*IF(AD56+IF($B$1+28&lt;=$B56,12*$B$7,-12*$B$6*(1+$B$4)^28)&gt;0,1+$B$3,1))</f>
        <v/>
      </c>
      <c r="AF56">
        <f>IF($B$1+29&gt;90,AE56,(AE56+IF($B$1+29&lt;=$B56,12*$B$7,-12*$B$6*(1+$B$4)^29))*IF(AE56+IF($B$1+29&lt;=$B56,12*$B$7,-12*$B$6*(1+$B$4)^29)&gt;0,1+$B$3,1))</f>
        <v/>
      </c>
      <c r="AG56">
        <f>IF($B$1+30&gt;90,AF56,(AF56+IF($B$1+30&lt;=$B56,12*$B$7,-12*$B$6*(1+$B$4)^30))*IF(AF56+IF($B$1+30&lt;=$B56,12*$B$7,-12*$B$6*(1+$B$4)^30)&gt;0,1+$B$3,1))</f>
        <v/>
      </c>
      <c r="AH56">
        <f>IF($B$1+31&gt;90,AG56,(AG56+IF($B$1+31&lt;=$B56,12*$B$7,-12*$B$6*(1+$B$4)^31))*IF(AG56+IF($B$1+31&lt;=$B56,12*$B$7,-12*$B$6*(1+$B$4)^31)&gt;0,1+$B$3,1))</f>
        <v/>
      </c>
      <c r="AI56">
        <f>IF($B$1+32&gt;90,AH56,(AH56+IF($B$1+32&lt;=$B56,12*$B$7,-12*$B$6*(1+$B$4)^32))*IF(AH56+IF($B$1+32&lt;=$B56,12*$B$7,-12*$B$6*(1+$B$4)^32)&gt;0,1+$B$3,1))</f>
        <v/>
      </c>
      <c r="AJ56">
        <f>IF($B$1+33&gt;90,AI56,(AI56+IF($B$1+33&lt;=$B56,12*$B$7,-12*$B$6*(1+$B$4)^33))*IF(AI56+IF($B$1+33&lt;=$B56,12*$B$7,-12*$B$6*(1+$B$4)^33)&gt;0,1+$B$3,1))</f>
        <v/>
      </c>
      <c r="AK56">
        <f>IF($B$1+34&gt;90,AJ56,(AJ56+IF($B$1+34&lt;=$B56,12*$B$7,-12*$B$6*(1+$B$4)^34))*IF(AJ56+IF($B$1+34&lt;=$B56,12*$B$7,-12*$B$6*(1+$B$4)^34)&gt;0,1+$B$3,1))</f>
        <v/>
      </c>
      <c r="AL56">
        <f>IF($B$1+35&gt;90,AK56,(AK56+IF($B$1+35&lt;=$B56,12*$B$7,-12*$B$6*(1+$B$4)^35))*IF(AK56+IF($B$1+35&lt;=$B56,12*$B$7,-12*$B$6*(1+$B$4)^35)&gt;0,1+$B$3,1))</f>
        <v/>
      </c>
      <c r="AM56">
        <f>IF($B$1+36&gt;90,AL56,(AL56+IF($B$1+36&lt;=$B56,12*$B$7,-12*$B$6*(1+$B$4)^36))*IF(AL56+IF($B$1+36&lt;=$B56,12*$B$7,-12*$B$6*(1+$B$4)^36)&gt;0,1+$B$3,1))</f>
        <v/>
      </c>
      <c r="AN56">
        <f>IF($B$1+37&gt;90,AM56,(AM56+IF($B$1+37&lt;=$B56,12*$B$7,-12*$B$6*(1+$B$4)^37))*IF(AM56+IF($B$1+37&lt;=$B56,12*$B$7,-12*$B$6*(1+$B$4)^37)&gt;0,1+$B$3,1))</f>
        <v/>
      </c>
      <c r="AO56">
        <f>IF($B$1+38&gt;90,AN56,(AN56+IF($B$1+38&lt;=$B56,12*$B$7,-12*$B$6*(1+$B$4)^38))*IF(AN56+IF($B$1+38&lt;=$B56,12*$B$7,-12*$B$6*(1+$B$4)^38)&gt;0,1+$B$3,1))</f>
        <v/>
      </c>
      <c r="AP56">
        <f>IF($B$1+39&gt;90,AO56,(AO56+IF($B$1+39&lt;=$B56,12*$B$7,-12*$B$6*(1+$B$4)^39))*IF(AO56+IF($B$1+39&lt;=$B56,12*$B$7,-12*$B$6*(1+$B$4)^39)&gt;0,1+$B$3,1))</f>
        <v/>
      </c>
      <c r="AQ56">
        <f>IF($B$1+40&gt;90,AP56,(AP56+IF($B$1+40&lt;=$B56,12*$B$7,-12*$B$6*(1+$B$4)^40))*IF(AP56+IF($B$1+40&lt;=$B56,12*$B$7,-12*$B$6*(1+$B$4)^40)&gt;0,1+$B$3,1))</f>
        <v/>
      </c>
      <c r="AR56">
        <f>IF($B$1+41&gt;90,AQ56,(AQ56+IF($B$1+41&lt;=$B56,12*$B$7,-12*$B$6*(1+$B$4)^41))*IF(AQ56+IF($B$1+41&lt;=$B56,12*$B$7,-12*$B$6*(1+$B$4)^41)&gt;0,1+$B$3,1))</f>
        <v/>
      </c>
      <c r="AS56">
        <f>IF($B$1+42&gt;90,AR56,(AR56+IF($B$1+42&lt;=$B56,12*$B$7,-12*$B$6*(1+$B$4)^42))*IF(AR56+IF($B$1+42&lt;=$B56,12*$B$7,-12*$B$6*(1+$B$4)^42)&gt;0,1+$B$3,1))</f>
        <v/>
      </c>
      <c r="AT56">
        <f>IF($B$1+43&gt;90,AS56,(AS56+IF($B$1+43&lt;=$B56,12*$B$7,-12*$B$6*(1+$B$4)^43))*IF(AS56+IF($B$1+43&lt;=$B56,12*$B$7,-12*$B$6*(1+$B$4)^43)&gt;0,1+$B$3,1))</f>
        <v/>
      </c>
      <c r="AU56">
        <f>IF($B$1+44&gt;90,AT56,(AT56+IF($B$1+44&lt;=$B56,12*$B$7,-12*$B$6*(1+$B$4)^44))*IF(AT56+IF($B$1+44&lt;=$B56,12*$B$7,-12*$B$6*(1+$B$4)^44)&gt;0,1+$B$3,1))</f>
        <v/>
      </c>
      <c r="AV56">
        <f>IF($B$1+45&gt;90,AU56,(AU56+IF($B$1+45&lt;=$B56,12*$B$7,-12*$B$6*(1+$B$4)^45))*IF(AU56+IF($B$1+45&lt;=$B56,12*$B$7,-12*$B$6*(1+$B$4)^45)&gt;0,1+$B$3,1))</f>
        <v/>
      </c>
      <c r="AW56">
        <f>IF($B$1+46&gt;90,AV56,(AV56+IF($B$1+46&lt;=$B56,12*$B$7,-12*$B$6*(1+$B$4)^46))*IF(AV56+IF($B$1+46&lt;=$B56,12*$B$7,-12*$B$6*(1+$B$4)^46)&gt;0,1+$B$3,1))</f>
        <v/>
      </c>
      <c r="AX56">
        <f>IF($B$1+47&gt;90,AW56,(AW56+IF($B$1+47&lt;=$B56,12*$B$7,-12*$B$6*(1+$B$4)^47))*IF(AW56+IF($B$1+47&lt;=$B56,12*$B$7,-12*$B$6*(1+$B$4)^47)&gt;0,1+$B$3,1))</f>
        <v/>
      </c>
      <c r="AY56">
        <f>IF($B$1+48&gt;90,AX56,(AX56+IF($B$1+48&lt;=$B56,12*$B$7,-12*$B$6*(1+$B$4)^48))*IF(AX56+IF($B$1+48&lt;=$B56,12*$B$7,-12*$B$6*(1+$B$4)^48)&gt;0,1+$B$3,1))</f>
        <v/>
      </c>
      <c r="AZ56">
        <f>IF($B$1+49&gt;90,AY56,(AY56+IF($B$1+49&lt;=$B56,12*$B$7,-12*$B$6*(1+$B$4)^49))*IF(AY56+IF($B$1+49&lt;=$B56,12*$B$7,-12*$B$6*(1+$B$4)^49)&gt;0,1+$B$3,1))</f>
        <v/>
      </c>
      <c r="BA56">
        <f>IF($B$1+50&gt;90,AZ56,(AZ56+IF($B$1+50&lt;=$B56,12*$B$7,-12*$B$6*(1+$B$4)^50))*IF(AZ56+IF($B$1+50&lt;=$B56,12*$B$7,-12*$B$6*(1+$B$4)^50)&gt;0,1+$B$3,1))</f>
        <v/>
      </c>
      <c r="BB56">
        <f>IF($B$1+51&gt;90,BA56,(BA56+IF($B$1+51&lt;=$B56,12*$B$7,-12*$B$6*(1+$B$4)^51))*IF(BA56+IF($B$1+51&lt;=$B56,12*$B$7,-12*$B$6*(1+$B$4)^51)&gt;0,1+$B$3,1))</f>
        <v/>
      </c>
      <c r="BC56">
        <f>IF($B$1+52&gt;90,BB56,(BB56+IF($B$1+52&lt;=$B56,12*$B$7,-12*$B$6*(1+$B$4)^52))*IF(BB56+IF($B$1+52&lt;=$B56,12*$B$7,-12*$B$6*(1+$B$4)^52)&gt;0,1+$B$3,1))</f>
        <v/>
      </c>
      <c r="BD56">
        <f>IF($B$1+53&gt;90,BC56,(BC56+IF($B$1+53&lt;=$B56,12*$B$7,-12*$B$6*(1+$B$4)^53))*IF(BC56+IF($B$1+53&lt;=$B56,12*$B$7,-12*$B$6*(1+$B$4)^53)&gt;0,1+$B$3,1))</f>
        <v/>
      </c>
      <c r="BE56">
        <f>IF($B$1+54&gt;90,BD56,(BD56+IF($B$1+54&lt;=$B56,12*$B$7,-12*$B$6*(1+$B$4)^54))*IF(BD56+IF($B$1+54&lt;=$B56,12*$B$7,-12*$B$6*(1+$B$4)^54)&gt;0,1+$B$3,1))</f>
        <v/>
      </c>
      <c r="BF56">
        <f>IF($B$1+55&gt;90,BE56,(BE56+IF($B$1+55&lt;=$B56,12*$B$7,-12*$B$6*(1+$B$4)^55))*IF(BE56+IF($B$1+55&lt;=$B56,12*$B$7,-12*$B$6*(1+$B$4)^55)&gt;0,1+$B$3,1))</f>
        <v/>
      </c>
      <c r="BG56">
        <f>IF($B$1+56&gt;90,BF56,(BF56+IF($B$1+56&lt;=$B56,12*$B$7,-12*$B$6*(1+$B$4)^56))*IF(BF56+IF($B$1+56&lt;=$B56,12*$B$7,-12*$B$6*(1+$B$4)^56)&gt;0,1+$B$3,1))</f>
        <v/>
      </c>
      <c r="BH56">
        <f>IF($B$1+57&gt;90,BG56,(BG56+IF($B$1+57&lt;=$B56,12*$B$7,-12*$B$6*(1+$B$4)^57))*IF(BG56+IF($B$1+57&lt;=$B56,12*$B$7,-12*$B$6*(1+$B$4)^57)&gt;0,1+$B$3,1))</f>
        <v/>
      </c>
      <c r="BI56">
        <f>IF($B$1+58&gt;90,BH56,(BH56+IF($B$1+58&lt;=$B56,12*$B$7,-12*$B$6*(1+$B$4)^58))*IF(BH56+IF($B$1+58&lt;=$B56,12*$B$7,-12*$B$6*(1+$B$4)^58)&gt;0,1+$B$3,1))</f>
        <v/>
      </c>
      <c r="BJ56">
        <f>IF($B$1+59&gt;90,BI56,(BI56+IF($B$1+59&lt;=$B56,12*$B$7,-12*$B$6*(1+$B$4)^59))*IF(BI56+IF($B$1+59&lt;=$B56,12*$B$7,-12*$B$6*(1+$B$4)^59)&gt;0,1+$B$3,1))</f>
        <v/>
      </c>
      <c r="BK56">
        <f>IF($B$1+60&gt;90,BJ56,(BJ56+IF($B$1+60&lt;=$B56,12*$B$7,-12*$B$6*(1+$B$4)^60))*IF(BJ56+IF($B$1+60&lt;=$B56,12*$B$7,-12*$B$6*(1+$B$4)^60)&gt;0,1+$B$3,1))</f>
        <v/>
      </c>
      <c r="BL56">
        <f>IF($B$1+61&gt;90,BK56,(BK56+IF($B$1+61&lt;=$B56,12*$B$7,-12*$B$6*(1+$B$4)^61))*IF(BK56+IF($B$1+61&lt;=$B56,12*$B$7,-12*$B$6*(1+$B$4)^61)&gt;0,1+$B$3,1))</f>
        <v/>
      </c>
      <c r="BM56">
        <f>IF($B$1+62&gt;90,BL56,(BL56+IF($B$1+62&lt;=$B56,12*$B$7,-12*$B$6*(1+$B$4)^62))*IF(BL56+IF($B$1+62&lt;=$B56,12*$B$7,-12*$B$6*(1+$B$4)^62)&gt;0,1+$B$3,1))</f>
        <v/>
      </c>
      <c r="BN56">
        <f>IF($B$1+63&gt;90,BM56,(BM56+IF($B$1+63&lt;=$B56,12*$B$7,-12*$B$6*(1+$B$4)^63))*IF(BM56+IF($B$1+63&lt;=$B56,12*$B$7,-12*$B$6*(1+$B$4)^63)&gt;0,1+$B$3,1))</f>
        <v/>
      </c>
      <c r="BO56">
        <f>IF($B$1+64&gt;90,BN56,(BN56+IF($B$1+64&lt;=$B56,12*$B$7,-12*$B$6*(1+$B$4)^64))*IF(BN56+IF($B$1+64&lt;=$B56,12*$B$7,-12*$B$6*(1+$B$4)^64)&gt;0,1+$B$3,1))</f>
        <v/>
      </c>
      <c r="BP56">
        <f>IF($B$1+65&gt;90,BO56,(BO56+IF($B$1+65&lt;=$B56,12*$B$7,-12*$B$6*(1+$B$4)^65))*IF(BO56+IF($B$1+65&lt;=$B56,12*$B$7,-12*$B$6*(1+$B$4)^65)&gt;0,1+$B$3,1))</f>
        <v/>
      </c>
      <c r="BQ56">
        <f>IF($B$1+66&gt;90,BP56,(BP56+IF($B$1+66&lt;=$B56,12*$B$7,-12*$B$6*(1+$B$4)^66))*IF(BP56+IF($B$1+66&lt;=$B56,12*$B$7,-12*$B$6*(1+$B$4)^66)&gt;0,1+$B$3,1))</f>
        <v/>
      </c>
      <c r="BR56">
        <f>IF($B$1+67&gt;90,BQ56,(BQ56+IF($B$1+67&lt;=$B56,12*$B$7,-12*$B$6*(1+$B$4)^67))*IF(BQ56+IF($B$1+67&lt;=$B56,12*$B$7,-12*$B$6*(1+$B$4)^67)&gt;0,1+$B$3,1))</f>
        <v/>
      </c>
      <c r="BS56">
        <f>IF($B$1+68&gt;90,BR56,(BR56+IF($B$1+68&lt;=$B56,12*$B$7,-12*$B$6*(1+$B$4)^68))*IF(BR56+IF($B$1+68&lt;=$B56,12*$B$7,-12*$B$6*(1+$B$4)^68)&gt;0,1+$B$3,1))</f>
        <v/>
      </c>
      <c r="BT56">
        <f>IF($B$1+69&gt;90,BS56,(BS56+IF($B$1+69&lt;=$B56,12*$B$7,-12*$B$6*(1+$B$4)^69))*IF(BS56+IF($B$1+69&lt;=$B56,12*$B$7,-12*$B$6*(1+$B$4)^69)&gt;0,1+$B$3,1))</f>
        <v/>
      </c>
      <c r="BU56">
        <f>IF($B$1+70&gt;90,BT56,(BT56+IF($B$1+70&lt;=$B56,12*$B$7,-12*$B$6*(1+$B$4)^70))*IF(BT56+IF($B$1+70&lt;=$B56,12*$B$7,-12*$B$6*(1+$B$4)^70)&gt;0,1+$B$3,1))</f>
        <v/>
      </c>
      <c r="BV56">
        <f>BU56</f>
        <v/>
      </c>
      <c r="BW56">
        <f>IF(AND($B56&lt;=70,BV56&gt;0),$B56,999)</f>
        <v/>
      </c>
      <c r="CB56" t="n">
        <v>55</v>
      </c>
      <c r="CC56">
        <f>IF($B$1+CB56&gt;90,0,12*$B$6*(1+$B$4)^CB56/(1+$B$3)^(CB56-1))</f>
        <v/>
      </c>
      <c r="CE56">
        <f>IF($B$1+54&gt;90,NA(),$B$1+54)</f>
        <v/>
      </c>
      <c r="CF56">
        <f>IF(OR($B$21="",$B$1+54&gt;90),NA(),INDEX($C$40:$BU$90,$B$21-$B$1+1,55))</f>
        <v/>
      </c>
    </row>
    <row r="57">
      <c r="A57" t="n">
        <v>17</v>
      </c>
      <c r="B57">
        <f>$B$1+17</f>
        <v/>
      </c>
      <c r="C57">
        <f>$B$2</f>
        <v/>
      </c>
      <c r="D57">
        <f>IF($B$1+1&gt;90,C57,(C57+IF($B$1+1&lt;=$B57,12*$B$7,-12*$B$6*(1+$B$4)^1))*IF(C57+IF($B$1+1&lt;=$B57,12*$B$7,-12*$B$6*(1+$B$4)^1)&gt;0,1+$B$3,1))</f>
        <v/>
      </c>
      <c r="E57">
        <f>IF($B$1+2&gt;90,D57,(D57+IF($B$1+2&lt;=$B57,12*$B$7,-12*$B$6*(1+$B$4)^2))*IF(D57+IF($B$1+2&lt;=$B57,12*$B$7,-12*$B$6*(1+$B$4)^2)&gt;0,1+$B$3,1))</f>
        <v/>
      </c>
      <c r="F57">
        <f>IF($B$1+3&gt;90,E57,(E57+IF($B$1+3&lt;=$B57,12*$B$7,-12*$B$6*(1+$B$4)^3))*IF(E57+IF($B$1+3&lt;=$B57,12*$B$7,-12*$B$6*(1+$B$4)^3)&gt;0,1+$B$3,1))</f>
        <v/>
      </c>
      <c r="G57">
        <f>IF($B$1+4&gt;90,F57,(F57+IF($B$1+4&lt;=$B57,12*$B$7,-12*$B$6*(1+$B$4)^4))*IF(F57+IF($B$1+4&lt;=$B57,12*$B$7,-12*$B$6*(1+$B$4)^4)&gt;0,1+$B$3,1))</f>
        <v/>
      </c>
      <c r="H57">
        <f>IF($B$1+5&gt;90,G57,(G57+IF($B$1+5&lt;=$B57,12*$B$7,-12*$B$6*(1+$B$4)^5))*IF(G57+IF($B$1+5&lt;=$B57,12*$B$7,-12*$B$6*(1+$B$4)^5)&gt;0,1+$B$3,1))</f>
        <v/>
      </c>
      <c r="I57">
        <f>IF($B$1+6&gt;90,H57,(H57+IF($B$1+6&lt;=$B57,12*$B$7,-12*$B$6*(1+$B$4)^6))*IF(H57+IF($B$1+6&lt;=$B57,12*$B$7,-12*$B$6*(1+$B$4)^6)&gt;0,1+$B$3,1))</f>
        <v/>
      </c>
      <c r="J57">
        <f>IF($B$1+7&gt;90,I57,(I57+IF($B$1+7&lt;=$B57,12*$B$7,-12*$B$6*(1+$B$4)^7))*IF(I57+IF($B$1+7&lt;=$B57,12*$B$7,-12*$B$6*(1+$B$4)^7)&gt;0,1+$B$3,1))</f>
        <v/>
      </c>
      <c r="K57">
        <f>IF($B$1+8&gt;90,J57,(J57+IF($B$1+8&lt;=$B57,12*$B$7,-12*$B$6*(1+$B$4)^8))*IF(J57+IF($B$1+8&lt;=$B57,12*$B$7,-12*$B$6*(1+$B$4)^8)&gt;0,1+$B$3,1))</f>
        <v/>
      </c>
      <c r="L57">
        <f>IF($B$1+9&gt;90,K57,(K57+IF($B$1+9&lt;=$B57,12*$B$7,-12*$B$6*(1+$B$4)^9))*IF(K57+IF($B$1+9&lt;=$B57,12*$B$7,-12*$B$6*(1+$B$4)^9)&gt;0,1+$B$3,1))</f>
        <v/>
      </c>
      <c r="M57">
        <f>IF($B$1+10&gt;90,L57,(L57+IF($B$1+10&lt;=$B57,12*$B$7,-12*$B$6*(1+$B$4)^10))*IF(L57+IF($B$1+10&lt;=$B57,12*$B$7,-12*$B$6*(1+$B$4)^10)&gt;0,1+$B$3,1))</f>
        <v/>
      </c>
      <c r="N57">
        <f>IF($B$1+11&gt;90,M57,(M57+IF($B$1+11&lt;=$B57,12*$B$7,-12*$B$6*(1+$B$4)^11))*IF(M57+IF($B$1+11&lt;=$B57,12*$B$7,-12*$B$6*(1+$B$4)^11)&gt;0,1+$B$3,1))</f>
        <v/>
      </c>
      <c r="O57">
        <f>IF($B$1+12&gt;90,N57,(N57+IF($B$1+12&lt;=$B57,12*$B$7,-12*$B$6*(1+$B$4)^12))*IF(N57+IF($B$1+12&lt;=$B57,12*$B$7,-12*$B$6*(1+$B$4)^12)&gt;0,1+$B$3,1))</f>
        <v/>
      </c>
      <c r="P57">
        <f>IF($B$1+13&gt;90,O57,(O57+IF($B$1+13&lt;=$B57,12*$B$7,-12*$B$6*(1+$B$4)^13))*IF(O57+IF($B$1+13&lt;=$B57,12*$B$7,-12*$B$6*(1+$B$4)^13)&gt;0,1+$B$3,1))</f>
        <v/>
      </c>
      <c r="Q57">
        <f>IF($B$1+14&gt;90,P57,(P57+IF($B$1+14&lt;=$B57,12*$B$7,-12*$B$6*(1+$B$4)^14))*IF(P57+IF($B$1+14&lt;=$B57,12*$B$7,-12*$B$6*(1+$B$4)^14)&gt;0,1+$B$3,1))</f>
        <v/>
      </c>
      <c r="R57">
        <f>IF($B$1+15&gt;90,Q57,(Q57+IF($B$1+15&lt;=$B57,12*$B$7,-12*$B$6*(1+$B$4)^15))*IF(Q57+IF($B$1+15&lt;=$B57,12*$B$7,-12*$B$6*(1+$B$4)^15)&gt;0,1+$B$3,1))</f>
        <v/>
      </c>
      <c r="S57">
        <f>IF($B$1+16&gt;90,R57,(R57+IF($B$1+16&lt;=$B57,12*$B$7,-12*$B$6*(1+$B$4)^16))*IF(R57+IF($B$1+16&lt;=$B57,12*$B$7,-12*$B$6*(1+$B$4)^16)&gt;0,1+$B$3,1))</f>
        <v/>
      </c>
      <c r="T57">
        <f>IF($B$1+17&gt;90,S57,(S57+IF($B$1+17&lt;=$B57,12*$B$7,-12*$B$6*(1+$B$4)^17))*IF(S57+IF($B$1+17&lt;=$B57,12*$B$7,-12*$B$6*(1+$B$4)^17)&gt;0,1+$B$3,1))</f>
        <v/>
      </c>
      <c r="U57">
        <f>IF($B$1+18&gt;90,T57,(T57+IF($B$1+18&lt;=$B57,12*$B$7,-12*$B$6*(1+$B$4)^18))*IF(T57+IF($B$1+18&lt;=$B57,12*$B$7,-12*$B$6*(1+$B$4)^18)&gt;0,1+$B$3,1))</f>
        <v/>
      </c>
      <c r="V57">
        <f>IF($B$1+19&gt;90,U57,(U57+IF($B$1+19&lt;=$B57,12*$B$7,-12*$B$6*(1+$B$4)^19))*IF(U57+IF($B$1+19&lt;=$B57,12*$B$7,-12*$B$6*(1+$B$4)^19)&gt;0,1+$B$3,1))</f>
        <v/>
      </c>
      <c r="W57">
        <f>IF($B$1+20&gt;90,V57,(V57+IF($B$1+20&lt;=$B57,12*$B$7,-12*$B$6*(1+$B$4)^20))*IF(V57+IF($B$1+20&lt;=$B57,12*$B$7,-12*$B$6*(1+$B$4)^20)&gt;0,1+$B$3,1))</f>
        <v/>
      </c>
      <c r="X57">
        <f>IF($B$1+21&gt;90,W57,(W57+IF($B$1+21&lt;=$B57,12*$B$7,-12*$B$6*(1+$B$4)^21))*IF(W57+IF($B$1+21&lt;=$B57,12*$B$7,-12*$B$6*(1+$B$4)^21)&gt;0,1+$B$3,1))</f>
        <v/>
      </c>
      <c r="Y57">
        <f>IF($B$1+22&gt;90,X57,(X57+IF($B$1+22&lt;=$B57,12*$B$7,-12*$B$6*(1+$B$4)^22))*IF(X57+IF($B$1+22&lt;=$B57,12*$B$7,-12*$B$6*(1+$B$4)^22)&gt;0,1+$B$3,1))</f>
        <v/>
      </c>
      <c r="Z57">
        <f>IF($B$1+23&gt;90,Y57,(Y57+IF($B$1+23&lt;=$B57,12*$B$7,-12*$B$6*(1+$B$4)^23))*IF(Y57+IF($B$1+23&lt;=$B57,12*$B$7,-12*$B$6*(1+$B$4)^23)&gt;0,1+$B$3,1))</f>
        <v/>
      </c>
      <c r="AA57">
        <f>IF($B$1+24&gt;90,Z57,(Z57+IF($B$1+24&lt;=$B57,12*$B$7,-12*$B$6*(1+$B$4)^24))*IF(Z57+IF($B$1+24&lt;=$B57,12*$B$7,-12*$B$6*(1+$B$4)^24)&gt;0,1+$B$3,1))</f>
        <v/>
      </c>
      <c r="AB57">
        <f>IF($B$1+25&gt;90,AA57,(AA57+IF($B$1+25&lt;=$B57,12*$B$7,-12*$B$6*(1+$B$4)^25))*IF(AA57+IF($B$1+25&lt;=$B57,12*$B$7,-12*$B$6*(1+$B$4)^25)&gt;0,1+$B$3,1))</f>
        <v/>
      </c>
      <c r="AC57">
        <f>IF($B$1+26&gt;90,AB57,(AB57+IF($B$1+26&lt;=$B57,12*$B$7,-12*$B$6*(1+$B$4)^26))*IF(AB57+IF($B$1+26&lt;=$B57,12*$B$7,-12*$B$6*(1+$B$4)^26)&gt;0,1+$B$3,1))</f>
        <v/>
      </c>
      <c r="AD57">
        <f>IF($B$1+27&gt;90,AC57,(AC57+IF($B$1+27&lt;=$B57,12*$B$7,-12*$B$6*(1+$B$4)^27))*IF(AC57+IF($B$1+27&lt;=$B57,12*$B$7,-12*$B$6*(1+$B$4)^27)&gt;0,1+$B$3,1))</f>
        <v/>
      </c>
      <c r="AE57">
        <f>IF($B$1+28&gt;90,AD57,(AD57+IF($B$1+28&lt;=$B57,12*$B$7,-12*$B$6*(1+$B$4)^28))*IF(AD57+IF($B$1+28&lt;=$B57,12*$B$7,-12*$B$6*(1+$B$4)^28)&gt;0,1+$B$3,1))</f>
        <v/>
      </c>
      <c r="AF57">
        <f>IF($B$1+29&gt;90,AE57,(AE57+IF($B$1+29&lt;=$B57,12*$B$7,-12*$B$6*(1+$B$4)^29))*IF(AE57+IF($B$1+29&lt;=$B57,12*$B$7,-12*$B$6*(1+$B$4)^29)&gt;0,1+$B$3,1))</f>
        <v/>
      </c>
      <c r="AG57">
        <f>IF($B$1+30&gt;90,AF57,(AF57+IF($B$1+30&lt;=$B57,12*$B$7,-12*$B$6*(1+$B$4)^30))*IF(AF57+IF($B$1+30&lt;=$B57,12*$B$7,-12*$B$6*(1+$B$4)^30)&gt;0,1+$B$3,1))</f>
        <v/>
      </c>
      <c r="AH57">
        <f>IF($B$1+31&gt;90,AG57,(AG57+IF($B$1+31&lt;=$B57,12*$B$7,-12*$B$6*(1+$B$4)^31))*IF(AG57+IF($B$1+31&lt;=$B57,12*$B$7,-12*$B$6*(1+$B$4)^31)&gt;0,1+$B$3,1))</f>
        <v/>
      </c>
      <c r="AI57">
        <f>IF($B$1+32&gt;90,AH57,(AH57+IF($B$1+32&lt;=$B57,12*$B$7,-12*$B$6*(1+$B$4)^32))*IF(AH57+IF($B$1+32&lt;=$B57,12*$B$7,-12*$B$6*(1+$B$4)^32)&gt;0,1+$B$3,1))</f>
        <v/>
      </c>
      <c r="AJ57">
        <f>IF($B$1+33&gt;90,AI57,(AI57+IF($B$1+33&lt;=$B57,12*$B$7,-12*$B$6*(1+$B$4)^33))*IF(AI57+IF($B$1+33&lt;=$B57,12*$B$7,-12*$B$6*(1+$B$4)^33)&gt;0,1+$B$3,1))</f>
        <v/>
      </c>
      <c r="AK57">
        <f>IF($B$1+34&gt;90,AJ57,(AJ57+IF($B$1+34&lt;=$B57,12*$B$7,-12*$B$6*(1+$B$4)^34))*IF(AJ57+IF($B$1+34&lt;=$B57,12*$B$7,-12*$B$6*(1+$B$4)^34)&gt;0,1+$B$3,1))</f>
        <v/>
      </c>
      <c r="AL57">
        <f>IF($B$1+35&gt;90,AK57,(AK57+IF($B$1+35&lt;=$B57,12*$B$7,-12*$B$6*(1+$B$4)^35))*IF(AK57+IF($B$1+35&lt;=$B57,12*$B$7,-12*$B$6*(1+$B$4)^35)&gt;0,1+$B$3,1))</f>
        <v/>
      </c>
      <c r="AM57">
        <f>IF($B$1+36&gt;90,AL57,(AL57+IF($B$1+36&lt;=$B57,12*$B$7,-12*$B$6*(1+$B$4)^36))*IF(AL57+IF($B$1+36&lt;=$B57,12*$B$7,-12*$B$6*(1+$B$4)^36)&gt;0,1+$B$3,1))</f>
        <v/>
      </c>
      <c r="AN57">
        <f>IF($B$1+37&gt;90,AM57,(AM57+IF($B$1+37&lt;=$B57,12*$B$7,-12*$B$6*(1+$B$4)^37))*IF(AM57+IF($B$1+37&lt;=$B57,12*$B$7,-12*$B$6*(1+$B$4)^37)&gt;0,1+$B$3,1))</f>
        <v/>
      </c>
      <c r="AO57">
        <f>IF($B$1+38&gt;90,AN57,(AN57+IF($B$1+38&lt;=$B57,12*$B$7,-12*$B$6*(1+$B$4)^38))*IF(AN57+IF($B$1+38&lt;=$B57,12*$B$7,-12*$B$6*(1+$B$4)^38)&gt;0,1+$B$3,1))</f>
        <v/>
      </c>
      <c r="AP57">
        <f>IF($B$1+39&gt;90,AO57,(AO57+IF($B$1+39&lt;=$B57,12*$B$7,-12*$B$6*(1+$B$4)^39))*IF(AO57+IF($B$1+39&lt;=$B57,12*$B$7,-12*$B$6*(1+$B$4)^39)&gt;0,1+$B$3,1))</f>
        <v/>
      </c>
      <c r="AQ57">
        <f>IF($B$1+40&gt;90,AP57,(AP57+IF($B$1+40&lt;=$B57,12*$B$7,-12*$B$6*(1+$B$4)^40))*IF(AP57+IF($B$1+40&lt;=$B57,12*$B$7,-12*$B$6*(1+$B$4)^40)&gt;0,1+$B$3,1))</f>
        <v/>
      </c>
      <c r="AR57">
        <f>IF($B$1+41&gt;90,AQ57,(AQ57+IF($B$1+41&lt;=$B57,12*$B$7,-12*$B$6*(1+$B$4)^41))*IF(AQ57+IF($B$1+41&lt;=$B57,12*$B$7,-12*$B$6*(1+$B$4)^41)&gt;0,1+$B$3,1))</f>
        <v/>
      </c>
      <c r="AS57">
        <f>IF($B$1+42&gt;90,AR57,(AR57+IF($B$1+42&lt;=$B57,12*$B$7,-12*$B$6*(1+$B$4)^42))*IF(AR57+IF($B$1+42&lt;=$B57,12*$B$7,-12*$B$6*(1+$B$4)^42)&gt;0,1+$B$3,1))</f>
        <v/>
      </c>
      <c r="AT57">
        <f>IF($B$1+43&gt;90,AS57,(AS57+IF($B$1+43&lt;=$B57,12*$B$7,-12*$B$6*(1+$B$4)^43))*IF(AS57+IF($B$1+43&lt;=$B57,12*$B$7,-12*$B$6*(1+$B$4)^43)&gt;0,1+$B$3,1))</f>
        <v/>
      </c>
      <c r="AU57">
        <f>IF($B$1+44&gt;90,AT57,(AT57+IF($B$1+44&lt;=$B57,12*$B$7,-12*$B$6*(1+$B$4)^44))*IF(AT57+IF($B$1+44&lt;=$B57,12*$B$7,-12*$B$6*(1+$B$4)^44)&gt;0,1+$B$3,1))</f>
        <v/>
      </c>
      <c r="AV57">
        <f>IF($B$1+45&gt;90,AU57,(AU57+IF($B$1+45&lt;=$B57,12*$B$7,-12*$B$6*(1+$B$4)^45))*IF(AU57+IF($B$1+45&lt;=$B57,12*$B$7,-12*$B$6*(1+$B$4)^45)&gt;0,1+$B$3,1))</f>
        <v/>
      </c>
      <c r="AW57">
        <f>IF($B$1+46&gt;90,AV57,(AV57+IF($B$1+46&lt;=$B57,12*$B$7,-12*$B$6*(1+$B$4)^46))*IF(AV57+IF($B$1+46&lt;=$B57,12*$B$7,-12*$B$6*(1+$B$4)^46)&gt;0,1+$B$3,1))</f>
        <v/>
      </c>
      <c r="AX57">
        <f>IF($B$1+47&gt;90,AW57,(AW57+IF($B$1+47&lt;=$B57,12*$B$7,-12*$B$6*(1+$B$4)^47))*IF(AW57+IF($B$1+47&lt;=$B57,12*$B$7,-12*$B$6*(1+$B$4)^47)&gt;0,1+$B$3,1))</f>
        <v/>
      </c>
      <c r="AY57">
        <f>IF($B$1+48&gt;90,AX57,(AX57+IF($B$1+48&lt;=$B57,12*$B$7,-12*$B$6*(1+$B$4)^48))*IF(AX57+IF($B$1+48&lt;=$B57,12*$B$7,-12*$B$6*(1+$B$4)^48)&gt;0,1+$B$3,1))</f>
        <v/>
      </c>
      <c r="AZ57">
        <f>IF($B$1+49&gt;90,AY57,(AY57+IF($B$1+49&lt;=$B57,12*$B$7,-12*$B$6*(1+$B$4)^49))*IF(AY57+IF($B$1+49&lt;=$B57,12*$B$7,-12*$B$6*(1+$B$4)^49)&gt;0,1+$B$3,1))</f>
        <v/>
      </c>
      <c r="BA57">
        <f>IF($B$1+50&gt;90,AZ57,(AZ57+IF($B$1+50&lt;=$B57,12*$B$7,-12*$B$6*(1+$B$4)^50))*IF(AZ57+IF($B$1+50&lt;=$B57,12*$B$7,-12*$B$6*(1+$B$4)^50)&gt;0,1+$B$3,1))</f>
        <v/>
      </c>
      <c r="BB57">
        <f>IF($B$1+51&gt;90,BA57,(BA57+IF($B$1+51&lt;=$B57,12*$B$7,-12*$B$6*(1+$B$4)^51))*IF(BA57+IF($B$1+51&lt;=$B57,12*$B$7,-12*$B$6*(1+$B$4)^51)&gt;0,1+$B$3,1))</f>
        <v/>
      </c>
      <c r="BC57">
        <f>IF($B$1+52&gt;90,BB57,(BB57+IF($B$1+52&lt;=$B57,12*$B$7,-12*$B$6*(1+$B$4)^52))*IF(BB57+IF($B$1+52&lt;=$B57,12*$B$7,-12*$B$6*(1+$B$4)^52)&gt;0,1+$B$3,1))</f>
        <v/>
      </c>
      <c r="BD57">
        <f>IF($B$1+53&gt;90,BC57,(BC57+IF($B$1+53&lt;=$B57,12*$B$7,-12*$B$6*(1+$B$4)^53))*IF(BC57+IF($B$1+53&lt;=$B57,12*$B$7,-12*$B$6*(1+$B$4)^53)&gt;0,1+$B$3,1))</f>
        <v/>
      </c>
      <c r="BE57">
        <f>IF($B$1+54&gt;90,BD57,(BD57+IF($B$1+54&lt;=$B57,12*$B$7,-12*$B$6*(1+$B$4)^54))*IF(BD57+IF($B$1+54&lt;=$B57,12*$B$7,-12*$B$6*(1+$B$4)^54)&gt;0,1+$B$3,1))</f>
        <v/>
      </c>
      <c r="BF57">
        <f>IF($B$1+55&gt;90,BE57,(BE57+IF($B$1+55&lt;=$B57,12*$B$7,-12*$B$6*(1+$B$4)^55))*IF(BE57+IF($B$1+55&lt;=$B57,12*$B$7,-12*$B$6*(1+$B$4)^55)&gt;0,1+$B$3,1))</f>
        <v/>
      </c>
      <c r="BG57">
        <f>IF($B$1+56&gt;90,BF57,(BF57+IF($B$1+56&lt;=$B57,12*$B$7,-12*$B$6*(1+$B$4)^56))*IF(BF57+IF($B$1+56&lt;=$B57,12*$B$7,-12*$B$6*(1+$B$4)^56)&gt;0,1+$B$3,1))</f>
        <v/>
      </c>
      <c r="BH57">
        <f>IF($B$1+57&gt;90,BG57,(BG57+IF($B$1+57&lt;=$B57,12*$B$7,-12*$B$6*(1+$B$4)^57))*IF(BG57+IF($B$1+57&lt;=$B57,12*$B$7,-12*$B$6*(1+$B$4)^57)&gt;0,1+$B$3,1))</f>
        <v/>
      </c>
      <c r="BI57">
        <f>IF($B$1+58&gt;90,BH57,(BH57+IF($B$1+58&lt;=$B57,12*$B$7,-12*$B$6*(1+$B$4)^58))*IF(BH57+IF($B$1+58&lt;=$B57,12*$B$7,-12*$B$6*(1+$B$4)^58)&gt;0,1+$B$3,1))</f>
        <v/>
      </c>
      <c r="BJ57">
        <f>IF($B$1+59&gt;90,BI57,(BI57+IF($B$1+59&lt;=$B57,12*$B$7,-12*$B$6*(1+$B$4)^59))*IF(BI57+IF($B$1+59&lt;=$B57,12*$B$7,-12*$B$6*(1+$B$4)^59)&gt;0,1+$B$3,1))</f>
        <v/>
      </c>
      <c r="BK57">
        <f>IF($B$1+60&gt;90,BJ57,(BJ57+IF($B$1+60&lt;=$B57,12*$B$7,-12*$B$6*(1+$B$4)^60))*IF(BJ57+IF($B$1+60&lt;=$B57,12*$B$7,-12*$B$6*(1+$B$4)^60)&gt;0,1+$B$3,1))</f>
        <v/>
      </c>
      <c r="BL57">
        <f>IF($B$1+61&gt;90,BK57,(BK57+IF($B$1+61&lt;=$B57,12*$B$7,-12*$B$6*(1+$B$4)^61))*IF(BK57+IF($B$1+61&lt;=$B57,12*$B$7,-12*$B$6*(1+$B$4)^61)&gt;0,1+$B$3,1))</f>
        <v/>
      </c>
      <c r="BM57">
        <f>IF($B$1+62&gt;90,BL57,(BL57+IF($B$1+62&lt;=$B57,12*$B$7,-12*$B$6*(1+$B$4)^62))*IF(BL57+IF($B$1+62&lt;=$B57,12*$B$7,-12*$B$6*(1+$B$4)^62)&gt;0,1+$B$3,1))</f>
        <v/>
      </c>
      <c r="BN57">
        <f>IF($B$1+63&gt;90,BM57,(BM57+IF($B$1+63&lt;=$B57,12*$B$7,-12*$B$6*(1+$B$4)^63))*IF(BM57+IF($B$1+63&lt;=$B57,12*$B$7,-12*$B$6*(1+$B$4)^63)&gt;0,1+$B$3,1))</f>
        <v/>
      </c>
      <c r="BO57">
        <f>IF($B$1+64&gt;90,BN57,(BN57+IF($B$1+64&lt;=$B57,12*$B$7,-12*$B$6*(1+$B$4)^64))*IF(BN57+IF($B$1+64&lt;=$B57,12*$B$7,-12*$B$6*(1+$B$4)^64)&gt;0,1+$B$3,1))</f>
        <v/>
      </c>
      <c r="BP57">
        <f>IF($B$1+65&gt;90,BO57,(BO57+IF($B$1+65&lt;=$B57,12*$B$7,-12*$B$6*(1+$B$4)^65))*IF(BO57+IF($B$1+65&lt;=$B57,12*$B$7,-12*$B$6*(1+$B$4)^65)&gt;0,1+$B$3,1))</f>
        <v/>
      </c>
      <c r="BQ57">
        <f>IF($B$1+66&gt;90,BP57,(BP57+IF($B$1+66&lt;=$B57,12*$B$7,-12*$B$6*(1+$B$4)^66))*IF(BP57+IF($B$1+66&lt;=$B57,12*$B$7,-12*$B$6*(1+$B$4)^66)&gt;0,1+$B$3,1))</f>
        <v/>
      </c>
      <c r="BR57">
        <f>IF($B$1+67&gt;90,BQ57,(BQ57+IF($B$1+67&lt;=$B57,12*$B$7,-12*$B$6*(1+$B$4)^67))*IF(BQ57+IF($B$1+67&lt;=$B57,12*$B$7,-12*$B$6*(1+$B$4)^67)&gt;0,1+$B$3,1))</f>
        <v/>
      </c>
      <c r="BS57">
        <f>IF($B$1+68&gt;90,BR57,(BR57+IF($B$1+68&lt;=$B57,12*$B$7,-12*$B$6*(1+$B$4)^68))*IF(BR57+IF($B$1+68&lt;=$B57,12*$B$7,-12*$B$6*(1+$B$4)^68)&gt;0,1+$B$3,1))</f>
        <v/>
      </c>
      <c r="BT57">
        <f>IF($B$1+69&gt;90,BS57,(BS57+IF($B$1+69&lt;=$B57,12*$B$7,-12*$B$6*(1+$B$4)^69))*IF(BS57+IF($B$1+69&lt;=$B57,12*$B$7,-12*$B$6*(1+$B$4)^69)&gt;0,1+$B$3,1))</f>
        <v/>
      </c>
      <c r="BU57">
        <f>IF($B$1+70&gt;90,BT57,(BT57+IF($B$1+70&lt;=$B57,12*$B$7,-12*$B$6*(1+$B$4)^70))*IF(BT57+IF($B$1+70&lt;=$B57,12*$B$7,-12*$B$6*(1+$B$4)^70)&gt;0,1+$B$3,1))</f>
        <v/>
      </c>
      <c r="BV57">
        <f>BU57</f>
        <v/>
      </c>
      <c r="BW57">
        <f>IF(AND($B57&lt;=70,BV57&gt;0),$B57,999)</f>
        <v/>
      </c>
      <c r="CB57" t="n">
        <v>56</v>
      </c>
      <c r="CC57">
        <f>IF($B$1+CB57&gt;90,0,12*$B$6*(1+$B$4)^CB57/(1+$B$3)^(CB57-1))</f>
        <v/>
      </c>
      <c r="CE57">
        <f>IF($B$1+55&gt;90,NA(),$B$1+55)</f>
        <v/>
      </c>
      <c r="CF57">
        <f>IF(OR($B$21="",$B$1+55&gt;90),NA(),INDEX($C$40:$BU$90,$B$21-$B$1+1,56))</f>
        <v/>
      </c>
    </row>
    <row r="58">
      <c r="A58" t="n">
        <v>18</v>
      </c>
      <c r="B58">
        <f>$B$1+18</f>
        <v/>
      </c>
      <c r="C58">
        <f>$B$2</f>
        <v/>
      </c>
      <c r="D58">
        <f>IF($B$1+1&gt;90,C58,(C58+IF($B$1+1&lt;=$B58,12*$B$7,-12*$B$6*(1+$B$4)^1))*IF(C58+IF($B$1+1&lt;=$B58,12*$B$7,-12*$B$6*(1+$B$4)^1)&gt;0,1+$B$3,1))</f>
        <v/>
      </c>
      <c r="E58">
        <f>IF($B$1+2&gt;90,D58,(D58+IF($B$1+2&lt;=$B58,12*$B$7,-12*$B$6*(1+$B$4)^2))*IF(D58+IF($B$1+2&lt;=$B58,12*$B$7,-12*$B$6*(1+$B$4)^2)&gt;0,1+$B$3,1))</f>
        <v/>
      </c>
      <c r="F58">
        <f>IF($B$1+3&gt;90,E58,(E58+IF($B$1+3&lt;=$B58,12*$B$7,-12*$B$6*(1+$B$4)^3))*IF(E58+IF($B$1+3&lt;=$B58,12*$B$7,-12*$B$6*(1+$B$4)^3)&gt;0,1+$B$3,1))</f>
        <v/>
      </c>
      <c r="G58">
        <f>IF($B$1+4&gt;90,F58,(F58+IF($B$1+4&lt;=$B58,12*$B$7,-12*$B$6*(1+$B$4)^4))*IF(F58+IF($B$1+4&lt;=$B58,12*$B$7,-12*$B$6*(1+$B$4)^4)&gt;0,1+$B$3,1))</f>
        <v/>
      </c>
      <c r="H58">
        <f>IF($B$1+5&gt;90,G58,(G58+IF($B$1+5&lt;=$B58,12*$B$7,-12*$B$6*(1+$B$4)^5))*IF(G58+IF($B$1+5&lt;=$B58,12*$B$7,-12*$B$6*(1+$B$4)^5)&gt;0,1+$B$3,1))</f>
        <v/>
      </c>
      <c r="I58">
        <f>IF($B$1+6&gt;90,H58,(H58+IF($B$1+6&lt;=$B58,12*$B$7,-12*$B$6*(1+$B$4)^6))*IF(H58+IF($B$1+6&lt;=$B58,12*$B$7,-12*$B$6*(1+$B$4)^6)&gt;0,1+$B$3,1))</f>
        <v/>
      </c>
      <c r="J58">
        <f>IF($B$1+7&gt;90,I58,(I58+IF($B$1+7&lt;=$B58,12*$B$7,-12*$B$6*(1+$B$4)^7))*IF(I58+IF($B$1+7&lt;=$B58,12*$B$7,-12*$B$6*(1+$B$4)^7)&gt;0,1+$B$3,1))</f>
        <v/>
      </c>
      <c r="K58">
        <f>IF($B$1+8&gt;90,J58,(J58+IF($B$1+8&lt;=$B58,12*$B$7,-12*$B$6*(1+$B$4)^8))*IF(J58+IF($B$1+8&lt;=$B58,12*$B$7,-12*$B$6*(1+$B$4)^8)&gt;0,1+$B$3,1))</f>
        <v/>
      </c>
      <c r="L58">
        <f>IF($B$1+9&gt;90,K58,(K58+IF($B$1+9&lt;=$B58,12*$B$7,-12*$B$6*(1+$B$4)^9))*IF(K58+IF($B$1+9&lt;=$B58,12*$B$7,-12*$B$6*(1+$B$4)^9)&gt;0,1+$B$3,1))</f>
        <v/>
      </c>
      <c r="M58">
        <f>IF($B$1+10&gt;90,L58,(L58+IF($B$1+10&lt;=$B58,12*$B$7,-12*$B$6*(1+$B$4)^10))*IF(L58+IF($B$1+10&lt;=$B58,12*$B$7,-12*$B$6*(1+$B$4)^10)&gt;0,1+$B$3,1))</f>
        <v/>
      </c>
      <c r="N58">
        <f>IF($B$1+11&gt;90,M58,(M58+IF($B$1+11&lt;=$B58,12*$B$7,-12*$B$6*(1+$B$4)^11))*IF(M58+IF($B$1+11&lt;=$B58,12*$B$7,-12*$B$6*(1+$B$4)^11)&gt;0,1+$B$3,1))</f>
        <v/>
      </c>
      <c r="O58">
        <f>IF($B$1+12&gt;90,N58,(N58+IF($B$1+12&lt;=$B58,12*$B$7,-12*$B$6*(1+$B$4)^12))*IF(N58+IF($B$1+12&lt;=$B58,12*$B$7,-12*$B$6*(1+$B$4)^12)&gt;0,1+$B$3,1))</f>
        <v/>
      </c>
      <c r="P58">
        <f>IF($B$1+13&gt;90,O58,(O58+IF($B$1+13&lt;=$B58,12*$B$7,-12*$B$6*(1+$B$4)^13))*IF(O58+IF($B$1+13&lt;=$B58,12*$B$7,-12*$B$6*(1+$B$4)^13)&gt;0,1+$B$3,1))</f>
        <v/>
      </c>
      <c r="Q58">
        <f>IF($B$1+14&gt;90,P58,(P58+IF($B$1+14&lt;=$B58,12*$B$7,-12*$B$6*(1+$B$4)^14))*IF(P58+IF($B$1+14&lt;=$B58,12*$B$7,-12*$B$6*(1+$B$4)^14)&gt;0,1+$B$3,1))</f>
        <v/>
      </c>
      <c r="R58">
        <f>IF($B$1+15&gt;90,Q58,(Q58+IF($B$1+15&lt;=$B58,12*$B$7,-12*$B$6*(1+$B$4)^15))*IF(Q58+IF($B$1+15&lt;=$B58,12*$B$7,-12*$B$6*(1+$B$4)^15)&gt;0,1+$B$3,1))</f>
        <v/>
      </c>
      <c r="S58">
        <f>IF($B$1+16&gt;90,R58,(R58+IF($B$1+16&lt;=$B58,12*$B$7,-12*$B$6*(1+$B$4)^16))*IF(R58+IF($B$1+16&lt;=$B58,12*$B$7,-12*$B$6*(1+$B$4)^16)&gt;0,1+$B$3,1))</f>
        <v/>
      </c>
      <c r="T58">
        <f>IF($B$1+17&gt;90,S58,(S58+IF($B$1+17&lt;=$B58,12*$B$7,-12*$B$6*(1+$B$4)^17))*IF(S58+IF($B$1+17&lt;=$B58,12*$B$7,-12*$B$6*(1+$B$4)^17)&gt;0,1+$B$3,1))</f>
        <v/>
      </c>
      <c r="U58">
        <f>IF($B$1+18&gt;90,T58,(T58+IF($B$1+18&lt;=$B58,12*$B$7,-12*$B$6*(1+$B$4)^18))*IF(T58+IF($B$1+18&lt;=$B58,12*$B$7,-12*$B$6*(1+$B$4)^18)&gt;0,1+$B$3,1))</f>
        <v/>
      </c>
      <c r="V58">
        <f>IF($B$1+19&gt;90,U58,(U58+IF($B$1+19&lt;=$B58,12*$B$7,-12*$B$6*(1+$B$4)^19))*IF(U58+IF($B$1+19&lt;=$B58,12*$B$7,-12*$B$6*(1+$B$4)^19)&gt;0,1+$B$3,1))</f>
        <v/>
      </c>
      <c r="W58">
        <f>IF($B$1+20&gt;90,V58,(V58+IF($B$1+20&lt;=$B58,12*$B$7,-12*$B$6*(1+$B$4)^20))*IF(V58+IF($B$1+20&lt;=$B58,12*$B$7,-12*$B$6*(1+$B$4)^20)&gt;0,1+$B$3,1))</f>
        <v/>
      </c>
      <c r="X58">
        <f>IF($B$1+21&gt;90,W58,(W58+IF($B$1+21&lt;=$B58,12*$B$7,-12*$B$6*(1+$B$4)^21))*IF(W58+IF($B$1+21&lt;=$B58,12*$B$7,-12*$B$6*(1+$B$4)^21)&gt;0,1+$B$3,1))</f>
        <v/>
      </c>
      <c r="Y58">
        <f>IF($B$1+22&gt;90,X58,(X58+IF($B$1+22&lt;=$B58,12*$B$7,-12*$B$6*(1+$B$4)^22))*IF(X58+IF($B$1+22&lt;=$B58,12*$B$7,-12*$B$6*(1+$B$4)^22)&gt;0,1+$B$3,1))</f>
        <v/>
      </c>
      <c r="Z58">
        <f>IF($B$1+23&gt;90,Y58,(Y58+IF($B$1+23&lt;=$B58,12*$B$7,-12*$B$6*(1+$B$4)^23))*IF(Y58+IF($B$1+23&lt;=$B58,12*$B$7,-12*$B$6*(1+$B$4)^23)&gt;0,1+$B$3,1))</f>
        <v/>
      </c>
      <c r="AA58">
        <f>IF($B$1+24&gt;90,Z58,(Z58+IF($B$1+24&lt;=$B58,12*$B$7,-12*$B$6*(1+$B$4)^24))*IF(Z58+IF($B$1+24&lt;=$B58,12*$B$7,-12*$B$6*(1+$B$4)^24)&gt;0,1+$B$3,1))</f>
        <v/>
      </c>
      <c r="AB58">
        <f>IF($B$1+25&gt;90,AA58,(AA58+IF($B$1+25&lt;=$B58,12*$B$7,-12*$B$6*(1+$B$4)^25))*IF(AA58+IF($B$1+25&lt;=$B58,12*$B$7,-12*$B$6*(1+$B$4)^25)&gt;0,1+$B$3,1))</f>
        <v/>
      </c>
      <c r="AC58">
        <f>IF($B$1+26&gt;90,AB58,(AB58+IF($B$1+26&lt;=$B58,12*$B$7,-12*$B$6*(1+$B$4)^26))*IF(AB58+IF($B$1+26&lt;=$B58,12*$B$7,-12*$B$6*(1+$B$4)^26)&gt;0,1+$B$3,1))</f>
        <v/>
      </c>
      <c r="AD58">
        <f>IF($B$1+27&gt;90,AC58,(AC58+IF($B$1+27&lt;=$B58,12*$B$7,-12*$B$6*(1+$B$4)^27))*IF(AC58+IF($B$1+27&lt;=$B58,12*$B$7,-12*$B$6*(1+$B$4)^27)&gt;0,1+$B$3,1))</f>
        <v/>
      </c>
      <c r="AE58">
        <f>IF($B$1+28&gt;90,AD58,(AD58+IF($B$1+28&lt;=$B58,12*$B$7,-12*$B$6*(1+$B$4)^28))*IF(AD58+IF($B$1+28&lt;=$B58,12*$B$7,-12*$B$6*(1+$B$4)^28)&gt;0,1+$B$3,1))</f>
        <v/>
      </c>
      <c r="AF58">
        <f>IF($B$1+29&gt;90,AE58,(AE58+IF($B$1+29&lt;=$B58,12*$B$7,-12*$B$6*(1+$B$4)^29))*IF(AE58+IF($B$1+29&lt;=$B58,12*$B$7,-12*$B$6*(1+$B$4)^29)&gt;0,1+$B$3,1))</f>
        <v/>
      </c>
      <c r="AG58">
        <f>IF($B$1+30&gt;90,AF58,(AF58+IF($B$1+30&lt;=$B58,12*$B$7,-12*$B$6*(1+$B$4)^30))*IF(AF58+IF($B$1+30&lt;=$B58,12*$B$7,-12*$B$6*(1+$B$4)^30)&gt;0,1+$B$3,1))</f>
        <v/>
      </c>
      <c r="AH58">
        <f>IF($B$1+31&gt;90,AG58,(AG58+IF($B$1+31&lt;=$B58,12*$B$7,-12*$B$6*(1+$B$4)^31))*IF(AG58+IF($B$1+31&lt;=$B58,12*$B$7,-12*$B$6*(1+$B$4)^31)&gt;0,1+$B$3,1))</f>
        <v/>
      </c>
      <c r="AI58">
        <f>IF($B$1+32&gt;90,AH58,(AH58+IF($B$1+32&lt;=$B58,12*$B$7,-12*$B$6*(1+$B$4)^32))*IF(AH58+IF($B$1+32&lt;=$B58,12*$B$7,-12*$B$6*(1+$B$4)^32)&gt;0,1+$B$3,1))</f>
        <v/>
      </c>
      <c r="AJ58">
        <f>IF($B$1+33&gt;90,AI58,(AI58+IF($B$1+33&lt;=$B58,12*$B$7,-12*$B$6*(1+$B$4)^33))*IF(AI58+IF($B$1+33&lt;=$B58,12*$B$7,-12*$B$6*(1+$B$4)^33)&gt;0,1+$B$3,1))</f>
        <v/>
      </c>
      <c r="AK58">
        <f>IF($B$1+34&gt;90,AJ58,(AJ58+IF($B$1+34&lt;=$B58,12*$B$7,-12*$B$6*(1+$B$4)^34))*IF(AJ58+IF($B$1+34&lt;=$B58,12*$B$7,-12*$B$6*(1+$B$4)^34)&gt;0,1+$B$3,1))</f>
        <v/>
      </c>
      <c r="AL58">
        <f>IF($B$1+35&gt;90,AK58,(AK58+IF($B$1+35&lt;=$B58,12*$B$7,-12*$B$6*(1+$B$4)^35))*IF(AK58+IF($B$1+35&lt;=$B58,12*$B$7,-12*$B$6*(1+$B$4)^35)&gt;0,1+$B$3,1))</f>
        <v/>
      </c>
      <c r="AM58">
        <f>IF($B$1+36&gt;90,AL58,(AL58+IF($B$1+36&lt;=$B58,12*$B$7,-12*$B$6*(1+$B$4)^36))*IF(AL58+IF($B$1+36&lt;=$B58,12*$B$7,-12*$B$6*(1+$B$4)^36)&gt;0,1+$B$3,1))</f>
        <v/>
      </c>
      <c r="AN58">
        <f>IF($B$1+37&gt;90,AM58,(AM58+IF($B$1+37&lt;=$B58,12*$B$7,-12*$B$6*(1+$B$4)^37))*IF(AM58+IF($B$1+37&lt;=$B58,12*$B$7,-12*$B$6*(1+$B$4)^37)&gt;0,1+$B$3,1))</f>
        <v/>
      </c>
      <c r="AO58">
        <f>IF($B$1+38&gt;90,AN58,(AN58+IF($B$1+38&lt;=$B58,12*$B$7,-12*$B$6*(1+$B$4)^38))*IF(AN58+IF($B$1+38&lt;=$B58,12*$B$7,-12*$B$6*(1+$B$4)^38)&gt;0,1+$B$3,1))</f>
        <v/>
      </c>
      <c r="AP58">
        <f>IF($B$1+39&gt;90,AO58,(AO58+IF($B$1+39&lt;=$B58,12*$B$7,-12*$B$6*(1+$B$4)^39))*IF(AO58+IF($B$1+39&lt;=$B58,12*$B$7,-12*$B$6*(1+$B$4)^39)&gt;0,1+$B$3,1))</f>
        <v/>
      </c>
      <c r="AQ58">
        <f>IF($B$1+40&gt;90,AP58,(AP58+IF($B$1+40&lt;=$B58,12*$B$7,-12*$B$6*(1+$B$4)^40))*IF(AP58+IF($B$1+40&lt;=$B58,12*$B$7,-12*$B$6*(1+$B$4)^40)&gt;0,1+$B$3,1))</f>
        <v/>
      </c>
      <c r="AR58">
        <f>IF($B$1+41&gt;90,AQ58,(AQ58+IF($B$1+41&lt;=$B58,12*$B$7,-12*$B$6*(1+$B$4)^41))*IF(AQ58+IF($B$1+41&lt;=$B58,12*$B$7,-12*$B$6*(1+$B$4)^41)&gt;0,1+$B$3,1))</f>
        <v/>
      </c>
      <c r="AS58">
        <f>IF($B$1+42&gt;90,AR58,(AR58+IF($B$1+42&lt;=$B58,12*$B$7,-12*$B$6*(1+$B$4)^42))*IF(AR58+IF($B$1+42&lt;=$B58,12*$B$7,-12*$B$6*(1+$B$4)^42)&gt;0,1+$B$3,1))</f>
        <v/>
      </c>
      <c r="AT58">
        <f>IF($B$1+43&gt;90,AS58,(AS58+IF($B$1+43&lt;=$B58,12*$B$7,-12*$B$6*(1+$B$4)^43))*IF(AS58+IF($B$1+43&lt;=$B58,12*$B$7,-12*$B$6*(1+$B$4)^43)&gt;0,1+$B$3,1))</f>
        <v/>
      </c>
      <c r="AU58">
        <f>IF($B$1+44&gt;90,AT58,(AT58+IF($B$1+44&lt;=$B58,12*$B$7,-12*$B$6*(1+$B$4)^44))*IF(AT58+IF($B$1+44&lt;=$B58,12*$B$7,-12*$B$6*(1+$B$4)^44)&gt;0,1+$B$3,1))</f>
        <v/>
      </c>
      <c r="AV58">
        <f>IF($B$1+45&gt;90,AU58,(AU58+IF($B$1+45&lt;=$B58,12*$B$7,-12*$B$6*(1+$B$4)^45))*IF(AU58+IF($B$1+45&lt;=$B58,12*$B$7,-12*$B$6*(1+$B$4)^45)&gt;0,1+$B$3,1))</f>
        <v/>
      </c>
      <c r="AW58">
        <f>IF($B$1+46&gt;90,AV58,(AV58+IF($B$1+46&lt;=$B58,12*$B$7,-12*$B$6*(1+$B$4)^46))*IF(AV58+IF($B$1+46&lt;=$B58,12*$B$7,-12*$B$6*(1+$B$4)^46)&gt;0,1+$B$3,1))</f>
        <v/>
      </c>
      <c r="AX58">
        <f>IF($B$1+47&gt;90,AW58,(AW58+IF($B$1+47&lt;=$B58,12*$B$7,-12*$B$6*(1+$B$4)^47))*IF(AW58+IF($B$1+47&lt;=$B58,12*$B$7,-12*$B$6*(1+$B$4)^47)&gt;0,1+$B$3,1))</f>
        <v/>
      </c>
      <c r="AY58">
        <f>IF($B$1+48&gt;90,AX58,(AX58+IF($B$1+48&lt;=$B58,12*$B$7,-12*$B$6*(1+$B$4)^48))*IF(AX58+IF($B$1+48&lt;=$B58,12*$B$7,-12*$B$6*(1+$B$4)^48)&gt;0,1+$B$3,1))</f>
        <v/>
      </c>
      <c r="AZ58">
        <f>IF($B$1+49&gt;90,AY58,(AY58+IF($B$1+49&lt;=$B58,12*$B$7,-12*$B$6*(1+$B$4)^49))*IF(AY58+IF($B$1+49&lt;=$B58,12*$B$7,-12*$B$6*(1+$B$4)^49)&gt;0,1+$B$3,1))</f>
        <v/>
      </c>
      <c r="BA58">
        <f>IF($B$1+50&gt;90,AZ58,(AZ58+IF($B$1+50&lt;=$B58,12*$B$7,-12*$B$6*(1+$B$4)^50))*IF(AZ58+IF($B$1+50&lt;=$B58,12*$B$7,-12*$B$6*(1+$B$4)^50)&gt;0,1+$B$3,1))</f>
        <v/>
      </c>
      <c r="BB58">
        <f>IF($B$1+51&gt;90,BA58,(BA58+IF($B$1+51&lt;=$B58,12*$B$7,-12*$B$6*(1+$B$4)^51))*IF(BA58+IF($B$1+51&lt;=$B58,12*$B$7,-12*$B$6*(1+$B$4)^51)&gt;0,1+$B$3,1))</f>
        <v/>
      </c>
      <c r="BC58">
        <f>IF($B$1+52&gt;90,BB58,(BB58+IF($B$1+52&lt;=$B58,12*$B$7,-12*$B$6*(1+$B$4)^52))*IF(BB58+IF($B$1+52&lt;=$B58,12*$B$7,-12*$B$6*(1+$B$4)^52)&gt;0,1+$B$3,1))</f>
        <v/>
      </c>
      <c r="BD58">
        <f>IF($B$1+53&gt;90,BC58,(BC58+IF($B$1+53&lt;=$B58,12*$B$7,-12*$B$6*(1+$B$4)^53))*IF(BC58+IF($B$1+53&lt;=$B58,12*$B$7,-12*$B$6*(1+$B$4)^53)&gt;0,1+$B$3,1))</f>
        <v/>
      </c>
      <c r="BE58">
        <f>IF($B$1+54&gt;90,BD58,(BD58+IF($B$1+54&lt;=$B58,12*$B$7,-12*$B$6*(1+$B$4)^54))*IF(BD58+IF($B$1+54&lt;=$B58,12*$B$7,-12*$B$6*(1+$B$4)^54)&gt;0,1+$B$3,1))</f>
        <v/>
      </c>
      <c r="BF58">
        <f>IF($B$1+55&gt;90,BE58,(BE58+IF($B$1+55&lt;=$B58,12*$B$7,-12*$B$6*(1+$B$4)^55))*IF(BE58+IF($B$1+55&lt;=$B58,12*$B$7,-12*$B$6*(1+$B$4)^55)&gt;0,1+$B$3,1))</f>
        <v/>
      </c>
      <c r="BG58">
        <f>IF($B$1+56&gt;90,BF58,(BF58+IF($B$1+56&lt;=$B58,12*$B$7,-12*$B$6*(1+$B$4)^56))*IF(BF58+IF($B$1+56&lt;=$B58,12*$B$7,-12*$B$6*(1+$B$4)^56)&gt;0,1+$B$3,1))</f>
        <v/>
      </c>
      <c r="BH58">
        <f>IF($B$1+57&gt;90,BG58,(BG58+IF($B$1+57&lt;=$B58,12*$B$7,-12*$B$6*(1+$B$4)^57))*IF(BG58+IF($B$1+57&lt;=$B58,12*$B$7,-12*$B$6*(1+$B$4)^57)&gt;0,1+$B$3,1))</f>
        <v/>
      </c>
      <c r="BI58">
        <f>IF($B$1+58&gt;90,BH58,(BH58+IF($B$1+58&lt;=$B58,12*$B$7,-12*$B$6*(1+$B$4)^58))*IF(BH58+IF($B$1+58&lt;=$B58,12*$B$7,-12*$B$6*(1+$B$4)^58)&gt;0,1+$B$3,1))</f>
        <v/>
      </c>
      <c r="BJ58">
        <f>IF($B$1+59&gt;90,BI58,(BI58+IF($B$1+59&lt;=$B58,12*$B$7,-12*$B$6*(1+$B$4)^59))*IF(BI58+IF($B$1+59&lt;=$B58,12*$B$7,-12*$B$6*(1+$B$4)^59)&gt;0,1+$B$3,1))</f>
        <v/>
      </c>
      <c r="BK58">
        <f>IF($B$1+60&gt;90,BJ58,(BJ58+IF($B$1+60&lt;=$B58,12*$B$7,-12*$B$6*(1+$B$4)^60))*IF(BJ58+IF($B$1+60&lt;=$B58,12*$B$7,-12*$B$6*(1+$B$4)^60)&gt;0,1+$B$3,1))</f>
        <v/>
      </c>
      <c r="BL58">
        <f>IF($B$1+61&gt;90,BK58,(BK58+IF($B$1+61&lt;=$B58,12*$B$7,-12*$B$6*(1+$B$4)^61))*IF(BK58+IF($B$1+61&lt;=$B58,12*$B$7,-12*$B$6*(1+$B$4)^61)&gt;0,1+$B$3,1))</f>
        <v/>
      </c>
      <c r="BM58">
        <f>IF($B$1+62&gt;90,BL58,(BL58+IF($B$1+62&lt;=$B58,12*$B$7,-12*$B$6*(1+$B$4)^62))*IF(BL58+IF($B$1+62&lt;=$B58,12*$B$7,-12*$B$6*(1+$B$4)^62)&gt;0,1+$B$3,1))</f>
        <v/>
      </c>
      <c r="BN58">
        <f>IF($B$1+63&gt;90,BM58,(BM58+IF($B$1+63&lt;=$B58,12*$B$7,-12*$B$6*(1+$B$4)^63))*IF(BM58+IF($B$1+63&lt;=$B58,12*$B$7,-12*$B$6*(1+$B$4)^63)&gt;0,1+$B$3,1))</f>
        <v/>
      </c>
      <c r="BO58">
        <f>IF($B$1+64&gt;90,BN58,(BN58+IF($B$1+64&lt;=$B58,12*$B$7,-12*$B$6*(1+$B$4)^64))*IF(BN58+IF($B$1+64&lt;=$B58,12*$B$7,-12*$B$6*(1+$B$4)^64)&gt;0,1+$B$3,1))</f>
        <v/>
      </c>
      <c r="BP58">
        <f>IF($B$1+65&gt;90,BO58,(BO58+IF($B$1+65&lt;=$B58,12*$B$7,-12*$B$6*(1+$B$4)^65))*IF(BO58+IF($B$1+65&lt;=$B58,12*$B$7,-12*$B$6*(1+$B$4)^65)&gt;0,1+$B$3,1))</f>
        <v/>
      </c>
      <c r="BQ58">
        <f>IF($B$1+66&gt;90,BP58,(BP58+IF($B$1+66&lt;=$B58,12*$B$7,-12*$B$6*(1+$B$4)^66))*IF(BP58+IF($B$1+66&lt;=$B58,12*$B$7,-12*$B$6*(1+$B$4)^66)&gt;0,1+$B$3,1))</f>
        <v/>
      </c>
      <c r="BR58">
        <f>IF($B$1+67&gt;90,BQ58,(BQ58+IF($B$1+67&lt;=$B58,12*$B$7,-12*$B$6*(1+$B$4)^67))*IF(BQ58+IF($B$1+67&lt;=$B58,12*$B$7,-12*$B$6*(1+$B$4)^67)&gt;0,1+$B$3,1))</f>
        <v/>
      </c>
      <c r="BS58">
        <f>IF($B$1+68&gt;90,BR58,(BR58+IF($B$1+68&lt;=$B58,12*$B$7,-12*$B$6*(1+$B$4)^68))*IF(BR58+IF($B$1+68&lt;=$B58,12*$B$7,-12*$B$6*(1+$B$4)^68)&gt;0,1+$B$3,1))</f>
        <v/>
      </c>
      <c r="BT58">
        <f>IF($B$1+69&gt;90,BS58,(BS58+IF($B$1+69&lt;=$B58,12*$B$7,-12*$B$6*(1+$B$4)^69))*IF(BS58+IF($B$1+69&lt;=$B58,12*$B$7,-12*$B$6*(1+$B$4)^69)&gt;0,1+$B$3,1))</f>
        <v/>
      </c>
      <c r="BU58">
        <f>IF($B$1+70&gt;90,BT58,(BT58+IF($B$1+70&lt;=$B58,12*$B$7,-12*$B$6*(1+$B$4)^70))*IF(BT58+IF($B$1+70&lt;=$B58,12*$B$7,-12*$B$6*(1+$B$4)^70)&gt;0,1+$B$3,1))</f>
        <v/>
      </c>
      <c r="BV58">
        <f>BU58</f>
        <v/>
      </c>
      <c r="BW58">
        <f>IF(AND($B58&lt;=70,BV58&gt;0),$B58,999)</f>
        <v/>
      </c>
      <c r="CB58" t="n">
        <v>57</v>
      </c>
      <c r="CC58">
        <f>IF($B$1+CB58&gt;90,0,12*$B$6*(1+$B$4)^CB58/(1+$B$3)^(CB58-1))</f>
        <v/>
      </c>
      <c r="CE58">
        <f>IF($B$1+56&gt;90,NA(),$B$1+56)</f>
        <v/>
      </c>
      <c r="CF58">
        <f>IF(OR($B$21="",$B$1+56&gt;90),NA(),INDEX($C$40:$BU$90,$B$21-$B$1+1,57))</f>
        <v/>
      </c>
    </row>
    <row r="59">
      <c r="A59" t="n">
        <v>19</v>
      </c>
      <c r="B59">
        <f>$B$1+19</f>
        <v/>
      </c>
      <c r="C59">
        <f>$B$2</f>
        <v/>
      </c>
      <c r="D59">
        <f>IF($B$1+1&gt;90,C59,(C59+IF($B$1+1&lt;=$B59,12*$B$7,-12*$B$6*(1+$B$4)^1))*IF(C59+IF($B$1+1&lt;=$B59,12*$B$7,-12*$B$6*(1+$B$4)^1)&gt;0,1+$B$3,1))</f>
        <v/>
      </c>
      <c r="E59">
        <f>IF($B$1+2&gt;90,D59,(D59+IF($B$1+2&lt;=$B59,12*$B$7,-12*$B$6*(1+$B$4)^2))*IF(D59+IF($B$1+2&lt;=$B59,12*$B$7,-12*$B$6*(1+$B$4)^2)&gt;0,1+$B$3,1))</f>
        <v/>
      </c>
      <c r="F59">
        <f>IF($B$1+3&gt;90,E59,(E59+IF($B$1+3&lt;=$B59,12*$B$7,-12*$B$6*(1+$B$4)^3))*IF(E59+IF($B$1+3&lt;=$B59,12*$B$7,-12*$B$6*(1+$B$4)^3)&gt;0,1+$B$3,1))</f>
        <v/>
      </c>
      <c r="G59">
        <f>IF($B$1+4&gt;90,F59,(F59+IF($B$1+4&lt;=$B59,12*$B$7,-12*$B$6*(1+$B$4)^4))*IF(F59+IF($B$1+4&lt;=$B59,12*$B$7,-12*$B$6*(1+$B$4)^4)&gt;0,1+$B$3,1))</f>
        <v/>
      </c>
      <c r="H59">
        <f>IF($B$1+5&gt;90,G59,(G59+IF($B$1+5&lt;=$B59,12*$B$7,-12*$B$6*(1+$B$4)^5))*IF(G59+IF($B$1+5&lt;=$B59,12*$B$7,-12*$B$6*(1+$B$4)^5)&gt;0,1+$B$3,1))</f>
        <v/>
      </c>
      <c r="I59">
        <f>IF($B$1+6&gt;90,H59,(H59+IF($B$1+6&lt;=$B59,12*$B$7,-12*$B$6*(1+$B$4)^6))*IF(H59+IF($B$1+6&lt;=$B59,12*$B$7,-12*$B$6*(1+$B$4)^6)&gt;0,1+$B$3,1))</f>
        <v/>
      </c>
      <c r="J59">
        <f>IF($B$1+7&gt;90,I59,(I59+IF($B$1+7&lt;=$B59,12*$B$7,-12*$B$6*(1+$B$4)^7))*IF(I59+IF($B$1+7&lt;=$B59,12*$B$7,-12*$B$6*(1+$B$4)^7)&gt;0,1+$B$3,1))</f>
        <v/>
      </c>
      <c r="K59">
        <f>IF($B$1+8&gt;90,J59,(J59+IF($B$1+8&lt;=$B59,12*$B$7,-12*$B$6*(1+$B$4)^8))*IF(J59+IF($B$1+8&lt;=$B59,12*$B$7,-12*$B$6*(1+$B$4)^8)&gt;0,1+$B$3,1))</f>
        <v/>
      </c>
      <c r="L59">
        <f>IF($B$1+9&gt;90,K59,(K59+IF($B$1+9&lt;=$B59,12*$B$7,-12*$B$6*(1+$B$4)^9))*IF(K59+IF($B$1+9&lt;=$B59,12*$B$7,-12*$B$6*(1+$B$4)^9)&gt;0,1+$B$3,1))</f>
        <v/>
      </c>
      <c r="M59">
        <f>IF($B$1+10&gt;90,L59,(L59+IF($B$1+10&lt;=$B59,12*$B$7,-12*$B$6*(1+$B$4)^10))*IF(L59+IF($B$1+10&lt;=$B59,12*$B$7,-12*$B$6*(1+$B$4)^10)&gt;0,1+$B$3,1))</f>
        <v/>
      </c>
      <c r="N59">
        <f>IF($B$1+11&gt;90,M59,(M59+IF($B$1+11&lt;=$B59,12*$B$7,-12*$B$6*(1+$B$4)^11))*IF(M59+IF($B$1+11&lt;=$B59,12*$B$7,-12*$B$6*(1+$B$4)^11)&gt;0,1+$B$3,1))</f>
        <v/>
      </c>
      <c r="O59">
        <f>IF($B$1+12&gt;90,N59,(N59+IF($B$1+12&lt;=$B59,12*$B$7,-12*$B$6*(1+$B$4)^12))*IF(N59+IF($B$1+12&lt;=$B59,12*$B$7,-12*$B$6*(1+$B$4)^12)&gt;0,1+$B$3,1))</f>
        <v/>
      </c>
      <c r="P59">
        <f>IF($B$1+13&gt;90,O59,(O59+IF($B$1+13&lt;=$B59,12*$B$7,-12*$B$6*(1+$B$4)^13))*IF(O59+IF($B$1+13&lt;=$B59,12*$B$7,-12*$B$6*(1+$B$4)^13)&gt;0,1+$B$3,1))</f>
        <v/>
      </c>
      <c r="Q59">
        <f>IF($B$1+14&gt;90,P59,(P59+IF($B$1+14&lt;=$B59,12*$B$7,-12*$B$6*(1+$B$4)^14))*IF(P59+IF($B$1+14&lt;=$B59,12*$B$7,-12*$B$6*(1+$B$4)^14)&gt;0,1+$B$3,1))</f>
        <v/>
      </c>
      <c r="R59">
        <f>IF($B$1+15&gt;90,Q59,(Q59+IF($B$1+15&lt;=$B59,12*$B$7,-12*$B$6*(1+$B$4)^15))*IF(Q59+IF($B$1+15&lt;=$B59,12*$B$7,-12*$B$6*(1+$B$4)^15)&gt;0,1+$B$3,1))</f>
        <v/>
      </c>
      <c r="S59">
        <f>IF($B$1+16&gt;90,R59,(R59+IF($B$1+16&lt;=$B59,12*$B$7,-12*$B$6*(1+$B$4)^16))*IF(R59+IF($B$1+16&lt;=$B59,12*$B$7,-12*$B$6*(1+$B$4)^16)&gt;0,1+$B$3,1))</f>
        <v/>
      </c>
      <c r="T59">
        <f>IF($B$1+17&gt;90,S59,(S59+IF($B$1+17&lt;=$B59,12*$B$7,-12*$B$6*(1+$B$4)^17))*IF(S59+IF($B$1+17&lt;=$B59,12*$B$7,-12*$B$6*(1+$B$4)^17)&gt;0,1+$B$3,1))</f>
        <v/>
      </c>
      <c r="U59">
        <f>IF($B$1+18&gt;90,T59,(T59+IF($B$1+18&lt;=$B59,12*$B$7,-12*$B$6*(1+$B$4)^18))*IF(T59+IF($B$1+18&lt;=$B59,12*$B$7,-12*$B$6*(1+$B$4)^18)&gt;0,1+$B$3,1))</f>
        <v/>
      </c>
      <c r="V59">
        <f>IF($B$1+19&gt;90,U59,(U59+IF($B$1+19&lt;=$B59,12*$B$7,-12*$B$6*(1+$B$4)^19))*IF(U59+IF($B$1+19&lt;=$B59,12*$B$7,-12*$B$6*(1+$B$4)^19)&gt;0,1+$B$3,1))</f>
        <v/>
      </c>
      <c r="W59">
        <f>IF($B$1+20&gt;90,V59,(V59+IF($B$1+20&lt;=$B59,12*$B$7,-12*$B$6*(1+$B$4)^20))*IF(V59+IF($B$1+20&lt;=$B59,12*$B$7,-12*$B$6*(1+$B$4)^20)&gt;0,1+$B$3,1))</f>
        <v/>
      </c>
      <c r="X59">
        <f>IF($B$1+21&gt;90,W59,(W59+IF($B$1+21&lt;=$B59,12*$B$7,-12*$B$6*(1+$B$4)^21))*IF(W59+IF($B$1+21&lt;=$B59,12*$B$7,-12*$B$6*(1+$B$4)^21)&gt;0,1+$B$3,1))</f>
        <v/>
      </c>
      <c r="Y59">
        <f>IF($B$1+22&gt;90,X59,(X59+IF($B$1+22&lt;=$B59,12*$B$7,-12*$B$6*(1+$B$4)^22))*IF(X59+IF($B$1+22&lt;=$B59,12*$B$7,-12*$B$6*(1+$B$4)^22)&gt;0,1+$B$3,1))</f>
        <v/>
      </c>
      <c r="Z59">
        <f>IF($B$1+23&gt;90,Y59,(Y59+IF($B$1+23&lt;=$B59,12*$B$7,-12*$B$6*(1+$B$4)^23))*IF(Y59+IF($B$1+23&lt;=$B59,12*$B$7,-12*$B$6*(1+$B$4)^23)&gt;0,1+$B$3,1))</f>
        <v/>
      </c>
      <c r="AA59">
        <f>IF($B$1+24&gt;90,Z59,(Z59+IF($B$1+24&lt;=$B59,12*$B$7,-12*$B$6*(1+$B$4)^24))*IF(Z59+IF($B$1+24&lt;=$B59,12*$B$7,-12*$B$6*(1+$B$4)^24)&gt;0,1+$B$3,1))</f>
        <v/>
      </c>
      <c r="AB59">
        <f>IF($B$1+25&gt;90,AA59,(AA59+IF($B$1+25&lt;=$B59,12*$B$7,-12*$B$6*(1+$B$4)^25))*IF(AA59+IF($B$1+25&lt;=$B59,12*$B$7,-12*$B$6*(1+$B$4)^25)&gt;0,1+$B$3,1))</f>
        <v/>
      </c>
      <c r="AC59">
        <f>IF($B$1+26&gt;90,AB59,(AB59+IF($B$1+26&lt;=$B59,12*$B$7,-12*$B$6*(1+$B$4)^26))*IF(AB59+IF($B$1+26&lt;=$B59,12*$B$7,-12*$B$6*(1+$B$4)^26)&gt;0,1+$B$3,1))</f>
        <v/>
      </c>
      <c r="AD59">
        <f>IF($B$1+27&gt;90,AC59,(AC59+IF($B$1+27&lt;=$B59,12*$B$7,-12*$B$6*(1+$B$4)^27))*IF(AC59+IF($B$1+27&lt;=$B59,12*$B$7,-12*$B$6*(1+$B$4)^27)&gt;0,1+$B$3,1))</f>
        <v/>
      </c>
      <c r="AE59">
        <f>IF($B$1+28&gt;90,AD59,(AD59+IF($B$1+28&lt;=$B59,12*$B$7,-12*$B$6*(1+$B$4)^28))*IF(AD59+IF($B$1+28&lt;=$B59,12*$B$7,-12*$B$6*(1+$B$4)^28)&gt;0,1+$B$3,1))</f>
        <v/>
      </c>
      <c r="AF59">
        <f>IF($B$1+29&gt;90,AE59,(AE59+IF($B$1+29&lt;=$B59,12*$B$7,-12*$B$6*(1+$B$4)^29))*IF(AE59+IF($B$1+29&lt;=$B59,12*$B$7,-12*$B$6*(1+$B$4)^29)&gt;0,1+$B$3,1))</f>
        <v/>
      </c>
      <c r="AG59">
        <f>IF($B$1+30&gt;90,AF59,(AF59+IF($B$1+30&lt;=$B59,12*$B$7,-12*$B$6*(1+$B$4)^30))*IF(AF59+IF($B$1+30&lt;=$B59,12*$B$7,-12*$B$6*(1+$B$4)^30)&gt;0,1+$B$3,1))</f>
        <v/>
      </c>
      <c r="AH59">
        <f>IF($B$1+31&gt;90,AG59,(AG59+IF($B$1+31&lt;=$B59,12*$B$7,-12*$B$6*(1+$B$4)^31))*IF(AG59+IF($B$1+31&lt;=$B59,12*$B$7,-12*$B$6*(1+$B$4)^31)&gt;0,1+$B$3,1))</f>
        <v/>
      </c>
      <c r="AI59">
        <f>IF($B$1+32&gt;90,AH59,(AH59+IF($B$1+32&lt;=$B59,12*$B$7,-12*$B$6*(1+$B$4)^32))*IF(AH59+IF($B$1+32&lt;=$B59,12*$B$7,-12*$B$6*(1+$B$4)^32)&gt;0,1+$B$3,1))</f>
        <v/>
      </c>
      <c r="AJ59">
        <f>IF($B$1+33&gt;90,AI59,(AI59+IF($B$1+33&lt;=$B59,12*$B$7,-12*$B$6*(1+$B$4)^33))*IF(AI59+IF($B$1+33&lt;=$B59,12*$B$7,-12*$B$6*(1+$B$4)^33)&gt;0,1+$B$3,1))</f>
        <v/>
      </c>
      <c r="AK59">
        <f>IF($B$1+34&gt;90,AJ59,(AJ59+IF($B$1+34&lt;=$B59,12*$B$7,-12*$B$6*(1+$B$4)^34))*IF(AJ59+IF($B$1+34&lt;=$B59,12*$B$7,-12*$B$6*(1+$B$4)^34)&gt;0,1+$B$3,1))</f>
        <v/>
      </c>
      <c r="AL59">
        <f>IF($B$1+35&gt;90,AK59,(AK59+IF($B$1+35&lt;=$B59,12*$B$7,-12*$B$6*(1+$B$4)^35))*IF(AK59+IF($B$1+35&lt;=$B59,12*$B$7,-12*$B$6*(1+$B$4)^35)&gt;0,1+$B$3,1))</f>
        <v/>
      </c>
      <c r="AM59">
        <f>IF($B$1+36&gt;90,AL59,(AL59+IF($B$1+36&lt;=$B59,12*$B$7,-12*$B$6*(1+$B$4)^36))*IF(AL59+IF($B$1+36&lt;=$B59,12*$B$7,-12*$B$6*(1+$B$4)^36)&gt;0,1+$B$3,1))</f>
        <v/>
      </c>
      <c r="AN59">
        <f>IF($B$1+37&gt;90,AM59,(AM59+IF($B$1+37&lt;=$B59,12*$B$7,-12*$B$6*(1+$B$4)^37))*IF(AM59+IF($B$1+37&lt;=$B59,12*$B$7,-12*$B$6*(1+$B$4)^37)&gt;0,1+$B$3,1))</f>
        <v/>
      </c>
      <c r="AO59">
        <f>IF($B$1+38&gt;90,AN59,(AN59+IF($B$1+38&lt;=$B59,12*$B$7,-12*$B$6*(1+$B$4)^38))*IF(AN59+IF($B$1+38&lt;=$B59,12*$B$7,-12*$B$6*(1+$B$4)^38)&gt;0,1+$B$3,1))</f>
        <v/>
      </c>
      <c r="AP59">
        <f>IF($B$1+39&gt;90,AO59,(AO59+IF($B$1+39&lt;=$B59,12*$B$7,-12*$B$6*(1+$B$4)^39))*IF(AO59+IF($B$1+39&lt;=$B59,12*$B$7,-12*$B$6*(1+$B$4)^39)&gt;0,1+$B$3,1))</f>
        <v/>
      </c>
      <c r="AQ59">
        <f>IF($B$1+40&gt;90,AP59,(AP59+IF($B$1+40&lt;=$B59,12*$B$7,-12*$B$6*(1+$B$4)^40))*IF(AP59+IF($B$1+40&lt;=$B59,12*$B$7,-12*$B$6*(1+$B$4)^40)&gt;0,1+$B$3,1))</f>
        <v/>
      </c>
      <c r="AR59">
        <f>IF($B$1+41&gt;90,AQ59,(AQ59+IF($B$1+41&lt;=$B59,12*$B$7,-12*$B$6*(1+$B$4)^41))*IF(AQ59+IF($B$1+41&lt;=$B59,12*$B$7,-12*$B$6*(1+$B$4)^41)&gt;0,1+$B$3,1))</f>
        <v/>
      </c>
      <c r="AS59">
        <f>IF($B$1+42&gt;90,AR59,(AR59+IF($B$1+42&lt;=$B59,12*$B$7,-12*$B$6*(1+$B$4)^42))*IF(AR59+IF($B$1+42&lt;=$B59,12*$B$7,-12*$B$6*(1+$B$4)^42)&gt;0,1+$B$3,1))</f>
        <v/>
      </c>
      <c r="AT59">
        <f>IF($B$1+43&gt;90,AS59,(AS59+IF($B$1+43&lt;=$B59,12*$B$7,-12*$B$6*(1+$B$4)^43))*IF(AS59+IF($B$1+43&lt;=$B59,12*$B$7,-12*$B$6*(1+$B$4)^43)&gt;0,1+$B$3,1))</f>
        <v/>
      </c>
      <c r="AU59">
        <f>IF($B$1+44&gt;90,AT59,(AT59+IF($B$1+44&lt;=$B59,12*$B$7,-12*$B$6*(1+$B$4)^44))*IF(AT59+IF($B$1+44&lt;=$B59,12*$B$7,-12*$B$6*(1+$B$4)^44)&gt;0,1+$B$3,1))</f>
        <v/>
      </c>
      <c r="AV59">
        <f>IF($B$1+45&gt;90,AU59,(AU59+IF($B$1+45&lt;=$B59,12*$B$7,-12*$B$6*(1+$B$4)^45))*IF(AU59+IF($B$1+45&lt;=$B59,12*$B$7,-12*$B$6*(1+$B$4)^45)&gt;0,1+$B$3,1))</f>
        <v/>
      </c>
      <c r="AW59">
        <f>IF($B$1+46&gt;90,AV59,(AV59+IF($B$1+46&lt;=$B59,12*$B$7,-12*$B$6*(1+$B$4)^46))*IF(AV59+IF($B$1+46&lt;=$B59,12*$B$7,-12*$B$6*(1+$B$4)^46)&gt;0,1+$B$3,1))</f>
        <v/>
      </c>
      <c r="AX59">
        <f>IF($B$1+47&gt;90,AW59,(AW59+IF($B$1+47&lt;=$B59,12*$B$7,-12*$B$6*(1+$B$4)^47))*IF(AW59+IF($B$1+47&lt;=$B59,12*$B$7,-12*$B$6*(1+$B$4)^47)&gt;0,1+$B$3,1))</f>
        <v/>
      </c>
      <c r="AY59">
        <f>IF($B$1+48&gt;90,AX59,(AX59+IF($B$1+48&lt;=$B59,12*$B$7,-12*$B$6*(1+$B$4)^48))*IF(AX59+IF($B$1+48&lt;=$B59,12*$B$7,-12*$B$6*(1+$B$4)^48)&gt;0,1+$B$3,1))</f>
        <v/>
      </c>
      <c r="AZ59">
        <f>IF($B$1+49&gt;90,AY59,(AY59+IF($B$1+49&lt;=$B59,12*$B$7,-12*$B$6*(1+$B$4)^49))*IF(AY59+IF($B$1+49&lt;=$B59,12*$B$7,-12*$B$6*(1+$B$4)^49)&gt;0,1+$B$3,1))</f>
        <v/>
      </c>
      <c r="BA59">
        <f>IF($B$1+50&gt;90,AZ59,(AZ59+IF($B$1+50&lt;=$B59,12*$B$7,-12*$B$6*(1+$B$4)^50))*IF(AZ59+IF($B$1+50&lt;=$B59,12*$B$7,-12*$B$6*(1+$B$4)^50)&gt;0,1+$B$3,1))</f>
        <v/>
      </c>
      <c r="BB59">
        <f>IF($B$1+51&gt;90,BA59,(BA59+IF($B$1+51&lt;=$B59,12*$B$7,-12*$B$6*(1+$B$4)^51))*IF(BA59+IF($B$1+51&lt;=$B59,12*$B$7,-12*$B$6*(1+$B$4)^51)&gt;0,1+$B$3,1))</f>
        <v/>
      </c>
      <c r="BC59">
        <f>IF($B$1+52&gt;90,BB59,(BB59+IF($B$1+52&lt;=$B59,12*$B$7,-12*$B$6*(1+$B$4)^52))*IF(BB59+IF($B$1+52&lt;=$B59,12*$B$7,-12*$B$6*(1+$B$4)^52)&gt;0,1+$B$3,1))</f>
        <v/>
      </c>
      <c r="BD59">
        <f>IF($B$1+53&gt;90,BC59,(BC59+IF($B$1+53&lt;=$B59,12*$B$7,-12*$B$6*(1+$B$4)^53))*IF(BC59+IF($B$1+53&lt;=$B59,12*$B$7,-12*$B$6*(1+$B$4)^53)&gt;0,1+$B$3,1))</f>
        <v/>
      </c>
      <c r="BE59">
        <f>IF($B$1+54&gt;90,BD59,(BD59+IF($B$1+54&lt;=$B59,12*$B$7,-12*$B$6*(1+$B$4)^54))*IF(BD59+IF($B$1+54&lt;=$B59,12*$B$7,-12*$B$6*(1+$B$4)^54)&gt;0,1+$B$3,1))</f>
        <v/>
      </c>
      <c r="BF59">
        <f>IF($B$1+55&gt;90,BE59,(BE59+IF($B$1+55&lt;=$B59,12*$B$7,-12*$B$6*(1+$B$4)^55))*IF(BE59+IF($B$1+55&lt;=$B59,12*$B$7,-12*$B$6*(1+$B$4)^55)&gt;0,1+$B$3,1))</f>
        <v/>
      </c>
      <c r="BG59">
        <f>IF($B$1+56&gt;90,BF59,(BF59+IF($B$1+56&lt;=$B59,12*$B$7,-12*$B$6*(1+$B$4)^56))*IF(BF59+IF($B$1+56&lt;=$B59,12*$B$7,-12*$B$6*(1+$B$4)^56)&gt;0,1+$B$3,1))</f>
        <v/>
      </c>
      <c r="BH59">
        <f>IF($B$1+57&gt;90,BG59,(BG59+IF($B$1+57&lt;=$B59,12*$B$7,-12*$B$6*(1+$B$4)^57))*IF(BG59+IF($B$1+57&lt;=$B59,12*$B$7,-12*$B$6*(1+$B$4)^57)&gt;0,1+$B$3,1))</f>
        <v/>
      </c>
      <c r="BI59">
        <f>IF($B$1+58&gt;90,BH59,(BH59+IF($B$1+58&lt;=$B59,12*$B$7,-12*$B$6*(1+$B$4)^58))*IF(BH59+IF($B$1+58&lt;=$B59,12*$B$7,-12*$B$6*(1+$B$4)^58)&gt;0,1+$B$3,1))</f>
        <v/>
      </c>
      <c r="BJ59">
        <f>IF($B$1+59&gt;90,BI59,(BI59+IF($B$1+59&lt;=$B59,12*$B$7,-12*$B$6*(1+$B$4)^59))*IF(BI59+IF($B$1+59&lt;=$B59,12*$B$7,-12*$B$6*(1+$B$4)^59)&gt;0,1+$B$3,1))</f>
        <v/>
      </c>
      <c r="BK59">
        <f>IF($B$1+60&gt;90,BJ59,(BJ59+IF($B$1+60&lt;=$B59,12*$B$7,-12*$B$6*(1+$B$4)^60))*IF(BJ59+IF($B$1+60&lt;=$B59,12*$B$7,-12*$B$6*(1+$B$4)^60)&gt;0,1+$B$3,1))</f>
        <v/>
      </c>
      <c r="BL59">
        <f>IF($B$1+61&gt;90,BK59,(BK59+IF($B$1+61&lt;=$B59,12*$B$7,-12*$B$6*(1+$B$4)^61))*IF(BK59+IF($B$1+61&lt;=$B59,12*$B$7,-12*$B$6*(1+$B$4)^61)&gt;0,1+$B$3,1))</f>
        <v/>
      </c>
      <c r="BM59">
        <f>IF($B$1+62&gt;90,BL59,(BL59+IF($B$1+62&lt;=$B59,12*$B$7,-12*$B$6*(1+$B$4)^62))*IF(BL59+IF($B$1+62&lt;=$B59,12*$B$7,-12*$B$6*(1+$B$4)^62)&gt;0,1+$B$3,1))</f>
        <v/>
      </c>
      <c r="BN59">
        <f>IF($B$1+63&gt;90,BM59,(BM59+IF($B$1+63&lt;=$B59,12*$B$7,-12*$B$6*(1+$B$4)^63))*IF(BM59+IF($B$1+63&lt;=$B59,12*$B$7,-12*$B$6*(1+$B$4)^63)&gt;0,1+$B$3,1))</f>
        <v/>
      </c>
      <c r="BO59">
        <f>IF($B$1+64&gt;90,BN59,(BN59+IF($B$1+64&lt;=$B59,12*$B$7,-12*$B$6*(1+$B$4)^64))*IF(BN59+IF($B$1+64&lt;=$B59,12*$B$7,-12*$B$6*(1+$B$4)^64)&gt;0,1+$B$3,1))</f>
        <v/>
      </c>
      <c r="BP59">
        <f>IF($B$1+65&gt;90,BO59,(BO59+IF($B$1+65&lt;=$B59,12*$B$7,-12*$B$6*(1+$B$4)^65))*IF(BO59+IF($B$1+65&lt;=$B59,12*$B$7,-12*$B$6*(1+$B$4)^65)&gt;0,1+$B$3,1))</f>
        <v/>
      </c>
      <c r="BQ59">
        <f>IF($B$1+66&gt;90,BP59,(BP59+IF($B$1+66&lt;=$B59,12*$B$7,-12*$B$6*(1+$B$4)^66))*IF(BP59+IF($B$1+66&lt;=$B59,12*$B$7,-12*$B$6*(1+$B$4)^66)&gt;0,1+$B$3,1))</f>
        <v/>
      </c>
      <c r="BR59">
        <f>IF($B$1+67&gt;90,BQ59,(BQ59+IF($B$1+67&lt;=$B59,12*$B$7,-12*$B$6*(1+$B$4)^67))*IF(BQ59+IF($B$1+67&lt;=$B59,12*$B$7,-12*$B$6*(1+$B$4)^67)&gt;0,1+$B$3,1))</f>
        <v/>
      </c>
      <c r="BS59">
        <f>IF($B$1+68&gt;90,BR59,(BR59+IF($B$1+68&lt;=$B59,12*$B$7,-12*$B$6*(1+$B$4)^68))*IF(BR59+IF($B$1+68&lt;=$B59,12*$B$7,-12*$B$6*(1+$B$4)^68)&gt;0,1+$B$3,1))</f>
        <v/>
      </c>
      <c r="BT59">
        <f>IF($B$1+69&gt;90,BS59,(BS59+IF($B$1+69&lt;=$B59,12*$B$7,-12*$B$6*(1+$B$4)^69))*IF(BS59+IF($B$1+69&lt;=$B59,12*$B$7,-12*$B$6*(1+$B$4)^69)&gt;0,1+$B$3,1))</f>
        <v/>
      </c>
      <c r="BU59">
        <f>IF($B$1+70&gt;90,BT59,(BT59+IF($B$1+70&lt;=$B59,12*$B$7,-12*$B$6*(1+$B$4)^70))*IF(BT59+IF($B$1+70&lt;=$B59,12*$B$7,-12*$B$6*(1+$B$4)^70)&gt;0,1+$B$3,1))</f>
        <v/>
      </c>
      <c r="BV59">
        <f>BU59</f>
        <v/>
      </c>
      <c r="BW59">
        <f>IF(AND($B59&lt;=70,BV59&gt;0),$B59,999)</f>
        <v/>
      </c>
      <c r="CB59" t="n">
        <v>58</v>
      </c>
      <c r="CC59">
        <f>IF($B$1+CB59&gt;90,0,12*$B$6*(1+$B$4)^CB59/(1+$B$3)^(CB59-1))</f>
        <v/>
      </c>
      <c r="CE59">
        <f>IF($B$1+57&gt;90,NA(),$B$1+57)</f>
        <v/>
      </c>
      <c r="CF59">
        <f>IF(OR($B$21="",$B$1+57&gt;90),NA(),INDEX($C$40:$BU$90,$B$21-$B$1+1,58))</f>
        <v/>
      </c>
    </row>
    <row r="60">
      <c r="A60" t="n">
        <v>20</v>
      </c>
      <c r="B60">
        <f>$B$1+20</f>
        <v/>
      </c>
      <c r="C60">
        <f>$B$2</f>
        <v/>
      </c>
      <c r="D60">
        <f>IF($B$1+1&gt;90,C60,(C60+IF($B$1+1&lt;=$B60,12*$B$7,-12*$B$6*(1+$B$4)^1))*IF(C60+IF($B$1+1&lt;=$B60,12*$B$7,-12*$B$6*(1+$B$4)^1)&gt;0,1+$B$3,1))</f>
        <v/>
      </c>
      <c r="E60">
        <f>IF($B$1+2&gt;90,D60,(D60+IF($B$1+2&lt;=$B60,12*$B$7,-12*$B$6*(1+$B$4)^2))*IF(D60+IF($B$1+2&lt;=$B60,12*$B$7,-12*$B$6*(1+$B$4)^2)&gt;0,1+$B$3,1))</f>
        <v/>
      </c>
      <c r="F60">
        <f>IF($B$1+3&gt;90,E60,(E60+IF($B$1+3&lt;=$B60,12*$B$7,-12*$B$6*(1+$B$4)^3))*IF(E60+IF($B$1+3&lt;=$B60,12*$B$7,-12*$B$6*(1+$B$4)^3)&gt;0,1+$B$3,1))</f>
        <v/>
      </c>
      <c r="G60">
        <f>IF($B$1+4&gt;90,F60,(F60+IF($B$1+4&lt;=$B60,12*$B$7,-12*$B$6*(1+$B$4)^4))*IF(F60+IF($B$1+4&lt;=$B60,12*$B$7,-12*$B$6*(1+$B$4)^4)&gt;0,1+$B$3,1))</f>
        <v/>
      </c>
      <c r="H60">
        <f>IF($B$1+5&gt;90,G60,(G60+IF($B$1+5&lt;=$B60,12*$B$7,-12*$B$6*(1+$B$4)^5))*IF(G60+IF($B$1+5&lt;=$B60,12*$B$7,-12*$B$6*(1+$B$4)^5)&gt;0,1+$B$3,1))</f>
        <v/>
      </c>
      <c r="I60">
        <f>IF($B$1+6&gt;90,H60,(H60+IF($B$1+6&lt;=$B60,12*$B$7,-12*$B$6*(1+$B$4)^6))*IF(H60+IF($B$1+6&lt;=$B60,12*$B$7,-12*$B$6*(1+$B$4)^6)&gt;0,1+$B$3,1))</f>
        <v/>
      </c>
      <c r="J60">
        <f>IF($B$1+7&gt;90,I60,(I60+IF($B$1+7&lt;=$B60,12*$B$7,-12*$B$6*(1+$B$4)^7))*IF(I60+IF($B$1+7&lt;=$B60,12*$B$7,-12*$B$6*(1+$B$4)^7)&gt;0,1+$B$3,1))</f>
        <v/>
      </c>
      <c r="K60">
        <f>IF($B$1+8&gt;90,J60,(J60+IF($B$1+8&lt;=$B60,12*$B$7,-12*$B$6*(1+$B$4)^8))*IF(J60+IF($B$1+8&lt;=$B60,12*$B$7,-12*$B$6*(1+$B$4)^8)&gt;0,1+$B$3,1))</f>
        <v/>
      </c>
      <c r="L60">
        <f>IF($B$1+9&gt;90,K60,(K60+IF($B$1+9&lt;=$B60,12*$B$7,-12*$B$6*(1+$B$4)^9))*IF(K60+IF($B$1+9&lt;=$B60,12*$B$7,-12*$B$6*(1+$B$4)^9)&gt;0,1+$B$3,1))</f>
        <v/>
      </c>
      <c r="M60">
        <f>IF($B$1+10&gt;90,L60,(L60+IF($B$1+10&lt;=$B60,12*$B$7,-12*$B$6*(1+$B$4)^10))*IF(L60+IF($B$1+10&lt;=$B60,12*$B$7,-12*$B$6*(1+$B$4)^10)&gt;0,1+$B$3,1))</f>
        <v/>
      </c>
      <c r="N60">
        <f>IF($B$1+11&gt;90,M60,(M60+IF($B$1+11&lt;=$B60,12*$B$7,-12*$B$6*(1+$B$4)^11))*IF(M60+IF($B$1+11&lt;=$B60,12*$B$7,-12*$B$6*(1+$B$4)^11)&gt;0,1+$B$3,1))</f>
        <v/>
      </c>
      <c r="O60">
        <f>IF($B$1+12&gt;90,N60,(N60+IF($B$1+12&lt;=$B60,12*$B$7,-12*$B$6*(1+$B$4)^12))*IF(N60+IF($B$1+12&lt;=$B60,12*$B$7,-12*$B$6*(1+$B$4)^12)&gt;0,1+$B$3,1))</f>
        <v/>
      </c>
      <c r="P60">
        <f>IF($B$1+13&gt;90,O60,(O60+IF($B$1+13&lt;=$B60,12*$B$7,-12*$B$6*(1+$B$4)^13))*IF(O60+IF($B$1+13&lt;=$B60,12*$B$7,-12*$B$6*(1+$B$4)^13)&gt;0,1+$B$3,1))</f>
        <v/>
      </c>
      <c r="Q60">
        <f>IF($B$1+14&gt;90,P60,(P60+IF($B$1+14&lt;=$B60,12*$B$7,-12*$B$6*(1+$B$4)^14))*IF(P60+IF($B$1+14&lt;=$B60,12*$B$7,-12*$B$6*(1+$B$4)^14)&gt;0,1+$B$3,1))</f>
        <v/>
      </c>
      <c r="R60">
        <f>IF($B$1+15&gt;90,Q60,(Q60+IF($B$1+15&lt;=$B60,12*$B$7,-12*$B$6*(1+$B$4)^15))*IF(Q60+IF($B$1+15&lt;=$B60,12*$B$7,-12*$B$6*(1+$B$4)^15)&gt;0,1+$B$3,1))</f>
        <v/>
      </c>
      <c r="S60">
        <f>IF($B$1+16&gt;90,R60,(R60+IF($B$1+16&lt;=$B60,12*$B$7,-12*$B$6*(1+$B$4)^16))*IF(R60+IF($B$1+16&lt;=$B60,12*$B$7,-12*$B$6*(1+$B$4)^16)&gt;0,1+$B$3,1))</f>
        <v/>
      </c>
      <c r="T60">
        <f>IF($B$1+17&gt;90,S60,(S60+IF($B$1+17&lt;=$B60,12*$B$7,-12*$B$6*(1+$B$4)^17))*IF(S60+IF($B$1+17&lt;=$B60,12*$B$7,-12*$B$6*(1+$B$4)^17)&gt;0,1+$B$3,1))</f>
        <v/>
      </c>
      <c r="U60">
        <f>IF($B$1+18&gt;90,T60,(T60+IF($B$1+18&lt;=$B60,12*$B$7,-12*$B$6*(1+$B$4)^18))*IF(T60+IF($B$1+18&lt;=$B60,12*$B$7,-12*$B$6*(1+$B$4)^18)&gt;0,1+$B$3,1))</f>
        <v/>
      </c>
      <c r="V60">
        <f>IF($B$1+19&gt;90,U60,(U60+IF($B$1+19&lt;=$B60,12*$B$7,-12*$B$6*(1+$B$4)^19))*IF(U60+IF($B$1+19&lt;=$B60,12*$B$7,-12*$B$6*(1+$B$4)^19)&gt;0,1+$B$3,1))</f>
        <v/>
      </c>
      <c r="W60">
        <f>IF($B$1+20&gt;90,V60,(V60+IF($B$1+20&lt;=$B60,12*$B$7,-12*$B$6*(1+$B$4)^20))*IF(V60+IF($B$1+20&lt;=$B60,12*$B$7,-12*$B$6*(1+$B$4)^20)&gt;0,1+$B$3,1))</f>
        <v/>
      </c>
      <c r="X60">
        <f>IF($B$1+21&gt;90,W60,(W60+IF($B$1+21&lt;=$B60,12*$B$7,-12*$B$6*(1+$B$4)^21))*IF(W60+IF($B$1+21&lt;=$B60,12*$B$7,-12*$B$6*(1+$B$4)^21)&gt;0,1+$B$3,1))</f>
        <v/>
      </c>
      <c r="Y60">
        <f>IF($B$1+22&gt;90,X60,(X60+IF($B$1+22&lt;=$B60,12*$B$7,-12*$B$6*(1+$B$4)^22))*IF(X60+IF($B$1+22&lt;=$B60,12*$B$7,-12*$B$6*(1+$B$4)^22)&gt;0,1+$B$3,1))</f>
        <v/>
      </c>
      <c r="Z60">
        <f>IF($B$1+23&gt;90,Y60,(Y60+IF($B$1+23&lt;=$B60,12*$B$7,-12*$B$6*(1+$B$4)^23))*IF(Y60+IF($B$1+23&lt;=$B60,12*$B$7,-12*$B$6*(1+$B$4)^23)&gt;0,1+$B$3,1))</f>
        <v/>
      </c>
      <c r="AA60">
        <f>IF($B$1+24&gt;90,Z60,(Z60+IF($B$1+24&lt;=$B60,12*$B$7,-12*$B$6*(1+$B$4)^24))*IF(Z60+IF($B$1+24&lt;=$B60,12*$B$7,-12*$B$6*(1+$B$4)^24)&gt;0,1+$B$3,1))</f>
        <v/>
      </c>
      <c r="AB60">
        <f>IF($B$1+25&gt;90,AA60,(AA60+IF($B$1+25&lt;=$B60,12*$B$7,-12*$B$6*(1+$B$4)^25))*IF(AA60+IF($B$1+25&lt;=$B60,12*$B$7,-12*$B$6*(1+$B$4)^25)&gt;0,1+$B$3,1))</f>
        <v/>
      </c>
      <c r="AC60">
        <f>IF($B$1+26&gt;90,AB60,(AB60+IF($B$1+26&lt;=$B60,12*$B$7,-12*$B$6*(1+$B$4)^26))*IF(AB60+IF($B$1+26&lt;=$B60,12*$B$7,-12*$B$6*(1+$B$4)^26)&gt;0,1+$B$3,1))</f>
        <v/>
      </c>
      <c r="AD60">
        <f>IF($B$1+27&gt;90,AC60,(AC60+IF($B$1+27&lt;=$B60,12*$B$7,-12*$B$6*(1+$B$4)^27))*IF(AC60+IF($B$1+27&lt;=$B60,12*$B$7,-12*$B$6*(1+$B$4)^27)&gt;0,1+$B$3,1))</f>
        <v/>
      </c>
      <c r="AE60">
        <f>IF($B$1+28&gt;90,AD60,(AD60+IF($B$1+28&lt;=$B60,12*$B$7,-12*$B$6*(1+$B$4)^28))*IF(AD60+IF($B$1+28&lt;=$B60,12*$B$7,-12*$B$6*(1+$B$4)^28)&gt;0,1+$B$3,1))</f>
        <v/>
      </c>
      <c r="AF60">
        <f>IF($B$1+29&gt;90,AE60,(AE60+IF($B$1+29&lt;=$B60,12*$B$7,-12*$B$6*(1+$B$4)^29))*IF(AE60+IF($B$1+29&lt;=$B60,12*$B$7,-12*$B$6*(1+$B$4)^29)&gt;0,1+$B$3,1))</f>
        <v/>
      </c>
      <c r="AG60">
        <f>IF($B$1+30&gt;90,AF60,(AF60+IF($B$1+30&lt;=$B60,12*$B$7,-12*$B$6*(1+$B$4)^30))*IF(AF60+IF($B$1+30&lt;=$B60,12*$B$7,-12*$B$6*(1+$B$4)^30)&gt;0,1+$B$3,1))</f>
        <v/>
      </c>
      <c r="AH60">
        <f>IF($B$1+31&gt;90,AG60,(AG60+IF($B$1+31&lt;=$B60,12*$B$7,-12*$B$6*(1+$B$4)^31))*IF(AG60+IF($B$1+31&lt;=$B60,12*$B$7,-12*$B$6*(1+$B$4)^31)&gt;0,1+$B$3,1))</f>
        <v/>
      </c>
      <c r="AI60">
        <f>IF($B$1+32&gt;90,AH60,(AH60+IF($B$1+32&lt;=$B60,12*$B$7,-12*$B$6*(1+$B$4)^32))*IF(AH60+IF($B$1+32&lt;=$B60,12*$B$7,-12*$B$6*(1+$B$4)^32)&gt;0,1+$B$3,1))</f>
        <v/>
      </c>
      <c r="AJ60">
        <f>IF($B$1+33&gt;90,AI60,(AI60+IF($B$1+33&lt;=$B60,12*$B$7,-12*$B$6*(1+$B$4)^33))*IF(AI60+IF($B$1+33&lt;=$B60,12*$B$7,-12*$B$6*(1+$B$4)^33)&gt;0,1+$B$3,1))</f>
        <v/>
      </c>
      <c r="AK60">
        <f>IF($B$1+34&gt;90,AJ60,(AJ60+IF($B$1+34&lt;=$B60,12*$B$7,-12*$B$6*(1+$B$4)^34))*IF(AJ60+IF($B$1+34&lt;=$B60,12*$B$7,-12*$B$6*(1+$B$4)^34)&gt;0,1+$B$3,1))</f>
        <v/>
      </c>
      <c r="AL60">
        <f>IF($B$1+35&gt;90,AK60,(AK60+IF($B$1+35&lt;=$B60,12*$B$7,-12*$B$6*(1+$B$4)^35))*IF(AK60+IF($B$1+35&lt;=$B60,12*$B$7,-12*$B$6*(1+$B$4)^35)&gt;0,1+$B$3,1))</f>
        <v/>
      </c>
      <c r="AM60">
        <f>IF($B$1+36&gt;90,AL60,(AL60+IF($B$1+36&lt;=$B60,12*$B$7,-12*$B$6*(1+$B$4)^36))*IF(AL60+IF($B$1+36&lt;=$B60,12*$B$7,-12*$B$6*(1+$B$4)^36)&gt;0,1+$B$3,1))</f>
        <v/>
      </c>
      <c r="AN60">
        <f>IF($B$1+37&gt;90,AM60,(AM60+IF($B$1+37&lt;=$B60,12*$B$7,-12*$B$6*(1+$B$4)^37))*IF(AM60+IF($B$1+37&lt;=$B60,12*$B$7,-12*$B$6*(1+$B$4)^37)&gt;0,1+$B$3,1))</f>
        <v/>
      </c>
      <c r="AO60">
        <f>IF($B$1+38&gt;90,AN60,(AN60+IF($B$1+38&lt;=$B60,12*$B$7,-12*$B$6*(1+$B$4)^38))*IF(AN60+IF($B$1+38&lt;=$B60,12*$B$7,-12*$B$6*(1+$B$4)^38)&gt;0,1+$B$3,1))</f>
        <v/>
      </c>
      <c r="AP60">
        <f>IF($B$1+39&gt;90,AO60,(AO60+IF($B$1+39&lt;=$B60,12*$B$7,-12*$B$6*(1+$B$4)^39))*IF(AO60+IF($B$1+39&lt;=$B60,12*$B$7,-12*$B$6*(1+$B$4)^39)&gt;0,1+$B$3,1))</f>
        <v/>
      </c>
      <c r="AQ60">
        <f>IF($B$1+40&gt;90,AP60,(AP60+IF($B$1+40&lt;=$B60,12*$B$7,-12*$B$6*(1+$B$4)^40))*IF(AP60+IF($B$1+40&lt;=$B60,12*$B$7,-12*$B$6*(1+$B$4)^40)&gt;0,1+$B$3,1))</f>
        <v/>
      </c>
      <c r="AR60">
        <f>IF($B$1+41&gt;90,AQ60,(AQ60+IF($B$1+41&lt;=$B60,12*$B$7,-12*$B$6*(1+$B$4)^41))*IF(AQ60+IF($B$1+41&lt;=$B60,12*$B$7,-12*$B$6*(1+$B$4)^41)&gt;0,1+$B$3,1))</f>
        <v/>
      </c>
      <c r="AS60">
        <f>IF($B$1+42&gt;90,AR60,(AR60+IF($B$1+42&lt;=$B60,12*$B$7,-12*$B$6*(1+$B$4)^42))*IF(AR60+IF($B$1+42&lt;=$B60,12*$B$7,-12*$B$6*(1+$B$4)^42)&gt;0,1+$B$3,1))</f>
        <v/>
      </c>
      <c r="AT60">
        <f>IF($B$1+43&gt;90,AS60,(AS60+IF($B$1+43&lt;=$B60,12*$B$7,-12*$B$6*(1+$B$4)^43))*IF(AS60+IF($B$1+43&lt;=$B60,12*$B$7,-12*$B$6*(1+$B$4)^43)&gt;0,1+$B$3,1))</f>
        <v/>
      </c>
      <c r="AU60">
        <f>IF($B$1+44&gt;90,AT60,(AT60+IF($B$1+44&lt;=$B60,12*$B$7,-12*$B$6*(1+$B$4)^44))*IF(AT60+IF($B$1+44&lt;=$B60,12*$B$7,-12*$B$6*(1+$B$4)^44)&gt;0,1+$B$3,1))</f>
        <v/>
      </c>
      <c r="AV60">
        <f>IF($B$1+45&gt;90,AU60,(AU60+IF($B$1+45&lt;=$B60,12*$B$7,-12*$B$6*(1+$B$4)^45))*IF(AU60+IF($B$1+45&lt;=$B60,12*$B$7,-12*$B$6*(1+$B$4)^45)&gt;0,1+$B$3,1))</f>
        <v/>
      </c>
      <c r="AW60">
        <f>IF($B$1+46&gt;90,AV60,(AV60+IF($B$1+46&lt;=$B60,12*$B$7,-12*$B$6*(1+$B$4)^46))*IF(AV60+IF($B$1+46&lt;=$B60,12*$B$7,-12*$B$6*(1+$B$4)^46)&gt;0,1+$B$3,1))</f>
        <v/>
      </c>
      <c r="AX60">
        <f>IF($B$1+47&gt;90,AW60,(AW60+IF($B$1+47&lt;=$B60,12*$B$7,-12*$B$6*(1+$B$4)^47))*IF(AW60+IF($B$1+47&lt;=$B60,12*$B$7,-12*$B$6*(1+$B$4)^47)&gt;0,1+$B$3,1))</f>
        <v/>
      </c>
      <c r="AY60">
        <f>IF($B$1+48&gt;90,AX60,(AX60+IF($B$1+48&lt;=$B60,12*$B$7,-12*$B$6*(1+$B$4)^48))*IF(AX60+IF($B$1+48&lt;=$B60,12*$B$7,-12*$B$6*(1+$B$4)^48)&gt;0,1+$B$3,1))</f>
        <v/>
      </c>
      <c r="AZ60">
        <f>IF($B$1+49&gt;90,AY60,(AY60+IF($B$1+49&lt;=$B60,12*$B$7,-12*$B$6*(1+$B$4)^49))*IF(AY60+IF($B$1+49&lt;=$B60,12*$B$7,-12*$B$6*(1+$B$4)^49)&gt;0,1+$B$3,1))</f>
        <v/>
      </c>
      <c r="BA60">
        <f>IF($B$1+50&gt;90,AZ60,(AZ60+IF($B$1+50&lt;=$B60,12*$B$7,-12*$B$6*(1+$B$4)^50))*IF(AZ60+IF($B$1+50&lt;=$B60,12*$B$7,-12*$B$6*(1+$B$4)^50)&gt;0,1+$B$3,1))</f>
        <v/>
      </c>
      <c r="BB60">
        <f>IF($B$1+51&gt;90,BA60,(BA60+IF($B$1+51&lt;=$B60,12*$B$7,-12*$B$6*(1+$B$4)^51))*IF(BA60+IF($B$1+51&lt;=$B60,12*$B$7,-12*$B$6*(1+$B$4)^51)&gt;0,1+$B$3,1))</f>
        <v/>
      </c>
      <c r="BC60">
        <f>IF($B$1+52&gt;90,BB60,(BB60+IF($B$1+52&lt;=$B60,12*$B$7,-12*$B$6*(1+$B$4)^52))*IF(BB60+IF($B$1+52&lt;=$B60,12*$B$7,-12*$B$6*(1+$B$4)^52)&gt;0,1+$B$3,1))</f>
        <v/>
      </c>
      <c r="BD60">
        <f>IF($B$1+53&gt;90,BC60,(BC60+IF($B$1+53&lt;=$B60,12*$B$7,-12*$B$6*(1+$B$4)^53))*IF(BC60+IF($B$1+53&lt;=$B60,12*$B$7,-12*$B$6*(1+$B$4)^53)&gt;0,1+$B$3,1))</f>
        <v/>
      </c>
      <c r="BE60">
        <f>IF($B$1+54&gt;90,BD60,(BD60+IF($B$1+54&lt;=$B60,12*$B$7,-12*$B$6*(1+$B$4)^54))*IF(BD60+IF($B$1+54&lt;=$B60,12*$B$7,-12*$B$6*(1+$B$4)^54)&gt;0,1+$B$3,1))</f>
        <v/>
      </c>
      <c r="BF60">
        <f>IF($B$1+55&gt;90,BE60,(BE60+IF($B$1+55&lt;=$B60,12*$B$7,-12*$B$6*(1+$B$4)^55))*IF(BE60+IF($B$1+55&lt;=$B60,12*$B$7,-12*$B$6*(1+$B$4)^55)&gt;0,1+$B$3,1))</f>
        <v/>
      </c>
      <c r="BG60">
        <f>IF($B$1+56&gt;90,BF60,(BF60+IF($B$1+56&lt;=$B60,12*$B$7,-12*$B$6*(1+$B$4)^56))*IF(BF60+IF($B$1+56&lt;=$B60,12*$B$7,-12*$B$6*(1+$B$4)^56)&gt;0,1+$B$3,1))</f>
        <v/>
      </c>
      <c r="BH60">
        <f>IF($B$1+57&gt;90,BG60,(BG60+IF($B$1+57&lt;=$B60,12*$B$7,-12*$B$6*(1+$B$4)^57))*IF(BG60+IF($B$1+57&lt;=$B60,12*$B$7,-12*$B$6*(1+$B$4)^57)&gt;0,1+$B$3,1))</f>
        <v/>
      </c>
      <c r="BI60">
        <f>IF($B$1+58&gt;90,BH60,(BH60+IF($B$1+58&lt;=$B60,12*$B$7,-12*$B$6*(1+$B$4)^58))*IF(BH60+IF($B$1+58&lt;=$B60,12*$B$7,-12*$B$6*(1+$B$4)^58)&gt;0,1+$B$3,1))</f>
        <v/>
      </c>
      <c r="BJ60">
        <f>IF($B$1+59&gt;90,BI60,(BI60+IF($B$1+59&lt;=$B60,12*$B$7,-12*$B$6*(1+$B$4)^59))*IF(BI60+IF($B$1+59&lt;=$B60,12*$B$7,-12*$B$6*(1+$B$4)^59)&gt;0,1+$B$3,1))</f>
        <v/>
      </c>
      <c r="BK60">
        <f>IF($B$1+60&gt;90,BJ60,(BJ60+IF($B$1+60&lt;=$B60,12*$B$7,-12*$B$6*(1+$B$4)^60))*IF(BJ60+IF($B$1+60&lt;=$B60,12*$B$7,-12*$B$6*(1+$B$4)^60)&gt;0,1+$B$3,1))</f>
        <v/>
      </c>
      <c r="BL60">
        <f>IF($B$1+61&gt;90,BK60,(BK60+IF($B$1+61&lt;=$B60,12*$B$7,-12*$B$6*(1+$B$4)^61))*IF(BK60+IF($B$1+61&lt;=$B60,12*$B$7,-12*$B$6*(1+$B$4)^61)&gt;0,1+$B$3,1))</f>
        <v/>
      </c>
      <c r="BM60">
        <f>IF($B$1+62&gt;90,BL60,(BL60+IF($B$1+62&lt;=$B60,12*$B$7,-12*$B$6*(1+$B$4)^62))*IF(BL60+IF($B$1+62&lt;=$B60,12*$B$7,-12*$B$6*(1+$B$4)^62)&gt;0,1+$B$3,1))</f>
        <v/>
      </c>
      <c r="BN60">
        <f>IF($B$1+63&gt;90,BM60,(BM60+IF($B$1+63&lt;=$B60,12*$B$7,-12*$B$6*(1+$B$4)^63))*IF(BM60+IF($B$1+63&lt;=$B60,12*$B$7,-12*$B$6*(1+$B$4)^63)&gt;0,1+$B$3,1))</f>
        <v/>
      </c>
      <c r="BO60">
        <f>IF($B$1+64&gt;90,BN60,(BN60+IF($B$1+64&lt;=$B60,12*$B$7,-12*$B$6*(1+$B$4)^64))*IF(BN60+IF($B$1+64&lt;=$B60,12*$B$7,-12*$B$6*(1+$B$4)^64)&gt;0,1+$B$3,1))</f>
        <v/>
      </c>
      <c r="BP60">
        <f>IF($B$1+65&gt;90,BO60,(BO60+IF($B$1+65&lt;=$B60,12*$B$7,-12*$B$6*(1+$B$4)^65))*IF(BO60+IF($B$1+65&lt;=$B60,12*$B$7,-12*$B$6*(1+$B$4)^65)&gt;0,1+$B$3,1))</f>
        <v/>
      </c>
      <c r="BQ60">
        <f>IF($B$1+66&gt;90,BP60,(BP60+IF($B$1+66&lt;=$B60,12*$B$7,-12*$B$6*(1+$B$4)^66))*IF(BP60+IF($B$1+66&lt;=$B60,12*$B$7,-12*$B$6*(1+$B$4)^66)&gt;0,1+$B$3,1))</f>
        <v/>
      </c>
      <c r="BR60">
        <f>IF($B$1+67&gt;90,BQ60,(BQ60+IF($B$1+67&lt;=$B60,12*$B$7,-12*$B$6*(1+$B$4)^67))*IF(BQ60+IF($B$1+67&lt;=$B60,12*$B$7,-12*$B$6*(1+$B$4)^67)&gt;0,1+$B$3,1))</f>
        <v/>
      </c>
      <c r="BS60">
        <f>IF($B$1+68&gt;90,BR60,(BR60+IF($B$1+68&lt;=$B60,12*$B$7,-12*$B$6*(1+$B$4)^68))*IF(BR60+IF($B$1+68&lt;=$B60,12*$B$7,-12*$B$6*(1+$B$4)^68)&gt;0,1+$B$3,1))</f>
        <v/>
      </c>
      <c r="BT60">
        <f>IF($B$1+69&gt;90,BS60,(BS60+IF($B$1+69&lt;=$B60,12*$B$7,-12*$B$6*(1+$B$4)^69))*IF(BS60+IF($B$1+69&lt;=$B60,12*$B$7,-12*$B$6*(1+$B$4)^69)&gt;0,1+$B$3,1))</f>
        <v/>
      </c>
      <c r="BU60">
        <f>IF($B$1+70&gt;90,BT60,(BT60+IF($B$1+70&lt;=$B60,12*$B$7,-12*$B$6*(1+$B$4)^70))*IF(BT60+IF($B$1+70&lt;=$B60,12*$B$7,-12*$B$6*(1+$B$4)^70)&gt;0,1+$B$3,1))</f>
        <v/>
      </c>
      <c r="BV60">
        <f>BU60</f>
        <v/>
      </c>
      <c r="BW60">
        <f>IF(AND($B60&lt;=70,BV60&gt;0),$B60,999)</f>
        <v/>
      </c>
      <c r="CB60" t="n">
        <v>59</v>
      </c>
      <c r="CC60">
        <f>IF($B$1+CB60&gt;90,0,12*$B$6*(1+$B$4)^CB60/(1+$B$3)^(CB60-1))</f>
        <v/>
      </c>
      <c r="CE60">
        <f>IF($B$1+58&gt;90,NA(),$B$1+58)</f>
        <v/>
      </c>
      <c r="CF60">
        <f>IF(OR($B$21="",$B$1+58&gt;90),NA(),INDEX($C$40:$BU$90,$B$21-$B$1+1,59))</f>
        <v/>
      </c>
    </row>
    <row r="61">
      <c r="A61" t="n">
        <v>21</v>
      </c>
      <c r="B61">
        <f>$B$1+21</f>
        <v/>
      </c>
      <c r="C61">
        <f>$B$2</f>
        <v/>
      </c>
      <c r="D61">
        <f>IF($B$1+1&gt;90,C61,(C61+IF($B$1+1&lt;=$B61,12*$B$7,-12*$B$6*(1+$B$4)^1))*IF(C61+IF($B$1+1&lt;=$B61,12*$B$7,-12*$B$6*(1+$B$4)^1)&gt;0,1+$B$3,1))</f>
        <v/>
      </c>
      <c r="E61">
        <f>IF($B$1+2&gt;90,D61,(D61+IF($B$1+2&lt;=$B61,12*$B$7,-12*$B$6*(1+$B$4)^2))*IF(D61+IF($B$1+2&lt;=$B61,12*$B$7,-12*$B$6*(1+$B$4)^2)&gt;0,1+$B$3,1))</f>
        <v/>
      </c>
      <c r="F61">
        <f>IF($B$1+3&gt;90,E61,(E61+IF($B$1+3&lt;=$B61,12*$B$7,-12*$B$6*(1+$B$4)^3))*IF(E61+IF($B$1+3&lt;=$B61,12*$B$7,-12*$B$6*(1+$B$4)^3)&gt;0,1+$B$3,1))</f>
        <v/>
      </c>
      <c r="G61">
        <f>IF($B$1+4&gt;90,F61,(F61+IF($B$1+4&lt;=$B61,12*$B$7,-12*$B$6*(1+$B$4)^4))*IF(F61+IF($B$1+4&lt;=$B61,12*$B$7,-12*$B$6*(1+$B$4)^4)&gt;0,1+$B$3,1))</f>
        <v/>
      </c>
      <c r="H61">
        <f>IF($B$1+5&gt;90,G61,(G61+IF($B$1+5&lt;=$B61,12*$B$7,-12*$B$6*(1+$B$4)^5))*IF(G61+IF($B$1+5&lt;=$B61,12*$B$7,-12*$B$6*(1+$B$4)^5)&gt;0,1+$B$3,1))</f>
        <v/>
      </c>
      <c r="I61">
        <f>IF($B$1+6&gt;90,H61,(H61+IF($B$1+6&lt;=$B61,12*$B$7,-12*$B$6*(1+$B$4)^6))*IF(H61+IF($B$1+6&lt;=$B61,12*$B$7,-12*$B$6*(1+$B$4)^6)&gt;0,1+$B$3,1))</f>
        <v/>
      </c>
      <c r="J61">
        <f>IF($B$1+7&gt;90,I61,(I61+IF($B$1+7&lt;=$B61,12*$B$7,-12*$B$6*(1+$B$4)^7))*IF(I61+IF($B$1+7&lt;=$B61,12*$B$7,-12*$B$6*(1+$B$4)^7)&gt;0,1+$B$3,1))</f>
        <v/>
      </c>
      <c r="K61">
        <f>IF($B$1+8&gt;90,J61,(J61+IF($B$1+8&lt;=$B61,12*$B$7,-12*$B$6*(1+$B$4)^8))*IF(J61+IF($B$1+8&lt;=$B61,12*$B$7,-12*$B$6*(1+$B$4)^8)&gt;0,1+$B$3,1))</f>
        <v/>
      </c>
      <c r="L61">
        <f>IF($B$1+9&gt;90,K61,(K61+IF($B$1+9&lt;=$B61,12*$B$7,-12*$B$6*(1+$B$4)^9))*IF(K61+IF($B$1+9&lt;=$B61,12*$B$7,-12*$B$6*(1+$B$4)^9)&gt;0,1+$B$3,1))</f>
        <v/>
      </c>
      <c r="M61">
        <f>IF($B$1+10&gt;90,L61,(L61+IF($B$1+10&lt;=$B61,12*$B$7,-12*$B$6*(1+$B$4)^10))*IF(L61+IF($B$1+10&lt;=$B61,12*$B$7,-12*$B$6*(1+$B$4)^10)&gt;0,1+$B$3,1))</f>
        <v/>
      </c>
      <c r="N61">
        <f>IF($B$1+11&gt;90,M61,(M61+IF($B$1+11&lt;=$B61,12*$B$7,-12*$B$6*(1+$B$4)^11))*IF(M61+IF($B$1+11&lt;=$B61,12*$B$7,-12*$B$6*(1+$B$4)^11)&gt;0,1+$B$3,1))</f>
        <v/>
      </c>
      <c r="O61">
        <f>IF($B$1+12&gt;90,N61,(N61+IF($B$1+12&lt;=$B61,12*$B$7,-12*$B$6*(1+$B$4)^12))*IF(N61+IF($B$1+12&lt;=$B61,12*$B$7,-12*$B$6*(1+$B$4)^12)&gt;0,1+$B$3,1))</f>
        <v/>
      </c>
      <c r="P61">
        <f>IF($B$1+13&gt;90,O61,(O61+IF($B$1+13&lt;=$B61,12*$B$7,-12*$B$6*(1+$B$4)^13))*IF(O61+IF($B$1+13&lt;=$B61,12*$B$7,-12*$B$6*(1+$B$4)^13)&gt;0,1+$B$3,1))</f>
        <v/>
      </c>
      <c r="Q61">
        <f>IF($B$1+14&gt;90,P61,(P61+IF($B$1+14&lt;=$B61,12*$B$7,-12*$B$6*(1+$B$4)^14))*IF(P61+IF($B$1+14&lt;=$B61,12*$B$7,-12*$B$6*(1+$B$4)^14)&gt;0,1+$B$3,1))</f>
        <v/>
      </c>
      <c r="R61">
        <f>IF($B$1+15&gt;90,Q61,(Q61+IF($B$1+15&lt;=$B61,12*$B$7,-12*$B$6*(1+$B$4)^15))*IF(Q61+IF($B$1+15&lt;=$B61,12*$B$7,-12*$B$6*(1+$B$4)^15)&gt;0,1+$B$3,1))</f>
        <v/>
      </c>
      <c r="S61">
        <f>IF($B$1+16&gt;90,R61,(R61+IF($B$1+16&lt;=$B61,12*$B$7,-12*$B$6*(1+$B$4)^16))*IF(R61+IF($B$1+16&lt;=$B61,12*$B$7,-12*$B$6*(1+$B$4)^16)&gt;0,1+$B$3,1))</f>
        <v/>
      </c>
      <c r="T61">
        <f>IF($B$1+17&gt;90,S61,(S61+IF($B$1+17&lt;=$B61,12*$B$7,-12*$B$6*(1+$B$4)^17))*IF(S61+IF($B$1+17&lt;=$B61,12*$B$7,-12*$B$6*(1+$B$4)^17)&gt;0,1+$B$3,1))</f>
        <v/>
      </c>
      <c r="U61">
        <f>IF($B$1+18&gt;90,T61,(T61+IF($B$1+18&lt;=$B61,12*$B$7,-12*$B$6*(1+$B$4)^18))*IF(T61+IF($B$1+18&lt;=$B61,12*$B$7,-12*$B$6*(1+$B$4)^18)&gt;0,1+$B$3,1))</f>
        <v/>
      </c>
      <c r="V61">
        <f>IF($B$1+19&gt;90,U61,(U61+IF($B$1+19&lt;=$B61,12*$B$7,-12*$B$6*(1+$B$4)^19))*IF(U61+IF($B$1+19&lt;=$B61,12*$B$7,-12*$B$6*(1+$B$4)^19)&gt;0,1+$B$3,1))</f>
        <v/>
      </c>
      <c r="W61">
        <f>IF($B$1+20&gt;90,V61,(V61+IF($B$1+20&lt;=$B61,12*$B$7,-12*$B$6*(1+$B$4)^20))*IF(V61+IF($B$1+20&lt;=$B61,12*$B$7,-12*$B$6*(1+$B$4)^20)&gt;0,1+$B$3,1))</f>
        <v/>
      </c>
      <c r="X61">
        <f>IF($B$1+21&gt;90,W61,(W61+IF($B$1+21&lt;=$B61,12*$B$7,-12*$B$6*(1+$B$4)^21))*IF(W61+IF($B$1+21&lt;=$B61,12*$B$7,-12*$B$6*(1+$B$4)^21)&gt;0,1+$B$3,1))</f>
        <v/>
      </c>
      <c r="Y61">
        <f>IF($B$1+22&gt;90,X61,(X61+IF($B$1+22&lt;=$B61,12*$B$7,-12*$B$6*(1+$B$4)^22))*IF(X61+IF($B$1+22&lt;=$B61,12*$B$7,-12*$B$6*(1+$B$4)^22)&gt;0,1+$B$3,1))</f>
        <v/>
      </c>
      <c r="Z61">
        <f>IF($B$1+23&gt;90,Y61,(Y61+IF($B$1+23&lt;=$B61,12*$B$7,-12*$B$6*(1+$B$4)^23))*IF(Y61+IF($B$1+23&lt;=$B61,12*$B$7,-12*$B$6*(1+$B$4)^23)&gt;0,1+$B$3,1))</f>
        <v/>
      </c>
      <c r="AA61">
        <f>IF($B$1+24&gt;90,Z61,(Z61+IF($B$1+24&lt;=$B61,12*$B$7,-12*$B$6*(1+$B$4)^24))*IF(Z61+IF($B$1+24&lt;=$B61,12*$B$7,-12*$B$6*(1+$B$4)^24)&gt;0,1+$B$3,1))</f>
        <v/>
      </c>
      <c r="AB61">
        <f>IF($B$1+25&gt;90,AA61,(AA61+IF($B$1+25&lt;=$B61,12*$B$7,-12*$B$6*(1+$B$4)^25))*IF(AA61+IF($B$1+25&lt;=$B61,12*$B$7,-12*$B$6*(1+$B$4)^25)&gt;0,1+$B$3,1))</f>
        <v/>
      </c>
      <c r="AC61">
        <f>IF($B$1+26&gt;90,AB61,(AB61+IF($B$1+26&lt;=$B61,12*$B$7,-12*$B$6*(1+$B$4)^26))*IF(AB61+IF($B$1+26&lt;=$B61,12*$B$7,-12*$B$6*(1+$B$4)^26)&gt;0,1+$B$3,1))</f>
        <v/>
      </c>
      <c r="AD61">
        <f>IF($B$1+27&gt;90,AC61,(AC61+IF($B$1+27&lt;=$B61,12*$B$7,-12*$B$6*(1+$B$4)^27))*IF(AC61+IF($B$1+27&lt;=$B61,12*$B$7,-12*$B$6*(1+$B$4)^27)&gt;0,1+$B$3,1))</f>
        <v/>
      </c>
      <c r="AE61">
        <f>IF($B$1+28&gt;90,AD61,(AD61+IF($B$1+28&lt;=$B61,12*$B$7,-12*$B$6*(1+$B$4)^28))*IF(AD61+IF($B$1+28&lt;=$B61,12*$B$7,-12*$B$6*(1+$B$4)^28)&gt;0,1+$B$3,1))</f>
        <v/>
      </c>
      <c r="AF61">
        <f>IF($B$1+29&gt;90,AE61,(AE61+IF($B$1+29&lt;=$B61,12*$B$7,-12*$B$6*(1+$B$4)^29))*IF(AE61+IF($B$1+29&lt;=$B61,12*$B$7,-12*$B$6*(1+$B$4)^29)&gt;0,1+$B$3,1))</f>
        <v/>
      </c>
      <c r="AG61">
        <f>IF($B$1+30&gt;90,AF61,(AF61+IF($B$1+30&lt;=$B61,12*$B$7,-12*$B$6*(1+$B$4)^30))*IF(AF61+IF($B$1+30&lt;=$B61,12*$B$7,-12*$B$6*(1+$B$4)^30)&gt;0,1+$B$3,1))</f>
        <v/>
      </c>
      <c r="AH61">
        <f>IF($B$1+31&gt;90,AG61,(AG61+IF($B$1+31&lt;=$B61,12*$B$7,-12*$B$6*(1+$B$4)^31))*IF(AG61+IF($B$1+31&lt;=$B61,12*$B$7,-12*$B$6*(1+$B$4)^31)&gt;0,1+$B$3,1))</f>
        <v/>
      </c>
      <c r="AI61">
        <f>IF($B$1+32&gt;90,AH61,(AH61+IF($B$1+32&lt;=$B61,12*$B$7,-12*$B$6*(1+$B$4)^32))*IF(AH61+IF($B$1+32&lt;=$B61,12*$B$7,-12*$B$6*(1+$B$4)^32)&gt;0,1+$B$3,1))</f>
        <v/>
      </c>
      <c r="AJ61">
        <f>IF($B$1+33&gt;90,AI61,(AI61+IF($B$1+33&lt;=$B61,12*$B$7,-12*$B$6*(1+$B$4)^33))*IF(AI61+IF($B$1+33&lt;=$B61,12*$B$7,-12*$B$6*(1+$B$4)^33)&gt;0,1+$B$3,1))</f>
        <v/>
      </c>
      <c r="AK61">
        <f>IF($B$1+34&gt;90,AJ61,(AJ61+IF($B$1+34&lt;=$B61,12*$B$7,-12*$B$6*(1+$B$4)^34))*IF(AJ61+IF($B$1+34&lt;=$B61,12*$B$7,-12*$B$6*(1+$B$4)^34)&gt;0,1+$B$3,1))</f>
        <v/>
      </c>
      <c r="AL61">
        <f>IF($B$1+35&gt;90,AK61,(AK61+IF($B$1+35&lt;=$B61,12*$B$7,-12*$B$6*(1+$B$4)^35))*IF(AK61+IF($B$1+35&lt;=$B61,12*$B$7,-12*$B$6*(1+$B$4)^35)&gt;0,1+$B$3,1))</f>
        <v/>
      </c>
      <c r="AM61">
        <f>IF($B$1+36&gt;90,AL61,(AL61+IF($B$1+36&lt;=$B61,12*$B$7,-12*$B$6*(1+$B$4)^36))*IF(AL61+IF($B$1+36&lt;=$B61,12*$B$7,-12*$B$6*(1+$B$4)^36)&gt;0,1+$B$3,1))</f>
        <v/>
      </c>
      <c r="AN61">
        <f>IF($B$1+37&gt;90,AM61,(AM61+IF($B$1+37&lt;=$B61,12*$B$7,-12*$B$6*(1+$B$4)^37))*IF(AM61+IF($B$1+37&lt;=$B61,12*$B$7,-12*$B$6*(1+$B$4)^37)&gt;0,1+$B$3,1))</f>
        <v/>
      </c>
      <c r="AO61">
        <f>IF($B$1+38&gt;90,AN61,(AN61+IF($B$1+38&lt;=$B61,12*$B$7,-12*$B$6*(1+$B$4)^38))*IF(AN61+IF($B$1+38&lt;=$B61,12*$B$7,-12*$B$6*(1+$B$4)^38)&gt;0,1+$B$3,1))</f>
        <v/>
      </c>
      <c r="AP61">
        <f>IF($B$1+39&gt;90,AO61,(AO61+IF($B$1+39&lt;=$B61,12*$B$7,-12*$B$6*(1+$B$4)^39))*IF(AO61+IF($B$1+39&lt;=$B61,12*$B$7,-12*$B$6*(1+$B$4)^39)&gt;0,1+$B$3,1))</f>
        <v/>
      </c>
      <c r="AQ61">
        <f>IF($B$1+40&gt;90,AP61,(AP61+IF($B$1+40&lt;=$B61,12*$B$7,-12*$B$6*(1+$B$4)^40))*IF(AP61+IF($B$1+40&lt;=$B61,12*$B$7,-12*$B$6*(1+$B$4)^40)&gt;0,1+$B$3,1))</f>
        <v/>
      </c>
      <c r="AR61">
        <f>IF($B$1+41&gt;90,AQ61,(AQ61+IF($B$1+41&lt;=$B61,12*$B$7,-12*$B$6*(1+$B$4)^41))*IF(AQ61+IF($B$1+41&lt;=$B61,12*$B$7,-12*$B$6*(1+$B$4)^41)&gt;0,1+$B$3,1))</f>
        <v/>
      </c>
      <c r="AS61">
        <f>IF($B$1+42&gt;90,AR61,(AR61+IF($B$1+42&lt;=$B61,12*$B$7,-12*$B$6*(1+$B$4)^42))*IF(AR61+IF($B$1+42&lt;=$B61,12*$B$7,-12*$B$6*(1+$B$4)^42)&gt;0,1+$B$3,1))</f>
        <v/>
      </c>
      <c r="AT61">
        <f>IF($B$1+43&gt;90,AS61,(AS61+IF($B$1+43&lt;=$B61,12*$B$7,-12*$B$6*(1+$B$4)^43))*IF(AS61+IF($B$1+43&lt;=$B61,12*$B$7,-12*$B$6*(1+$B$4)^43)&gt;0,1+$B$3,1))</f>
        <v/>
      </c>
      <c r="AU61">
        <f>IF($B$1+44&gt;90,AT61,(AT61+IF($B$1+44&lt;=$B61,12*$B$7,-12*$B$6*(1+$B$4)^44))*IF(AT61+IF($B$1+44&lt;=$B61,12*$B$7,-12*$B$6*(1+$B$4)^44)&gt;0,1+$B$3,1))</f>
        <v/>
      </c>
      <c r="AV61">
        <f>IF($B$1+45&gt;90,AU61,(AU61+IF($B$1+45&lt;=$B61,12*$B$7,-12*$B$6*(1+$B$4)^45))*IF(AU61+IF($B$1+45&lt;=$B61,12*$B$7,-12*$B$6*(1+$B$4)^45)&gt;0,1+$B$3,1))</f>
        <v/>
      </c>
      <c r="AW61">
        <f>IF($B$1+46&gt;90,AV61,(AV61+IF($B$1+46&lt;=$B61,12*$B$7,-12*$B$6*(1+$B$4)^46))*IF(AV61+IF($B$1+46&lt;=$B61,12*$B$7,-12*$B$6*(1+$B$4)^46)&gt;0,1+$B$3,1))</f>
        <v/>
      </c>
      <c r="AX61">
        <f>IF($B$1+47&gt;90,AW61,(AW61+IF($B$1+47&lt;=$B61,12*$B$7,-12*$B$6*(1+$B$4)^47))*IF(AW61+IF($B$1+47&lt;=$B61,12*$B$7,-12*$B$6*(1+$B$4)^47)&gt;0,1+$B$3,1))</f>
        <v/>
      </c>
      <c r="AY61">
        <f>IF($B$1+48&gt;90,AX61,(AX61+IF($B$1+48&lt;=$B61,12*$B$7,-12*$B$6*(1+$B$4)^48))*IF(AX61+IF($B$1+48&lt;=$B61,12*$B$7,-12*$B$6*(1+$B$4)^48)&gt;0,1+$B$3,1))</f>
        <v/>
      </c>
      <c r="AZ61">
        <f>IF($B$1+49&gt;90,AY61,(AY61+IF($B$1+49&lt;=$B61,12*$B$7,-12*$B$6*(1+$B$4)^49))*IF(AY61+IF($B$1+49&lt;=$B61,12*$B$7,-12*$B$6*(1+$B$4)^49)&gt;0,1+$B$3,1))</f>
        <v/>
      </c>
      <c r="BA61">
        <f>IF($B$1+50&gt;90,AZ61,(AZ61+IF($B$1+50&lt;=$B61,12*$B$7,-12*$B$6*(1+$B$4)^50))*IF(AZ61+IF($B$1+50&lt;=$B61,12*$B$7,-12*$B$6*(1+$B$4)^50)&gt;0,1+$B$3,1))</f>
        <v/>
      </c>
      <c r="BB61">
        <f>IF($B$1+51&gt;90,BA61,(BA61+IF($B$1+51&lt;=$B61,12*$B$7,-12*$B$6*(1+$B$4)^51))*IF(BA61+IF($B$1+51&lt;=$B61,12*$B$7,-12*$B$6*(1+$B$4)^51)&gt;0,1+$B$3,1))</f>
        <v/>
      </c>
      <c r="BC61">
        <f>IF($B$1+52&gt;90,BB61,(BB61+IF($B$1+52&lt;=$B61,12*$B$7,-12*$B$6*(1+$B$4)^52))*IF(BB61+IF($B$1+52&lt;=$B61,12*$B$7,-12*$B$6*(1+$B$4)^52)&gt;0,1+$B$3,1))</f>
        <v/>
      </c>
      <c r="BD61">
        <f>IF($B$1+53&gt;90,BC61,(BC61+IF($B$1+53&lt;=$B61,12*$B$7,-12*$B$6*(1+$B$4)^53))*IF(BC61+IF($B$1+53&lt;=$B61,12*$B$7,-12*$B$6*(1+$B$4)^53)&gt;0,1+$B$3,1))</f>
        <v/>
      </c>
      <c r="BE61">
        <f>IF($B$1+54&gt;90,BD61,(BD61+IF($B$1+54&lt;=$B61,12*$B$7,-12*$B$6*(1+$B$4)^54))*IF(BD61+IF($B$1+54&lt;=$B61,12*$B$7,-12*$B$6*(1+$B$4)^54)&gt;0,1+$B$3,1))</f>
        <v/>
      </c>
      <c r="BF61">
        <f>IF($B$1+55&gt;90,BE61,(BE61+IF($B$1+55&lt;=$B61,12*$B$7,-12*$B$6*(1+$B$4)^55))*IF(BE61+IF($B$1+55&lt;=$B61,12*$B$7,-12*$B$6*(1+$B$4)^55)&gt;0,1+$B$3,1))</f>
        <v/>
      </c>
      <c r="BG61">
        <f>IF($B$1+56&gt;90,BF61,(BF61+IF($B$1+56&lt;=$B61,12*$B$7,-12*$B$6*(1+$B$4)^56))*IF(BF61+IF($B$1+56&lt;=$B61,12*$B$7,-12*$B$6*(1+$B$4)^56)&gt;0,1+$B$3,1))</f>
        <v/>
      </c>
      <c r="BH61">
        <f>IF($B$1+57&gt;90,BG61,(BG61+IF($B$1+57&lt;=$B61,12*$B$7,-12*$B$6*(1+$B$4)^57))*IF(BG61+IF($B$1+57&lt;=$B61,12*$B$7,-12*$B$6*(1+$B$4)^57)&gt;0,1+$B$3,1))</f>
        <v/>
      </c>
      <c r="BI61">
        <f>IF($B$1+58&gt;90,BH61,(BH61+IF($B$1+58&lt;=$B61,12*$B$7,-12*$B$6*(1+$B$4)^58))*IF(BH61+IF($B$1+58&lt;=$B61,12*$B$7,-12*$B$6*(1+$B$4)^58)&gt;0,1+$B$3,1))</f>
        <v/>
      </c>
      <c r="BJ61">
        <f>IF($B$1+59&gt;90,BI61,(BI61+IF($B$1+59&lt;=$B61,12*$B$7,-12*$B$6*(1+$B$4)^59))*IF(BI61+IF($B$1+59&lt;=$B61,12*$B$7,-12*$B$6*(1+$B$4)^59)&gt;0,1+$B$3,1))</f>
        <v/>
      </c>
      <c r="BK61">
        <f>IF($B$1+60&gt;90,BJ61,(BJ61+IF($B$1+60&lt;=$B61,12*$B$7,-12*$B$6*(1+$B$4)^60))*IF(BJ61+IF($B$1+60&lt;=$B61,12*$B$7,-12*$B$6*(1+$B$4)^60)&gt;0,1+$B$3,1))</f>
        <v/>
      </c>
      <c r="BL61">
        <f>IF($B$1+61&gt;90,BK61,(BK61+IF($B$1+61&lt;=$B61,12*$B$7,-12*$B$6*(1+$B$4)^61))*IF(BK61+IF($B$1+61&lt;=$B61,12*$B$7,-12*$B$6*(1+$B$4)^61)&gt;0,1+$B$3,1))</f>
        <v/>
      </c>
      <c r="BM61">
        <f>IF($B$1+62&gt;90,BL61,(BL61+IF($B$1+62&lt;=$B61,12*$B$7,-12*$B$6*(1+$B$4)^62))*IF(BL61+IF($B$1+62&lt;=$B61,12*$B$7,-12*$B$6*(1+$B$4)^62)&gt;0,1+$B$3,1))</f>
        <v/>
      </c>
      <c r="BN61">
        <f>IF($B$1+63&gt;90,BM61,(BM61+IF($B$1+63&lt;=$B61,12*$B$7,-12*$B$6*(1+$B$4)^63))*IF(BM61+IF($B$1+63&lt;=$B61,12*$B$7,-12*$B$6*(1+$B$4)^63)&gt;0,1+$B$3,1))</f>
        <v/>
      </c>
      <c r="BO61">
        <f>IF($B$1+64&gt;90,BN61,(BN61+IF($B$1+64&lt;=$B61,12*$B$7,-12*$B$6*(1+$B$4)^64))*IF(BN61+IF($B$1+64&lt;=$B61,12*$B$7,-12*$B$6*(1+$B$4)^64)&gt;0,1+$B$3,1))</f>
        <v/>
      </c>
      <c r="BP61">
        <f>IF($B$1+65&gt;90,BO61,(BO61+IF($B$1+65&lt;=$B61,12*$B$7,-12*$B$6*(1+$B$4)^65))*IF(BO61+IF($B$1+65&lt;=$B61,12*$B$7,-12*$B$6*(1+$B$4)^65)&gt;0,1+$B$3,1))</f>
        <v/>
      </c>
      <c r="BQ61">
        <f>IF($B$1+66&gt;90,BP61,(BP61+IF($B$1+66&lt;=$B61,12*$B$7,-12*$B$6*(1+$B$4)^66))*IF(BP61+IF($B$1+66&lt;=$B61,12*$B$7,-12*$B$6*(1+$B$4)^66)&gt;0,1+$B$3,1))</f>
        <v/>
      </c>
      <c r="BR61">
        <f>IF($B$1+67&gt;90,BQ61,(BQ61+IF($B$1+67&lt;=$B61,12*$B$7,-12*$B$6*(1+$B$4)^67))*IF(BQ61+IF($B$1+67&lt;=$B61,12*$B$7,-12*$B$6*(1+$B$4)^67)&gt;0,1+$B$3,1))</f>
        <v/>
      </c>
      <c r="BS61">
        <f>IF($B$1+68&gt;90,BR61,(BR61+IF($B$1+68&lt;=$B61,12*$B$7,-12*$B$6*(1+$B$4)^68))*IF(BR61+IF($B$1+68&lt;=$B61,12*$B$7,-12*$B$6*(1+$B$4)^68)&gt;0,1+$B$3,1))</f>
        <v/>
      </c>
      <c r="BT61">
        <f>IF($B$1+69&gt;90,BS61,(BS61+IF($B$1+69&lt;=$B61,12*$B$7,-12*$B$6*(1+$B$4)^69))*IF(BS61+IF($B$1+69&lt;=$B61,12*$B$7,-12*$B$6*(1+$B$4)^69)&gt;0,1+$B$3,1))</f>
        <v/>
      </c>
      <c r="BU61">
        <f>IF($B$1+70&gt;90,BT61,(BT61+IF($B$1+70&lt;=$B61,12*$B$7,-12*$B$6*(1+$B$4)^70))*IF(BT61+IF($B$1+70&lt;=$B61,12*$B$7,-12*$B$6*(1+$B$4)^70)&gt;0,1+$B$3,1))</f>
        <v/>
      </c>
      <c r="BV61">
        <f>BU61</f>
        <v/>
      </c>
      <c r="BW61">
        <f>IF(AND($B61&lt;=70,BV61&gt;0),$B61,999)</f>
        <v/>
      </c>
      <c r="CB61" t="n">
        <v>60</v>
      </c>
      <c r="CC61">
        <f>IF($B$1+CB61&gt;90,0,12*$B$6*(1+$B$4)^CB61/(1+$B$3)^(CB61-1))</f>
        <v/>
      </c>
      <c r="CE61">
        <f>IF($B$1+59&gt;90,NA(),$B$1+59)</f>
        <v/>
      </c>
      <c r="CF61">
        <f>IF(OR($B$21="",$B$1+59&gt;90),NA(),INDEX($C$40:$BU$90,$B$21-$B$1+1,60))</f>
        <v/>
      </c>
    </row>
    <row r="62">
      <c r="A62" t="n">
        <v>22</v>
      </c>
      <c r="B62">
        <f>$B$1+22</f>
        <v/>
      </c>
      <c r="C62">
        <f>$B$2</f>
        <v/>
      </c>
      <c r="D62">
        <f>IF($B$1+1&gt;90,C62,(C62+IF($B$1+1&lt;=$B62,12*$B$7,-12*$B$6*(1+$B$4)^1))*IF(C62+IF($B$1+1&lt;=$B62,12*$B$7,-12*$B$6*(1+$B$4)^1)&gt;0,1+$B$3,1))</f>
        <v/>
      </c>
      <c r="E62">
        <f>IF($B$1+2&gt;90,D62,(D62+IF($B$1+2&lt;=$B62,12*$B$7,-12*$B$6*(1+$B$4)^2))*IF(D62+IF($B$1+2&lt;=$B62,12*$B$7,-12*$B$6*(1+$B$4)^2)&gt;0,1+$B$3,1))</f>
        <v/>
      </c>
      <c r="F62">
        <f>IF($B$1+3&gt;90,E62,(E62+IF($B$1+3&lt;=$B62,12*$B$7,-12*$B$6*(1+$B$4)^3))*IF(E62+IF($B$1+3&lt;=$B62,12*$B$7,-12*$B$6*(1+$B$4)^3)&gt;0,1+$B$3,1))</f>
        <v/>
      </c>
      <c r="G62">
        <f>IF($B$1+4&gt;90,F62,(F62+IF($B$1+4&lt;=$B62,12*$B$7,-12*$B$6*(1+$B$4)^4))*IF(F62+IF($B$1+4&lt;=$B62,12*$B$7,-12*$B$6*(1+$B$4)^4)&gt;0,1+$B$3,1))</f>
        <v/>
      </c>
      <c r="H62">
        <f>IF($B$1+5&gt;90,G62,(G62+IF($B$1+5&lt;=$B62,12*$B$7,-12*$B$6*(1+$B$4)^5))*IF(G62+IF($B$1+5&lt;=$B62,12*$B$7,-12*$B$6*(1+$B$4)^5)&gt;0,1+$B$3,1))</f>
        <v/>
      </c>
      <c r="I62">
        <f>IF($B$1+6&gt;90,H62,(H62+IF($B$1+6&lt;=$B62,12*$B$7,-12*$B$6*(1+$B$4)^6))*IF(H62+IF($B$1+6&lt;=$B62,12*$B$7,-12*$B$6*(1+$B$4)^6)&gt;0,1+$B$3,1))</f>
        <v/>
      </c>
      <c r="J62">
        <f>IF($B$1+7&gt;90,I62,(I62+IF($B$1+7&lt;=$B62,12*$B$7,-12*$B$6*(1+$B$4)^7))*IF(I62+IF($B$1+7&lt;=$B62,12*$B$7,-12*$B$6*(1+$B$4)^7)&gt;0,1+$B$3,1))</f>
        <v/>
      </c>
      <c r="K62">
        <f>IF($B$1+8&gt;90,J62,(J62+IF($B$1+8&lt;=$B62,12*$B$7,-12*$B$6*(1+$B$4)^8))*IF(J62+IF($B$1+8&lt;=$B62,12*$B$7,-12*$B$6*(1+$B$4)^8)&gt;0,1+$B$3,1))</f>
        <v/>
      </c>
      <c r="L62">
        <f>IF($B$1+9&gt;90,K62,(K62+IF($B$1+9&lt;=$B62,12*$B$7,-12*$B$6*(1+$B$4)^9))*IF(K62+IF($B$1+9&lt;=$B62,12*$B$7,-12*$B$6*(1+$B$4)^9)&gt;0,1+$B$3,1))</f>
        <v/>
      </c>
      <c r="M62">
        <f>IF($B$1+10&gt;90,L62,(L62+IF($B$1+10&lt;=$B62,12*$B$7,-12*$B$6*(1+$B$4)^10))*IF(L62+IF($B$1+10&lt;=$B62,12*$B$7,-12*$B$6*(1+$B$4)^10)&gt;0,1+$B$3,1))</f>
        <v/>
      </c>
      <c r="N62">
        <f>IF($B$1+11&gt;90,M62,(M62+IF($B$1+11&lt;=$B62,12*$B$7,-12*$B$6*(1+$B$4)^11))*IF(M62+IF($B$1+11&lt;=$B62,12*$B$7,-12*$B$6*(1+$B$4)^11)&gt;0,1+$B$3,1))</f>
        <v/>
      </c>
      <c r="O62">
        <f>IF($B$1+12&gt;90,N62,(N62+IF($B$1+12&lt;=$B62,12*$B$7,-12*$B$6*(1+$B$4)^12))*IF(N62+IF($B$1+12&lt;=$B62,12*$B$7,-12*$B$6*(1+$B$4)^12)&gt;0,1+$B$3,1))</f>
        <v/>
      </c>
      <c r="P62">
        <f>IF($B$1+13&gt;90,O62,(O62+IF($B$1+13&lt;=$B62,12*$B$7,-12*$B$6*(1+$B$4)^13))*IF(O62+IF($B$1+13&lt;=$B62,12*$B$7,-12*$B$6*(1+$B$4)^13)&gt;0,1+$B$3,1))</f>
        <v/>
      </c>
      <c r="Q62">
        <f>IF($B$1+14&gt;90,P62,(P62+IF($B$1+14&lt;=$B62,12*$B$7,-12*$B$6*(1+$B$4)^14))*IF(P62+IF($B$1+14&lt;=$B62,12*$B$7,-12*$B$6*(1+$B$4)^14)&gt;0,1+$B$3,1))</f>
        <v/>
      </c>
      <c r="R62">
        <f>IF($B$1+15&gt;90,Q62,(Q62+IF($B$1+15&lt;=$B62,12*$B$7,-12*$B$6*(1+$B$4)^15))*IF(Q62+IF($B$1+15&lt;=$B62,12*$B$7,-12*$B$6*(1+$B$4)^15)&gt;0,1+$B$3,1))</f>
        <v/>
      </c>
      <c r="S62">
        <f>IF($B$1+16&gt;90,R62,(R62+IF($B$1+16&lt;=$B62,12*$B$7,-12*$B$6*(1+$B$4)^16))*IF(R62+IF($B$1+16&lt;=$B62,12*$B$7,-12*$B$6*(1+$B$4)^16)&gt;0,1+$B$3,1))</f>
        <v/>
      </c>
      <c r="T62">
        <f>IF($B$1+17&gt;90,S62,(S62+IF($B$1+17&lt;=$B62,12*$B$7,-12*$B$6*(1+$B$4)^17))*IF(S62+IF($B$1+17&lt;=$B62,12*$B$7,-12*$B$6*(1+$B$4)^17)&gt;0,1+$B$3,1))</f>
        <v/>
      </c>
      <c r="U62">
        <f>IF($B$1+18&gt;90,T62,(T62+IF($B$1+18&lt;=$B62,12*$B$7,-12*$B$6*(1+$B$4)^18))*IF(T62+IF($B$1+18&lt;=$B62,12*$B$7,-12*$B$6*(1+$B$4)^18)&gt;0,1+$B$3,1))</f>
        <v/>
      </c>
      <c r="V62">
        <f>IF($B$1+19&gt;90,U62,(U62+IF($B$1+19&lt;=$B62,12*$B$7,-12*$B$6*(1+$B$4)^19))*IF(U62+IF($B$1+19&lt;=$B62,12*$B$7,-12*$B$6*(1+$B$4)^19)&gt;0,1+$B$3,1))</f>
        <v/>
      </c>
      <c r="W62">
        <f>IF($B$1+20&gt;90,V62,(V62+IF($B$1+20&lt;=$B62,12*$B$7,-12*$B$6*(1+$B$4)^20))*IF(V62+IF($B$1+20&lt;=$B62,12*$B$7,-12*$B$6*(1+$B$4)^20)&gt;0,1+$B$3,1))</f>
        <v/>
      </c>
      <c r="X62">
        <f>IF($B$1+21&gt;90,W62,(W62+IF($B$1+21&lt;=$B62,12*$B$7,-12*$B$6*(1+$B$4)^21))*IF(W62+IF($B$1+21&lt;=$B62,12*$B$7,-12*$B$6*(1+$B$4)^21)&gt;0,1+$B$3,1))</f>
        <v/>
      </c>
      <c r="Y62">
        <f>IF($B$1+22&gt;90,X62,(X62+IF($B$1+22&lt;=$B62,12*$B$7,-12*$B$6*(1+$B$4)^22))*IF(X62+IF($B$1+22&lt;=$B62,12*$B$7,-12*$B$6*(1+$B$4)^22)&gt;0,1+$B$3,1))</f>
        <v/>
      </c>
      <c r="Z62">
        <f>IF($B$1+23&gt;90,Y62,(Y62+IF($B$1+23&lt;=$B62,12*$B$7,-12*$B$6*(1+$B$4)^23))*IF(Y62+IF($B$1+23&lt;=$B62,12*$B$7,-12*$B$6*(1+$B$4)^23)&gt;0,1+$B$3,1))</f>
        <v/>
      </c>
      <c r="AA62">
        <f>IF($B$1+24&gt;90,Z62,(Z62+IF($B$1+24&lt;=$B62,12*$B$7,-12*$B$6*(1+$B$4)^24))*IF(Z62+IF($B$1+24&lt;=$B62,12*$B$7,-12*$B$6*(1+$B$4)^24)&gt;0,1+$B$3,1))</f>
        <v/>
      </c>
      <c r="AB62">
        <f>IF($B$1+25&gt;90,AA62,(AA62+IF($B$1+25&lt;=$B62,12*$B$7,-12*$B$6*(1+$B$4)^25))*IF(AA62+IF($B$1+25&lt;=$B62,12*$B$7,-12*$B$6*(1+$B$4)^25)&gt;0,1+$B$3,1))</f>
        <v/>
      </c>
      <c r="AC62">
        <f>IF($B$1+26&gt;90,AB62,(AB62+IF($B$1+26&lt;=$B62,12*$B$7,-12*$B$6*(1+$B$4)^26))*IF(AB62+IF($B$1+26&lt;=$B62,12*$B$7,-12*$B$6*(1+$B$4)^26)&gt;0,1+$B$3,1))</f>
        <v/>
      </c>
      <c r="AD62">
        <f>IF($B$1+27&gt;90,AC62,(AC62+IF($B$1+27&lt;=$B62,12*$B$7,-12*$B$6*(1+$B$4)^27))*IF(AC62+IF($B$1+27&lt;=$B62,12*$B$7,-12*$B$6*(1+$B$4)^27)&gt;0,1+$B$3,1))</f>
        <v/>
      </c>
      <c r="AE62">
        <f>IF($B$1+28&gt;90,AD62,(AD62+IF($B$1+28&lt;=$B62,12*$B$7,-12*$B$6*(1+$B$4)^28))*IF(AD62+IF($B$1+28&lt;=$B62,12*$B$7,-12*$B$6*(1+$B$4)^28)&gt;0,1+$B$3,1))</f>
        <v/>
      </c>
      <c r="AF62">
        <f>IF($B$1+29&gt;90,AE62,(AE62+IF($B$1+29&lt;=$B62,12*$B$7,-12*$B$6*(1+$B$4)^29))*IF(AE62+IF($B$1+29&lt;=$B62,12*$B$7,-12*$B$6*(1+$B$4)^29)&gt;0,1+$B$3,1))</f>
        <v/>
      </c>
      <c r="AG62">
        <f>IF($B$1+30&gt;90,AF62,(AF62+IF($B$1+30&lt;=$B62,12*$B$7,-12*$B$6*(1+$B$4)^30))*IF(AF62+IF($B$1+30&lt;=$B62,12*$B$7,-12*$B$6*(1+$B$4)^30)&gt;0,1+$B$3,1))</f>
        <v/>
      </c>
      <c r="AH62">
        <f>IF($B$1+31&gt;90,AG62,(AG62+IF($B$1+31&lt;=$B62,12*$B$7,-12*$B$6*(1+$B$4)^31))*IF(AG62+IF($B$1+31&lt;=$B62,12*$B$7,-12*$B$6*(1+$B$4)^31)&gt;0,1+$B$3,1))</f>
        <v/>
      </c>
      <c r="AI62">
        <f>IF($B$1+32&gt;90,AH62,(AH62+IF($B$1+32&lt;=$B62,12*$B$7,-12*$B$6*(1+$B$4)^32))*IF(AH62+IF($B$1+32&lt;=$B62,12*$B$7,-12*$B$6*(1+$B$4)^32)&gt;0,1+$B$3,1))</f>
        <v/>
      </c>
      <c r="AJ62">
        <f>IF($B$1+33&gt;90,AI62,(AI62+IF($B$1+33&lt;=$B62,12*$B$7,-12*$B$6*(1+$B$4)^33))*IF(AI62+IF($B$1+33&lt;=$B62,12*$B$7,-12*$B$6*(1+$B$4)^33)&gt;0,1+$B$3,1))</f>
        <v/>
      </c>
      <c r="AK62">
        <f>IF($B$1+34&gt;90,AJ62,(AJ62+IF($B$1+34&lt;=$B62,12*$B$7,-12*$B$6*(1+$B$4)^34))*IF(AJ62+IF($B$1+34&lt;=$B62,12*$B$7,-12*$B$6*(1+$B$4)^34)&gt;0,1+$B$3,1))</f>
        <v/>
      </c>
      <c r="AL62">
        <f>IF($B$1+35&gt;90,AK62,(AK62+IF($B$1+35&lt;=$B62,12*$B$7,-12*$B$6*(1+$B$4)^35))*IF(AK62+IF($B$1+35&lt;=$B62,12*$B$7,-12*$B$6*(1+$B$4)^35)&gt;0,1+$B$3,1))</f>
        <v/>
      </c>
      <c r="AM62">
        <f>IF($B$1+36&gt;90,AL62,(AL62+IF($B$1+36&lt;=$B62,12*$B$7,-12*$B$6*(1+$B$4)^36))*IF(AL62+IF($B$1+36&lt;=$B62,12*$B$7,-12*$B$6*(1+$B$4)^36)&gt;0,1+$B$3,1))</f>
        <v/>
      </c>
      <c r="AN62">
        <f>IF($B$1+37&gt;90,AM62,(AM62+IF($B$1+37&lt;=$B62,12*$B$7,-12*$B$6*(1+$B$4)^37))*IF(AM62+IF($B$1+37&lt;=$B62,12*$B$7,-12*$B$6*(1+$B$4)^37)&gt;0,1+$B$3,1))</f>
        <v/>
      </c>
      <c r="AO62">
        <f>IF($B$1+38&gt;90,AN62,(AN62+IF($B$1+38&lt;=$B62,12*$B$7,-12*$B$6*(1+$B$4)^38))*IF(AN62+IF($B$1+38&lt;=$B62,12*$B$7,-12*$B$6*(1+$B$4)^38)&gt;0,1+$B$3,1))</f>
        <v/>
      </c>
      <c r="AP62">
        <f>IF($B$1+39&gt;90,AO62,(AO62+IF($B$1+39&lt;=$B62,12*$B$7,-12*$B$6*(1+$B$4)^39))*IF(AO62+IF($B$1+39&lt;=$B62,12*$B$7,-12*$B$6*(1+$B$4)^39)&gt;0,1+$B$3,1))</f>
        <v/>
      </c>
      <c r="AQ62">
        <f>IF($B$1+40&gt;90,AP62,(AP62+IF($B$1+40&lt;=$B62,12*$B$7,-12*$B$6*(1+$B$4)^40))*IF(AP62+IF($B$1+40&lt;=$B62,12*$B$7,-12*$B$6*(1+$B$4)^40)&gt;0,1+$B$3,1))</f>
        <v/>
      </c>
      <c r="AR62">
        <f>IF($B$1+41&gt;90,AQ62,(AQ62+IF($B$1+41&lt;=$B62,12*$B$7,-12*$B$6*(1+$B$4)^41))*IF(AQ62+IF($B$1+41&lt;=$B62,12*$B$7,-12*$B$6*(1+$B$4)^41)&gt;0,1+$B$3,1))</f>
        <v/>
      </c>
      <c r="AS62">
        <f>IF($B$1+42&gt;90,AR62,(AR62+IF($B$1+42&lt;=$B62,12*$B$7,-12*$B$6*(1+$B$4)^42))*IF(AR62+IF($B$1+42&lt;=$B62,12*$B$7,-12*$B$6*(1+$B$4)^42)&gt;0,1+$B$3,1))</f>
        <v/>
      </c>
      <c r="AT62">
        <f>IF($B$1+43&gt;90,AS62,(AS62+IF($B$1+43&lt;=$B62,12*$B$7,-12*$B$6*(1+$B$4)^43))*IF(AS62+IF($B$1+43&lt;=$B62,12*$B$7,-12*$B$6*(1+$B$4)^43)&gt;0,1+$B$3,1))</f>
        <v/>
      </c>
      <c r="AU62">
        <f>IF($B$1+44&gt;90,AT62,(AT62+IF($B$1+44&lt;=$B62,12*$B$7,-12*$B$6*(1+$B$4)^44))*IF(AT62+IF($B$1+44&lt;=$B62,12*$B$7,-12*$B$6*(1+$B$4)^44)&gt;0,1+$B$3,1))</f>
        <v/>
      </c>
      <c r="AV62">
        <f>IF($B$1+45&gt;90,AU62,(AU62+IF($B$1+45&lt;=$B62,12*$B$7,-12*$B$6*(1+$B$4)^45))*IF(AU62+IF($B$1+45&lt;=$B62,12*$B$7,-12*$B$6*(1+$B$4)^45)&gt;0,1+$B$3,1))</f>
        <v/>
      </c>
      <c r="AW62">
        <f>IF($B$1+46&gt;90,AV62,(AV62+IF($B$1+46&lt;=$B62,12*$B$7,-12*$B$6*(1+$B$4)^46))*IF(AV62+IF($B$1+46&lt;=$B62,12*$B$7,-12*$B$6*(1+$B$4)^46)&gt;0,1+$B$3,1))</f>
        <v/>
      </c>
      <c r="AX62">
        <f>IF($B$1+47&gt;90,AW62,(AW62+IF($B$1+47&lt;=$B62,12*$B$7,-12*$B$6*(1+$B$4)^47))*IF(AW62+IF($B$1+47&lt;=$B62,12*$B$7,-12*$B$6*(1+$B$4)^47)&gt;0,1+$B$3,1))</f>
        <v/>
      </c>
      <c r="AY62">
        <f>IF($B$1+48&gt;90,AX62,(AX62+IF($B$1+48&lt;=$B62,12*$B$7,-12*$B$6*(1+$B$4)^48))*IF(AX62+IF($B$1+48&lt;=$B62,12*$B$7,-12*$B$6*(1+$B$4)^48)&gt;0,1+$B$3,1))</f>
        <v/>
      </c>
      <c r="AZ62">
        <f>IF($B$1+49&gt;90,AY62,(AY62+IF($B$1+49&lt;=$B62,12*$B$7,-12*$B$6*(1+$B$4)^49))*IF(AY62+IF($B$1+49&lt;=$B62,12*$B$7,-12*$B$6*(1+$B$4)^49)&gt;0,1+$B$3,1))</f>
        <v/>
      </c>
      <c r="BA62">
        <f>IF($B$1+50&gt;90,AZ62,(AZ62+IF($B$1+50&lt;=$B62,12*$B$7,-12*$B$6*(1+$B$4)^50))*IF(AZ62+IF($B$1+50&lt;=$B62,12*$B$7,-12*$B$6*(1+$B$4)^50)&gt;0,1+$B$3,1))</f>
        <v/>
      </c>
      <c r="BB62">
        <f>IF($B$1+51&gt;90,BA62,(BA62+IF($B$1+51&lt;=$B62,12*$B$7,-12*$B$6*(1+$B$4)^51))*IF(BA62+IF($B$1+51&lt;=$B62,12*$B$7,-12*$B$6*(1+$B$4)^51)&gt;0,1+$B$3,1))</f>
        <v/>
      </c>
      <c r="BC62">
        <f>IF($B$1+52&gt;90,BB62,(BB62+IF($B$1+52&lt;=$B62,12*$B$7,-12*$B$6*(1+$B$4)^52))*IF(BB62+IF($B$1+52&lt;=$B62,12*$B$7,-12*$B$6*(1+$B$4)^52)&gt;0,1+$B$3,1))</f>
        <v/>
      </c>
      <c r="BD62">
        <f>IF($B$1+53&gt;90,BC62,(BC62+IF($B$1+53&lt;=$B62,12*$B$7,-12*$B$6*(1+$B$4)^53))*IF(BC62+IF($B$1+53&lt;=$B62,12*$B$7,-12*$B$6*(1+$B$4)^53)&gt;0,1+$B$3,1))</f>
        <v/>
      </c>
      <c r="BE62">
        <f>IF($B$1+54&gt;90,BD62,(BD62+IF($B$1+54&lt;=$B62,12*$B$7,-12*$B$6*(1+$B$4)^54))*IF(BD62+IF($B$1+54&lt;=$B62,12*$B$7,-12*$B$6*(1+$B$4)^54)&gt;0,1+$B$3,1))</f>
        <v/>
      </c>
      <c r="BF62">
        <f>IF($B$1+55&gt;90,BE62,(BE62+IF($B$1+55&lt;=$B62,12*$B$7,-12*$B$6*(1+$B$4)^55))*IF(BE62+IF($B$1+55&lt;=$B62,12*$B$7,-12*$B$6*(1+$B$4)^55)&gt;0,1+$B$3,1))</f>
        <v/>
      </c>
      <c r="BG62">
        <f>IF($B$1+56&gt;90,BF62,(BF62+IF($B$1+56&lt;=$B62,12*$B$7,-12*$B$6*(1+$B$4)^56))*IF(BF62+IF($B$1+56&lt;=$B62,12*$B$7,-12*$B$6*(1+$B$4)^56)&gt;0,1+$B$3,1))</f>
        <v/>
      </c>
      <c r="BH62">
        <f>IF($B$1+57&gt;90,BG62,(BG62+IF($B$1+57&lt;=$B62,12*$B$7,-12*$B$6*(1+$B$4)^57))*IF(BG62+IF($B$1+57&lt;=$B62,12*$B$7,-12*$B$6*(1+$B$4)^57)&gt;0,1+$B$3,1))</f>
        <v/>
      </c>
      <c r="BI62">
        <f>IF($B$1+58&gt;90,BH62,(BH62+IF($B$1+58&lt;=$B62,12*$B$7,-12*$B$6*(1+$B$4)^58))*IF(BH62+IF($B$1+58&lt;=$B62,12*$B$7,-12*$B$6*(1+$B$4)^58)&gt;0,1+$B$3,1))</f>
        <v/>
      </c>
      <c r="BJ62">
        <f>IF($B$1+59&gt;90,BI62,(BI62+IF($B$1+59&lt;=$B62,12*$B$7,-12*$B$6*(1+$B$4)^59))*IF(BI62+IF($B$1+59&lt;=$B62,12*$B$7,-12*$B$6*(1+$B$4)^59)&gt;0,1+$B$3,1))</f>
        <v/>
      </c>
      <c r="BK62">
        <f>IF($B$1+60&gt;90,BJ62,(BJ62+IF($B$1+60&lt;=$B62,12*$B$7,-12*$B$6*(1+$B$4)^60))*IF(BJ62+IF($B$1+60&lt;=$B62,12*$B$7,-12*$B$6*(1+$B$4)^60)&gt;0,1+$B$3,1))</f>
        <v/>
      </c>
      <c r="BL62">
        <f>IF($B$1+61&gt;90,BK62,(BK62+IF($B$1+61&lt;=$B62,12*$B$7,-12*$B$6*(1+$B$4)^61))*IF(BK62+IF($B$1+61&lt;=$B62,12*$B$7,-12*$B$6*(1+$B$4)^61)&gt;0,1+$B$3,1))</f>
        <v/>
      </c>
      <c r="BM62">
        <f>IF($B$1+62&gt;90,BL62,(BL62+IF($B$1+62&lt;=$B62,12*$B$7,-12*$B$6*(1+$B$4)^62))*IF(BL62+IF($B$1+62&lt;=$B62,12*$B$7,-12*$B$6*(1+$B$4)^62)&gt;0,1+$B$3,1))</f>
        <v/>
      </c>
      <c r="BN62">
        <f>IF($B$1+63&gt;90,BM62,(BM62+IF($B$1+63&lt;=$B62,12*$B$7,-12*$B$6*(1+$B$4)^63))*IF(BM62+IF($B$1+63&lt;=$B62,12*$B$7,-12*$B$6*(1+$B$4)^63)&gt;0,1+$B$3,1))</f>
        <v/>
      </c>
      <c r="BO62">
        <f>IF($B$1+64&gt;90,BN62,(BN62+IF($B$1+64&lt;=$B62,12*$B$7,-12*$B$6*(1+$B$4)^64))*IF(BN62+IF($B$1+64&lt;=$B62,12*$B$7,-12*$B$6*(1+$B$4)^64)&gt;0,1+$B$3,1))</f>
        <v/>
      </c>
      <c r="BP62">
        <f>IF($B$1+65&gt;90,BO62,(BO62+IF($B$1+65&lt;=$B62,12*$B$7,-12*$B$6*(1+$B$4)^65))*IF(BO62+IF($B$1+65&lt;=$B62,12*$B$7,-12*$B$6*(1+$B$4)^65)&gt;0,1+$B$3,1))</f>
        <v/>
      </c>
      <c r="BQ62">
        <f>IF($B$1+66&gt;90,BP62,(BP62+IF($B$1+66&lt;=$B62,12*$B$7,-12*$B$6*(1+$B$4)^66))*IF(BP62+IF($B$1+66&lt;=$B62,12*$B$7,-12*$B$6*(1+$B$4)^66)&gt;0,1+$B$3,1))</f>
        <v/>
      </c>
      <c r="BR62">
        <f>IF($B$1+67&gt;90,BQ62,(BQ62+IF($B$1+67&lt;=$B62,12*$B$7,-12*$B$6*(1+$B$4)^67))*IF(BQ62+IF($B$1+67&lt;=$B62,12*$B$7,-12*$B$6*(1+$B$4)^67)&gt;0,1+$B$3,1))</f>
        <v/>
      </c>
      <c r="BS62">
        <f>IF($B$1+68&gt;90,BR62,(BR62+IF($B$1+68&lt;=$B62,12*$B$7,-12*$B$6*(1+$B$4)^68))*IF(BR62+IF($B$1+68&lt;=$B62,12*$B$7,-12*$B$6*(1+$B$4)^68)&gt;0,1+$B$3,1))</f>
        <v/>
      </c>
      <c r="BT62">
        <f>IF($B$1+69&gt;90,BS62,(BS62+IF($B$1+69&lt;=$B62,12*$B$7,-12*$B$6*(1+$B$4)^69))*IF(BS62+IF($B$1+69&lt;=$B62,12*$B$7,-12*$B$6*(1+$B$4)^69)&gt;0,1+$B$3,1))</f>
        <v/>
      </c>
      <c r="BU62">
        <f>IF($B$1+70&gt;90,BT62,(BT62+IF($B$1+70&lt;=$B62,12*$B$7,-12*$B$6*(1+$B$4)^70))*IF(BT62+IF($B$1+70&lt;=$B62,12*$B$7,-12*$B$6*(1+$B$4)^70)&gt;0,1+$B$3,1))</f>
        <v/>
      </c>
      <c r="BV62">
        <f>BU62</f>
        <v/>
      </c>
      <c r="BW62">
        <f>IF(AND($B62&lt;=70,BV62&gt;0),$B62,999)</f>
        <v/>
      </c>
      <c r="CB62" t="n">
        <v>61</v>
      </c>
      <c r="CC62">
        <f>IF($B$1+CB62&gt;90,0,12*$B$6*(1+$B$4)^CB62/(1+$B$3)^(CB62-1))</f>
        <v/>
      </c>
      <c r="CE62">
        <f>IF($B$1+60&gt;90,NA(),$B$1+60)</f>
        <v/>
      </c>
      <c r="CF62">
        <f>IF(OR($B$21="",$B$1+60&gt;90),NA(),INDEX($C$40:$BU$90,$B$21-$B$1+1,61))</f>
        <v/>
      </c>
    </row>
    <row r="63">
      <c r="A63" t="n">
        <v>23</v>
      </c>
      <c r="B63">
        <f>$B$1+23</f>
        <v/>
      </c>
      <c r="C63">
        <f>$B$2</f>
        <v/>
      </c>
      <c r="D63">
        <f>IF($B$1+1&gt;90,C63,(C63+IF($B$1+1&lt;=$B63,12*$B$7,-12*$B$6*(1+$B$4)^1))*IF(C63+IF($B$1+1&lt;=$B63,12*$B$7,-12*$B$6*(1+$B$4)^1)&gt;0,1+$B$3,1))</f>
        <v/>
      </c>
      <c r="E63">
        <f>IF($B$1+2&gt;90,D63,(D63+IF($B$1+2&lt;=$B63,12*$B$7,-12*$B$6*(1+$B$4)^2))*IF(D63+IF($B$1+2&lt;=$B63,12*$B$7,-12*$B$6*(1+$B$4)^2)&gt;0,1+$B$3,1))</f>
        <v/>
      </c>
      <c r="F63">
        <f>IF($B$1+3&gt;90,E63,(E63+IF($B$1+3&lt;=$B63,12*$B$7,-12*$B$6*(1+$B$4)^3))*IF(E63+IF($B$1+3&lt;=$B63,12*$B$7,-12*$B$6*(1+$B$4)^3)&gt;0,1+$B$3,1))</f>
        <v/>
      </c>
      <c r="G63">
        <f>IF($B$1+4&gt;90,F63,(F63+IF($B$1+4&lt;=$B63,12*$B$7,-12*$B$6*(1+$B$4)^4))*IF(F63+IF($B$1+4&lt;=$B63,12*$B$7,-12*$B$6*(1+$B$4)^4)&gt;0,1+$B$3,1))</f>
        <v/>
      </c>
      <c r="H63">
        <f>IF($B$1+5&gt;90,G63,(G63+IF($B$1+5&lt;=$B63,12*$B$7,-12*$B$6*(1+$B$4)^5))*IF(G63+IF($B$1+5&lt;=$B63,12*$B$7,-12*$B$6*(1+$B$4)^5)&gt;0,1+$B$3,1))</f>
        <v/>
      </c>
      <c r="I63">
        <f>IF($B$1+6&gt;90,H63,(H63+IF($B$1+6&lt;=$B63,12*$B$7,-12*$B$6*(1+$B$4)^6))*IF(H63+IF($B$1+6&lt;=$B63,12*$B$7,-12*$B$6*(1+$B$4)^6)&gt;0,1+$B$3,1))</f>
        <v/>
      </c>
      <c r="J63">
        <f>IF($B$1+7&gt;90,I63,(I63+IF($B$1+7&lt;=$B63,12*$B$7,-12*$B$6*(1+$B$4)^7))*IF(I63+IF($B$1+7&lt;=$B63,12*$B$7,-12*$B$6*(1+$B$4)^7)&gt;0,1+$B$3,1))</f>
        <v/>
      </c>
      <c r="K63">
        <f>IF($B$1+8&gt;90,J63,(J63+IF($B$1+8&lt;=$B63,12*$B$7,-12*$B$6*(1+$B$4)^8))*IF(J63+IF($B$1+8&lt;=$B63,12*$B$7,-12*$B$6*(1+$B$4)^8)&gt;0,1+$B$3,1))</f>
        <v/>
      </c>
      <c r="L63">
        <f>IF($B$1+9&gt;90,K63,(K63+IF($B$1+9&lt;=$B63,12*$B$7,-12*$B$6*(1+$B$4)^9))*IF(K63+IF($B$1+9&lt;=$B63,12*$B$7,-12*$B$6*(1+$B$4)^9)&gt;0,1+$B$3,1))</f>
        <v/>
      </c>
      <c r="M63">
        <f>IF($B$1+10&gt;90,L63,(L63+IF($B$1+10&lt;=$B63,12*$B$7,-12*$B$6*(1+$B$4)^10))*IF(L63+IF($B$1+10&lt;=$B63,12*$B$7,-12*$B$6*(1+$B$4)^10)&gt;0,1+$B$3,1))</f>
        <v/>
      </c>
      <c r="N63">
        <f>IF($B$1+11&gt;90,M63,(M63+IF($B$1+11&lt;=$B63,12*$B$7,-12*$B$6*(1+$B$4)^11))*IF(M63+IF($B$1+11&lt;=$B63,12*$B$7,-12*$B$6*(1+$B$4)^11)&gt;0,1+$B$3,1))</f>
        <v/>
      </c>
      <c r="O63">
        <f>IF($B$1+12&gt;90,N63,(N63+IF($B$1+12&lt;=$B63,12*$B$7,-12*$B$6*(1+$B$4)^12))*IF(N63+IF($B$1+12&lt;=$B63,12*$B$7,-12*$B$6*(1+$B$4)^12)&gt;0,1+$B$3,1))</f>
        <v/>
      </c>
      <c r="P63">
        <f>IF($B$1+13&gt;90,O63,(O63+IF($B$1+13&lt;=$B63,12*$B$7,-12*$B$6*(1+$B$4)^13))*IF(O63+IF($B$1+13&lt;=$B63,12*$B$7,-12*$B$6*(1+$B$4)^13)&gt;0,1+$B$3,1))</f>
        <v/>
      </c>
      <c r="Q63">
        <f>IF($B$1+14&gt;90,P63,(P63+IF($B$1+14&lt;=$B63,12*$B$7,-12*$B$6*(1+$B$4)^14))*IF(P63+IF($B$1+14&lt;=$B63,12*$B$7,-12*$B$6*(1+$B$4)^14)&gt;0,1+$B$3,1))</f>
        <v/>
      </c>
      <c r="R63">
        <f>IF($B$1+15&gt;90,Q63,(Q63+IF($B$1+15&lt;=$B63,12*$B$7,-12*$B$6*(1+$B$4)^15))*IF(Q63+IF($B$1+15&lt;=$B63,12*$B$7,-12*$B$6*(1+$B$4)^15)&gt;0,1+$B$3,1))</f>
        <v/>
      </c>
      <c r="S63">
        <f>IF($B$1+16&gt;90,R63,(R63+IF($B$1+16&lt;=$B63,12*$B$7,-12*$B$6*(1+$B$4)^16))*IF(R63+IF($B$1+16&lt;=$B63,12*$B$7,-12*$B$6*(1+$B$4)^16)&gt;0,1+$B$3,1))</f>
        <v/>
      </c>
      <c r="T63">
        <f>IF($B$1+17&gt;90,S63,(S63+IF($B$1+17&lt;=$B63,12*$B$7,-12*$B$6*(1+$B$4)^17))*IF(S63+IF($B$1+17&lt;=$B63,12*$B$7,-12*$B$6*(1+$B$4)^17)&gt;0,1+$B$3,1))</f>
        <v/>
      </c>
      <c r="U63">
        <f>IF($B$1+18&gt;90,T63,(T63+IF($B$1+18&lt;=$B63,12*$B$7,-12*$B$6*(1+$B$4)^18))*IF(T63+IF($B$1+18&lt;=$B63,12*$B$7,-12*$B$6*(1+$B$4)^18)&gt;0,1+$B$3,1))</f>
        <v/>
      </c>
      <c r="V63">
        <f>IF($B$1+19&gt;90,U63,(U63+IF($B$1+19&lt;=$B63,12*$B$7,-12*$B$6*(1+$B$4)^19))*IF(U63+IF($B$1+19&lt;=$B63,12*$B$7,-12*$B$6*(1+$B$4)^19)&gt;0,1+$B$3,1))</f>
        <v/>
      </c>
      <c r="W63">
        <f>IF($B$1+20&gt;90,V63,(V63+IF($B$1+20&lt;=$B63,12*$B$7,-12*$B$6*(1+$B$4)^20))*IF(V63+IF($B$1+20&lt;=$B63,12*$B$7,-12*$B$6*(1+$B$4)^20)&gt;0,1+$B$3,1))</f>
        <v/>
      </c>
      <c r="X63">
        <f>IF($B$1+21&gt;90,W63,(W63+IF($B$1+21&lt;=$B63,12*$B$7,-12*$B$6*(1+$B$4)^21))*IF(W63+IF($B$1+21&lt;=$B63,12*$B$7,-12*$B$6*(1+$B$4)^21)&gt;0,1+$B$3,1))</f>
        <v/>
      </c>
      <c r="Y63">
        <f>IF($B$1+22&gt;90,X63,(X63+IF($B$1+22&lt;=$B63,12*$B$7,-12*$B$6*(1+$B$4)^22))*IF(X63+IF($B$1+22&lt;=$B63,12*$B$7,-12*$B$6*(1+$B$4)^22)&gt;0,1+$B$3,1))</f>
        <v/>
      </c>
      <c r="Z63">
        <f>IF($B$1+23&gt;90,Y63,(Y63+IF($B$1+23&lt;=$B63,12*$B$7,-12*$B$6*(1+$B$4)^23))*IF(Y63+IF($B$1+23&lt;=$B63,12*$B$7,-12*$B$6*(1+$B$4)^23)&gt;0,1+$B$3,1))</f>
        <v/>
      </c>
      <c r="AA63">
        <f>IF($B$1+24&gt;90,Z63,(Z63+IF($B$1+24&lt;=$B63,12*$B$7,-12*$B$6*(1+$B$4)^24))*IF(Z63+IF($B$1+24&lt;=$B63,12*$B$7,-12*$B$6*(1+$B$4)^24)&gt;0,1+$B$3,1))</f>
        <v/>
      </c>
      <c r="AB63">
        <f>IF($B$1+25&gt;90,AA63,(AA63+IF($B$1+25&lt;=$B63,12*$B$7,-12*$B$6*(1+$B$4)^25))*IF(AA63+IF($B$1+25&lt;=$B63,12*$B$7,-12*$B$6*(1+$B$4)^25)&gt;0,1+$B$3,1))</f>
        <v/>
      </c>
      <c r="AC63">
        <f>IF($B$1+26&gt;90,AB63,(AB63+IF($B$1+26&lt;=$B63,12*$B$7,-12*$B$6*(1+$B$4)^26))*IF(AB63+IF($B$1+26&lt;=$B63,12*$B$7,-12*$B$6*(1+$B$4)^26)&gt;0,1+$B$3,1))</f>
        <v/>
      </c>
      <c r="AD63">
        <f>IF($B$1+27&gt;90,AC63,(AC63+IF($B$1+27&lt;=$B63,12*$B$7,-12*$B$6*(1+$B$4)^27))*IF(AC63+IF($B$1+27&lt;=$B63,12*$B$7,-12*$B$6*(1+$B$4)^27)&gt;0,1+$B$3,1))</f>
        <v/>
      </c>
      <c r="AE63">
        <f>IF($B$1+28&gt;90,AD63,(AD63+IF($B$1+28&lt;=$B63,12*$B$7,-12*$B$6*(1+$B$4)^28))*IF(AD63+IF($B$1+28&lt;=$B63,12*$B$7,-12*$B$6*(1+$B$4)^28)&gt;0,1+$B$3,1))</f>
        <v/>
      </c>
      <c r="AF63">
        <f>IF($B$1+29&gt;90,AE63,(AE63+IF($B$1+29&lt;=$B63,12*$B$7,-12*$B$6*(1+$B$4)^29))*IF(AE63+IF($B$1+29&lt;=$B63,12*$B$7,-12*$B$6*(1+$B$4)^29)&gt;0,1+$B$3,1))</f>
        <v/>
      </c>
      <c r="AG63">
        <f>IF($B$1+30&gt;90,AF63,(AF63+IF($B$1+30&lt;=$B63,12*$B$7,-12*$B$6*(1+$B$4)^30))*IF(AF63+IF($B$1+30&lt;=$B63,12*$B$7,-12*$B$6*(1+$B$4)^30)&gt;0,1+$B$3,1))</f>
        <v/>
      </c>
      <c r="AH63">
        <f>IF($B$1+31&gt;90,AG63,(AG63+IF($B$1+31&lt;=$B63,12*$B$7,-12*$B$6*(1+$B$4)^31))*IF(AG63+IF($B$1+31&lt;=$B63,12*$B$7,-12*$B$6*(1+$B$4)^31)&gt;0,1+$B$3,1))</f>
        <v/>
      </c>
      <c r="AI63">
        <f>IF($B$1+32&gt;90,AH63,(AH63+IF($B$1+32&lt;=$B63,12*$B$7,-12*$B$6*(1+$B$4)^32))*IF(AH63+IF($B$1+32&lt;=$B63,12*$B$7,-12*$B$6*(1+$B$4)^32)&gt;0,1+$B$3,1))</f>
        <v/>
      </c>
      <c r="AJ63">
        <f>IF($B$1+33&gt;90,AI63,(AI63+IF($B$1+33&lt;=$B63,12*$B$7,-12*$B$6*(1+$B$4)^33))*IF(AI63+IF($B$1+33&lt;=$B63,12*$B$7,-12*$B$6*(1+$B$4)^33)&gt;0,1+$B$3,1))</f>
        <v/>
      </c>
      <c r="AK63">
        <f>IF($B$1+34&gt;90,AJ63,(AJ63+IF($B$1+34&lt;=$B63,12*$B$7,-12*$B$6*(1+$B$4)^34))*IF(AJ63+IF($B$1+34&lt;=$B63,12*$B$7,-12*$B$6*(1+$B$4)^34)&gt;0,1+$B$3,1))</f>
        <v/>
      </c>
      <c r="AL63">
        <f>IF($B$1+35&gt;90,AK63,(AK63+IF($B$1+35&lt;=$B63,12*$B$7,-12*$B$6*(1+$B$4)^35))*IF(AK63+IF($B$1+35&lt;=$B63,12*$B$7,-12*$B$6*(1+$B$4)^35)&gt;0,1+$B$3,1))</f>
        <v/>
      </c>
      <c r="AM63">
        <f>IF($B$1+36&gt;90,AL63,(AL63+IF($B$1+36&lt;=$B63,12*$B$7,-12*$B$6*(1+$B$4)^36))*IF(AL63+IF($B$1+36&lt;=$B63,12*$B$7,-12*$B$6*(1+$B$4)^36)&gt;0,1+$B$3,1))</f>
        <v/>
      </c>
      <c r="AN63">
        <f>IF($B$1+37&gt;90,AM63,(AM63+IF($B$1+37&lt;=$B63,12*$B$7,-12*$B$6*(1+$B$4)^37))*IF(AM63+IF($B$1+37&lt;=$B63,12*$B$7,-12*$B$6*(1+$B$4)^37)&gt;0,1+$B$3,1))</f>
        <v/>
      </c>
      <c r="AO63">
        <f>IF($B$1+38&gt;90,AN63,(AN63+IF($B$1+38&lt;=$B63,12*$B$7,-12*$B$6*(1+$B$4)^38))*IF(AN63+IF($B$1+38&lt;=$B63,12*$B$7,-12*$B$6*(1+$B$4)^38)&gt;0,1+$B$3,1))</f>
        <v/>
      </c>
      <c r="AP63">
        <f>IF($B$1+39&gt;90,AO63,(AO63+IF($B$1+39&lt;=$B63,12*$B$7,-12*$B$6*(1+$B$4)^39))*IF(AO63+IF($B$1+39&lt;=$B63,12*$B$7,-12*$B$6*(1+$B$4)^39)&gt;0,1+$B$3,1))</f>
        <v/>
      </c>
      <c r="AQ63">
        <f>IF($B$1+40&gt;90,AP63,(AP63+IF($B$1+40&lt;=$B63,12*$B$7,-12*$B$6*(1+$B$4)^40))*IF(AP63+IF($B$1+40&lt;=$B63,12*$B$7,-12*$B$6*(1+$B$4)^40)&gt;0,1+$B$3,1))</f>
        <v/>
      </c>
      <c r="AR63">
        <f>IF($B$1+41&gt;90,AQ63,(AQ63+IF($B$1+41&lt;=$B63,12*$B$7,-12*$B$6*(1+$B$4)^41))*IF(AQ63+IF($B$1+41&lt;=$B63,12*$B$7,-12*$B$6*(1+$B$4)^41)&gt;0,1+$B$3,1))</f>
        <v/>
      </c>
      <c r="AS63">
        <f>IF($B$1+42&gt;90,AR63,(AR63+IF($B$1+42&lt;=$B63,12*$B$7,-12*$B$6*(1+$B$4)^42))*IF(AR63+IF($B$1+42&lt;=$B63,12*$B$7,-12*$B$6*(1+$B$4)^42)&gt;0,1+$B$3,1))</f>
        <v/>
      </c>
      <c r="AT63">
        <f>IF($B$1+43&gt;90,AS63,(AS63+IF($B$1+43&lt;=$B63,12*$B$7,-12*$B$6*(1+$B$4)^43))*IF(AS63+IF($B$1+43&lt;=$B63,12*$B$7,-12*$B$6*(1+$B$4)^43)&gt;0,1+$B$3,1))</f>
        <v/>
      </c>
      <c r="AU63">
        <f>IF($B$1+44&gt;90,AT63,(AT63+IF($B$1+44&lt;=$B63,12*$B$7,-12*$B$6*(1+$B$4)^44))*IF(AT63+IF($B$1+44&lt;=$B63,12*$B$7,-12*$B$6*(1+$B$4)^44)&gt;0,1+$B$3,1))</f>
        <v/>
      </c>
      <c r="AV63">
        <f>IF($B$1+45&gt;90,AU63,(AU63+IF($B$1+45&lt;=$B63,12*$B$7,-12*$B$6*(1+$B$4)^45))*IF(AU63+IF($B$1+45&lt;=$B63,12*$B$7,-12*$B$6*(1+$B$4)^45)&gt;0,1+$B$3,1))</f>
        <v/>
      </c>
      <c r="AW63">
        <f>IF($B$1+46&gt;90,AV63,(AV63+IF($B$1+46&lt;=$B63,12*$B$7,-12*$B$6*(1+$B$4)^46))*IF(AV63+IF($B$1+46&lt;=$B63,12*$B$7,-12*$B$6*(1+$B$4)^46)&gt;0,1+$B$3,1))</f>
        <v/>
      </c>
      <c r="AX63">
        <f>IF($B$1+47&gt;90,AW63,(AW63+IF($B$1+47&lt;=$B63,12*$B$7,-12*$B$6*(1+$B$4)^47))*IF(AW63+IF($B$1+47&lt;=$B63,12*$B$7,-12*$B$6*(1+$B$4)^47)&gt;0,1+$B$3,1))</f>
        <v/>
      </c>
      <c r="AY63">
        <f>IF($B$1+48&gt;90,AX63,(AX63+IF($B$1+48&lt;=$B63,12*$B$7,-12*$B$6*(1+$B$4)^48))*IF(AX63+IF($B$1+48&lt;=$B63,12*$B$7,-12*$B$6*(1+$B$4)^48)&gt;0,1+$B$3,1))</f>
        <v/>
      </c>
      <c r="AZ63">
        <f>IF($B$1+49&gt;90,AY63,(AY63+IF($B$1+49&lt;=$B63,12*$B$7,-12*$B$6*(1+$B$4)^49))*IF(AY63+IF($B$1+49&lt;=$B63,12*$B$7,-12*$B$6*(1+$B$4)^49)&gt;0,1+$B$3,1))</f>
        <v/>
      </c>
      <c r="BA63">
        <f>IF($B$1+50&gt;90,AZ63,(AZ63+IF($B$1+50&lt;=$B63,12*$B$7,-12*$B$6*(1+$B$4)^50))*IF(AZ63+IF($B$1+50&lt;=$B63,12*$B$7,-12*$B$6*(1+$B$4)^50)&gt;0,1+$B$3,1))</f>
        <v/>
      </c>
      <c r="BB63">
        <f>IF($B$1+51&gt;90,BA63,(BA63+IF($B$1+51&lt;=$B63,12*$B$7,-12*$B$6*(1+$B$4)^51))*IF(BA63+IF($B$1+51&lt;=$B63,12*$B$7,-12*$B$6*(1+$B$4)^51)&gt;0,1+$B$3,1))</f>
        <v/>
      </c>
      <c r="BC63">
        <f>IF($B$1+52&gt;90,BB63,(BB63+IF($B$1+52&lt;=$B63,12*$B$7,-12*$B$6*(1+$B$4)^52))*IF(BB63+IF($B$1+52&lt;=$B63,12*$B$7,-12*$B$6*(1+$B$4)^52)&gt;0,1+$B$3,1))</f>
        <v/>
      </c>
      <c r="BD63">
        <f>IF($B$1+53&gt;90,BC63,(BC63+IF($B$1+53&lt;=$B63,12*$B$7,-12*$B$6*(1+$B$4)^53))*IF(BC63+IF($B$1+53&lt;=$B63,12*$B$7,-12*$B$6*(1+$B$4)^53)&gt;0,1+$B$3,1))</f>
        <v/>
      </c>
      <c r="BE63">
        <f>IF($B$1+54&gt;90,BD63,(BD63+IF($B$1+54&lt;=$B63,12*$B$7,-12*$B$6*(1+$B$4)^54))*IF(BD63+IF($B$1+54&lt;=$B63,12*$B$7,-12*$B$6*(1+$B$4)^54)&gt;0,1+$B$3,1))</f>
        <v/>
      </c>
      <c r="BF63">
        <f>IF($B$1+55&gt;90,BE63,(BE63+IF($B$1+55&lt;=$B63,12*$B$7,-12*$B$6*(1+$B$4)^55))*IF(BE63+IF($B$1+55&lt;=$B63,12*$B$7,-12*$B$6*(1+$B$4)^55)&gt;0,1+$B$3,1))</f>
        <v/>
      </c>
      <c r="BG63">
        <f>IF($B$1+56&gt;90,BF63,(BF63+IF($B$1+56&lt;=$B63,12*$B$7,-12*$B$6*(1+$B$4)^56))*IF(BF63+IF($B$1+56&lt;=$B63,12*$B$7,-12*$B$6*(1+$B$4)^56)&gt;0,1+$B$3,1))</f>
        <v/>
      </c>
      <c r="BH63">
        <f>IF($B$1+57&gt;90,BG63,(BG63+IF($B$1+57&lt;=$B63,12*$B$7,-12*$B$6*(1+$B$4)^57))*IF(BG63+IF($B$1+57&lt;=$B63,12*$B$7,-12*$B$6*(1+$B$4)^57)&gt;0,1+$B$3,1))</f>
        <v/>
      </c>
      <c r="BI63">
        <f>IF($B$1+58&gt;90,BH63,(BH63+IF($B$1+58&lt;=$B63,12*$B$7,-12*$B$6*(1+$B$4)^58))*IF(BH63+IF($B$1+58&lt;=$B63,12*$B$7,-12*$B$6*(1+$B$4)^58)&gt;0,1+$B$3,1))</f>
        <v/>
      </c>
      <c r="BJ63">
        <f>IF($B$1+59&gt;90,BI63,(BI63+IF($B$1+59&lt;=$B63,12*$B$7,-12*$B$6*(1+$B$4)^59))*IF(BI63+IF($B$1+59&lt;=$B63,12*$B$7,-12*$B$6*(1+$B$4)^59)&gt;0,1+$B$3,1))</f>
        <v/>
      </c>
      <c r="BK63">
        <f>IF($B$1+60&gt;90,BJ63,(BJ63+IF($B$1+60&lt;=$B63,12*$B$7,-12*$B$6*(1+$B$4)^60))*IF(BJ63+IF($B$1+60&lt;=$B63,12*$B$7,-12*$B$6*(1+$B$4)^60)&gt;0,1+$B$3,1))</f>
        <v/>
      </c>
      <c r="BL63">
        <f>IF($B$1+61&gt;90,BK63,(BK63+IF($B$1+61&lt;=$B63,12*$B$7,-12*$B$6*(1+$B$4)^61))*IF(BK63+IF($B$1+61&lt;=$B63,12*$B$7,-12*$B$6*(1+$B$4)^61)&gt;0,1+$B$3,1))</f>
        <v/>
      </c>
      <c r="BM63">
        <f>IF($B$1+62&gt;90,BL63,(BL63+IF($B$1+62&lt;=$B63,12*$B$7,-12*$B$6*(1+$B$4)^62))*IF(BL63+IF($B$1+62&lt;=$B63,12*$B$7,-12*$B$6*(1+$B$4)^62)&gt;0,1+$B$3,1))</f>
        <v/>
      </c>
      <c r="BN63">
        <f>IF($B$1+63&gt;90,BM63,(BM63+IF($B$1+63&lt;=$B63,12*$B$7,-12*$B$6*(1+$B$4)^63))*IF(BM63+IF($B$1+63&lt;=$B63,12*$B$7,-12*$B$6*(1+$B$4)^63)&gt;0,1+$B$3,1))</f>
        <v/>
      </c>
      <c r="BO63">
        <f>IF($B$1+64&gt;90,BN63,(BN63+IF($B$1+64&lt;=$B63,12*$B$7,-12*$B$6*(1+$B$4)^64))*IF(BN63+IF($B$1+64&lt;=$B63,12*$B$7,-12*$B$6*(1+$B$4)^64)&gt;0,1+$B$3,1))</f>
        <v/>
      </c>
      <c r="BP63">
        <f>IF($B$1+65&gt;90,BO63,(BO63+IF($B$1+65&lt;=$B63,12*$B$7,-12*$B$6*(1+$B$4)^65))*IF(BO63+IF($B$1+65&lt;=$B63,12*$B$7,-12*$B$6*(1+$B$4)^65)&gt;0,1+$B$3,1))</f>
        <v/>
      </c>
      <c r="BQ63">
        <f>IF($B$1+66&gt;90,BP63,(BP63+IF($B$1+66&lt;=$B63,12*$B$7,-12*$B$6*(1+$B$4)^66))*IF(BP63+IF($B$1+66&lt;=$B63,12*$B$7,-12*$B$6*(1+$B$4)^66)&gt;0,1+$B$3,1))</f>
        <v/>
      </c>
      <c r="BR63">
        <f>IF($B$1+67&gt;90,BQ63,(BQ63+IF($B$1+67&lt;=$B63,12*$B$7,-12*$B$6*(1+$B$4)^67))*IF(BQ63+IF($B$1+67&lt;=$B63,12*$B$7,-12*$B$6*(1+$B$4)^67)&gt;0,1+$B$3,1))</f>
        <v/>
      </c>
      <c r="BS63">
        <f>IF($B$1+68&gt;90,BR63,(BR63+IF($B$1+68&lt;=$B63,12*$B$7,-12*$B$6*(1+$B$4)^68))*IF(BR63+IF($B$1+68&lt;=$B63,12*$B$7,-12*$B$6*(1+$B$4)^68)&gt;0,1+$B$3,1))</f>
        <v/>
      </c>
      <c r="BT63">
        <f>IF($B$1+69&gt;90,BS63,(BS63+IF($B$1+69&lt;=$B63,12*$B$7,-12*$B$6*(1+$B$4)^69))*IF(BS63+IF($B$1+69&lt;=$B63,12*$B$7,-12*$B$6*(1+$B$4)^69)&gt;0,1+$B$3,1))</f>
        <v/>
      </c>
      <c r="BU63">
        <f>IF($B$1+70&gt;90,BT63,(BT63+IF($B$1+70&lt;=$B63,12*$B$7,-12*$B$6*(1+$B$4)^70))*IF(BT63+IF($B$1+70&lt;=$B63,12*$B$7,-12*$B$6*(1+$B$4)^70)&gt;0,1+$B$3,1))</f>
        <v/>
      </c>
      <c r="BV63">
        <f>BU63</f>
        <v/>
      </c>
      <c r="BW63">
        <f>IF(AND($B63&lt;=70,BV63&gt;0),$B63,999)</f>
        <v/>
      </c>
      <c r="CB63" t="n">
        <v>62</v>
      </c>
      <c r="CC63">
        <f>IF($B$1+CB63&gt;90,0,12*$B$6*(1+$B$4)^CB63/(1+$B$3)^(CB63-1))</f>
        <v/>
      </c>
      <c r="CE63">
        <f>IF($B$1+61&gt;90,NA(),$B$1+61)</f>
        <v/>
      </c>
      <c r="CF63">
        <f>IF(OR($B$21="",$B$1+61&gt;90),NA(),INDEX($C$40:$BU$90,$B$21-$B$1+1,62))</f>
        <v/>
      </c>
    </row>
    <row r="64">
      <c r="A64" t="n">
        <v>24</v>
      </c>
      <c r="B64">
        <f>$B$1+24</f>
        <v/>
      </c>
      <c r="C64">
        <f>$B$2</f>
        <v/>
      </c>
      <c r="D64">
        <f>IF($B$1+1&gt;90,C64,(C64+IF($B$1+1&lt;=$B64,12*$B$7,-12*$B$6*(1+$B$4)^1))*IF(C64+IF($B$1+1&lt;=$B64,12*$B$7,-12*$B$6*(1+$B$4)^1)&gt;0,1+$B$3,1))</f>
        <v/>
      </c>
      <c r="E64">
        <f>IF($B$1+2&gt;90,D64,(D64+IF($B$1+2&lt;=$B64,12*$B$7,-12*$B$6*(1+$B$4)^2))*IF(D64+IF($B$1+2&lt;=$B64,12*$B$7,-12*$B$6*(1+$B$4)^2)&gt;0,1+$B$3,1))</f>
        <v/>
      </c>
      <c r="F64">
        <f>IF($B$1+3&gt;90,E64,(E64+IF($B$1+3&lt;=$B64,12*$B$7,-12*$B$6*(1+$B$4)^3))*IF(E64+IF($B$1+3&lt;=$B64,12*$B$7,-12*$B$6*(1+$B$4)^3)&gt;0,1+$B$3,1))</f>
        <v/>
      </c>
      <c r="G64">
        <f>IF($B$1+4&gt;90,F64,(F64+IF($B$1+4&lt;=$B64,12*$B$7,-12*$B$6*(1+$B$4)^4))*IF(F64+IF($B$1+4&lt;=$B64,12*$B$7,-12*$B$6*(1+$B$4)^4)&gt;0,1+$B$3,1))</f>
        <v/>
      </c>
      <c r="H64">
        <f>IF($B$1+5&gt;90,G64,(G64+IF($B$1+5&lt;=$B64,12*$B$7,-12*$B$6*(1+$B$4)^5))*IF(G64+IF($B$1+5&lt;=$B64,12*$B$7,-12*$B$6*(1+$B$4)^5)&gt;0,1+$B$3,1))</f>
        <v/>
      </c>
      <c r="I64">
        <f>IF($B$1+6&gt;90,H64,(H64+IF($B$1+6&lt;=$B64,12*$B$7,-12*$B$6*(1+$B$4)^6))*IF(H64+IF($B$1+6&lt;=$B64,12*$B$7,-12*$B$6*(1+$B$4)^6)&gt;0,1+$B$3,1))</f>
        <v/>
      </c>
      <c r="J64">
        <f>IF($B$1+7&gt;90,I64,(I64+IF($B$1+7&lt;=$B64,12*$B$7,-12*$B$6*(1+$B$4)^7))*IF(I64+IF($B$1+7&lt;=$B64,12*$B$7,-12*$B$6*(1+$B$4)^7)&gt;0,1+$B$3,1))</f>
        <v/>
      </c>
      <c r="K64">
        <f>IF($B$1+8&gt;90,J64,(J64+IF($B$1+8&lt;=$B64,12*$B$7,-12*$B$6*(1+$B$4)^8))*IF(J64+IF($B$1+8&lt;=$B64,12*$B$7,-12*$B$6*(1+$B$4)^8)&gt;0,1+$B$3,1))</f>
        <v/>
      </c>
      <c r="L64">
        <f>IF($B$1+9&gt;90,K64,(K64+IF($B$1+9&lt;=$B64,12*$B$7,-12*$B$6*(1+$B$4)^9))*IF(K64+IF($B$1+9&lt;=$B64,12*$B$7,-12*$B$6*(1+$B$4)^9)&gt;0,1+$B$3,1))</f>
        <v/>
      </c>
      <c r="M64">
        <f>IF($B$1+10&gt;90,L64,(L64+IF($B$1+10&lt;=$B64,12*$B$7,-12*$B$6*(1+$B$4)^10))*IF(L64+IF($B$1+10&lt;=$B64,12*$B$7,-12*$B$6*(1+$B$4)^10)&gt;0,1+$B$3,1))</f>
        <v/>
      </c>
      <c r="N64">
        <f>IF($B$1+11&gt;90,M64,(M64+IF($B$1+11&lt;=$B64,12*$B$7,-12*$B$6*(1+$B$4)^11))*IF(M64+IF($B$1+11&lt;=$B64,12*$B$7,-12*$B$6*(1+$B$4)^11)&gt;0,1+$B$3,1))</f>
        <v/>
      </c>
      <c r="O64">
        <f>IF($B$1+12&gt;90,N64,(N64+IF($B$1+12&lt;=$B64,12*$B$7,-12*$B$6*(1+$B$4)^12))*IF(N64+IF($B$1+12&lt;=$B64,12*$B$7,-12*$B$6*(1+$B$4)^12)&gt;0,1+$B$3,1))</f>
        <v/>
      </c>
      <c r="P64">
        <f>IF($B$1+13&gt;90,O64,(O64+IF($B$1+13&lt;=$B64,12*$B$7,-12*$B$6*(1+$B$4)^13))*IF(O64+IF($B$1+13&lt;=$B64,12*$B$7,-12*$B$6*(1+$B$4)^13)&gt;0,1+$B$3,1))</f>
        <v/>
      </c>
      <c r="Q64">
        <f>IF($B$1+14&gt;90,P64,(P64+IF($B$1+14&lt;=$B64,12*$B$7,-12*$B$6*(1+$B$4)^14))*IF(P64+IF($B$1+14&lt;=$B64,12*$B$7,-12*$B$6*(1+$B$4)^14)&gt;0,1+$B$3,1))</f>
        <v/>
      </c>
      <c r="R64">
        <f>IF($B$1+15&gt;90,Q64,(Q64+IF($B$1+15&lt;=$B64,12*$B$7,-12*$B$6*(1+$B$4)^15))*IF(Q64+IF($B$1+15&lt;=$B64,12*$B$7,-12*$B$6*(1+$B$4)^15)&gt;0,1+$B$3,1))</f>
        <v/>
      </c>
      <c r="S64">
        <f>IF($B$1+16&gt;90,R64,(R64+IF($B$1+16&lt;=$B64,12*$B$7,-12*$B$6*(1+$B$4)^16))*IF(R64+IF($B$1+16&lt;=$B64,12*$B$7,-12*$B$6*(1+$B$4)^16)&gt;0,1+$B$3,1))</f>
        <v/>
      </c>
      <c r="T64">
        <f>IF($B$1+17&gt;90,S64,(S64+IF($B$1+17&lt;=$B64,12*$B$7,-12*$B$6*(1+$B$4)^17))*IF(S64+IF($B$1+17&lt;=$B64,12*$B$7,-12*$B$6*(1+$B$4)^17)&gt;0,1+$B$3,1))</f>
        <v/>
      </c>
      <c r="U64">
        <f>IF($B$1+18&gt;90,T64,(T64+IF($B$1+18&lt;=$B64,12*$B$7,-12*$B$6*(1+$B$4)^18))*IF(T64+IF($B$1+18&lt;=$B64,12*$B$7,-12*$B$6*(1+$B$4)^18)&gt;0,1+$B$3,1))</f>
        <v/>
      </c>
      <c r="V64">
        <f>IF($B$1+19&gt;90,U64,(U64+IF($B$1+19&lt;=$B64,12*$B$7,-12*$B$6*(1+$B$4)^19))*IF(U64+IF($B$1+19&lt;=$B64,12*$B$7,-12*$B$6*(1+$B$4)^19)&gt;0,1+$B$3,1))</f>
        <v/>
      </c>
      <c r="W64">
        <f>IF($B$1+20&gt;90,V64,(V64+IF($B$1+20&lt;=$B64,12*$B$7,-12*$B$6*(1+$B$4)^20))*IF(V64+IF($B$1+20&lt;=$B64,12*$B$7,-12*$B$6*(1+$B$4)^20)&gt;0,1+$B$3,1))</f>
        <v/>
      </c>
      <c r="X64">
        <f>IF($B$1+21&gt;90,W64,(W64+IF($B$1+21&lt;=$B64,12*$B$7,-12*$B$6*(1+$B$4)^21))*IF(W64+IF($B$1+21&lt;=$B64,12*$B$7,-12*$B$6*(1+$B$4)^21)&gt;0,1+$B$3,1))</f>
        <v/>
      </c>
      <c r="Y64">
        <f>IF($B$1+22&gt;90,X64,(X64+IF($B$1+22&lt;=$B64,12*$B$7,-12*$B$6*(1+$B$4)^22))*IF(X64+IF($B$1+22&lt;=$B64,12*$B$7,-12*$B$6*(1+$B$4)^22)&gt;0,1+$B$3,1))</f>
        <v/>
      </c>
      <c r="Z64">
        <f>IF($B$1+23&gt;90,Y64,(Y64+IF($B$1+23&lt;=$B64,12*$B$7,-12*$B$6*(1+$B$4)^23))*IF(Y64+IF($B$1+23&lt;=$B64,12*$B$7,-12*$B$6*(1+$B$4)^23)&gt;0,1+$B$3,1))</f>
        <v/>
      </c>
      <c r="AA64">
        <f>IF($B$1+24&gt;90,Z64,(Z64+IF($B$1+24&lt;=$B64,12*$B$7,-12*$B$6*(1+$B$4)^24))*IF(Z64+IF($B$1+24&lt;=$B64,12*$B$7,-12*$B$6*(1+$B$4)^24)&gt;0,1+$B$3,1))</f>
        <v/>
      </c>
      <c r="AB64">
        <f>IF($B$1+25&gt;90,AA64,(AA64+IF($B$1+25&lt;=$B64,12*$B$7,-12*$B$6*(1+$B$4)^25))*IF(AA64+IF($B$1+25&lt;=$B64,12*$B$7,-12*$B$6*(1+$B$4)^25)&gt;0,1+$B$3,1))</f>
        <v/>
      </c>
      <c r="AC64">
        <f>IF($B$1+26&gt;90,AB64,(AB64+IF($B$1+26&lt;=$B64,12*$B$7,-12*$B$6*(1+$B$4)^26))*IF(AB64+IF($B$1+26&lt;=$B64,12*$B$7,-12*$B$6*(1+$B$4)^26)&gt;0,1+$B$3,1))</f>
        <v/>
      </c>
      <c r="AD64">
        <f>IF($B$1+27&gt;90,AC64,(AC64+IF($B$1+27&lt;=$B64,12*$B$7,-12*$B$6*(1+$B$4)^27))*IF(AC64+IF($B$1+27&lt;=$B64,12*$B$7,-12*$B$6*(1+$B$4)^27)&gt;0,1+$B$3,1))</f>
        <v/>
      </c>
      <c r="AE64">
        <f>IF($B$1+28&gt;90,AD64,(AD64+IF($B$1+28&lt;=$B64,12*$B$7,-12*$B$6*(1+$B$4)^28))*IF(AD64+IF($B$1+28&lt;=$B64,12*$B$7,-12*$B$6*(1+$B$4)^28)&gt;0,1+$B$3,1))</f>
        <v/>
      </c>
      <c r="AF64">
        <f>IF($B$1+29&gt;90,AE64,(AE64+IF($B$1+29&lt;=$B64,12*$B$7,-12*$B$6*(1+$B$4)^29))*IF(AE64+IF($B$1+29&lt;=$B64,12*$B$7,-12*$B$6*(1+$B$4)^29)&gt;0,1+$B$3,1))</f>
        <v/>
      </c>
      <c r="AG64">
        <f>IF($B$1+30&gt;90,AF64,(AF64+IF($B$1+30&lt;=$B64,12*$B$7,-12*$B$6*(1+$B$4)^30))*IF(AF64+IF($B$1+30&lt;=$B64,12*$B$7,-12*$B$6*(1+$B$4)^30)&gt;0,1+$B$3,1))</f>
        <v/>
      </c>
      <c r="AH64">
        <f>IF($B$1+31&gt;90,AG64,(AG64+IF($B$1+31&lt;=$B64,12*$B$7,-12*$B$6*(1+$B$4)^31))*IF(AG64+IF($B$1+31&lt;=$B64,12*$B$7,-12*$B$6*(1+$B$4)^31)&gt;0,1+$B$3,1))</f>
        <v/>
      </c>
      <c r="AI64">
        <f>IF($B$1+32&gt;90,AH64,(AH64+IF($B$1+32&lt;=$B64,12*$B$7,-12*$B$6*(1+$B$4)^32))*IF(AH64+IF($B$1+32&lt;=$B64,12*$B$7,-12*$B$6*(1+$B$4)^32)&gt;0,1+$B$3,1))</f>
        <v/>
      </c>
      <c r="AJ64">
        <f>IF($B$1+33&gt;90,AI64,(AI64+IF($B$1+33&lt;=$B64,12*$B$7,-12*$B$6*(1+$B$4)^33))*IF(AI64+IF($B$1+33&lt;=$B64,12*$B$7,-12*$B$6*(1+$B$4)^33)&gt;0,1+$B$3,1))</f>
        <v/>
      </c>
      <c r="AK64">
        <f>IF($B$1+34&gt;90,AJ64,(AJ64+IF($B$1+34&lt;=$B64,12*$B$7,-12*$B$6*(1+$B$4)^34))*IF(AJ64+IF($B$1+34&lt;=$B64,12*$B$7,-12*$B$6*(1+$B$4)^34)&gt;0,1+$B$3,1))</f>
        <v/>
      </c>
      <c r="AL64">
        <f>IF($B$1+35&gt;90,AK64,(AK64+IF($B$1+35&lt;=$B64,12*$B$7,-12*$B$6*(1+$B$4)^35))*IF(AK64+IF($B$1+35&lt;=$B64,12*$B$7,-12*$B$6*(1+$B$4)^35)&gt;0,1+$B$3,1))</f>
        <v/>
      </c>
      <c r="AM64">
        <f>IF($B$1+36&gt;90,AL64,(AL64+IF($B$1+36&lt;=$B64,12*$B$7,-12*$B$6*(1+$B$4)^36))*IF(AL64+IF($B$1+36&lt;=$B64,12*$B$7,-12*$B$6*(1+$B$4)^36)&gt;0,1+$B$3,1))</f>
        <v/>
      </c>
      <c r="AN64">
        <f>IF($B$1+37&gt;90,AM64,(AM64+IF($B$1+37&lt;=$B64,12*$B$7,-12*$B$6*(1+$B$4)^37))*IF(AM64+IF($B$1+37&lt;=$B64,12*$B$7,-12*$B$6*(1+$B$4)^37)&gt;0,1+$B$3,1))</f>
        <v/>
      </c>
      <c r="AO64">
        <f>IF($B$1+38&gt;90,AN64,(AN64+IF($B$1+38&lt;=$B64,12*$B$7,-12*$B$6*(1+$B$4)^38))*IF(AN64+IF($B$1+38&lt;=$B64,12*$B$7,-12*$B$6*(1+$B$4)^38)&gt;0,1+$B$3,1))</f>
        <v/>
      </c>
      <c r="AP64">
        <f>IF($B$1+39&gt;90,AO64,(AO64+IF($B$1+39&lt;=$B64,12*$B$7,-12*$B$6*(1+$B$4)^39))*IF(AO64+IF($B$1+39&lt;=$B64,12*$B$7,-12*$B$6*(1+$B$4)^39)&gt;0,1+$B$3,1))</f>
        <v/>
      </c>
      <c r="AQ64">
        <f>IF($B$1+40&gt;90,AP64,(AP64+IF($B$1+40&lt;=$B64,12*$B$7,-12*$B$6*(1+$B$4)^40))*IF(AP64+IF($B$1+40&lt;=$B64,12*$B$7,-12*$B$6*(1+$B$4)^40)&gt;0,1+$B$3,1))</f>
        <v/>
      </c>
      <c r="AR64">
        <f>IF($B$1+41&gt;90,AQ64,(AQ64+IF($B$1+41&lt;=$B64,12*$B$7,-12*$B$6*(1+$B$4)^41))*IF(AQ64+IF($B$1+41&lt;=$B64,12*$B$7,-12*$B$6*(1+$B$4)^41)&gt;0,1+$B$3,1))</f>
        <v/>
      </c>
      <c r="AS64">
        <f>IF($B$1+42&gt;90,AR64,(AR64+IF($B$1+42&lt;=$B64,12*$B$7,-12*$B$6*(1+$B$4)^42))*IF(AR64+IF($B$1+42&lt;=$B64,12*$B$7,-12*$B$6*(1+$B$4)^42)&gt;0,1+$B$3,1))</f>
        <v/>
      </c>
      <c r="AT64">
        <f>IF($B$1+43&gt;90,AS64,(AS64+IF($B$1+43&lt;=$B64,12*$B$7,-12*$B$6*(1+$B$4)^43))*IF(AS64+IF($B$1+43&lt;=$B64,12*$B$7,-12*$B$6*(1+$B$4)^43)&gt;0,1+$B$3,1))</f>
        <v/>
      </c>
      <c r="AU64">
        <f>IF($B$1+44&gt;90,AT64,(AT64+IF($B$1+44&lt;=$B64,12*$B$7,-12*$B$6*(1+$B$4)^44))*IF(AT64+IF($B$1+44&lt;=$B64,12*$B$7,-12*$B$6*(1+$B$4)^44)&gt;0,1+$B$3,1))</f>
        <v/>
      </c>
      <c r="AV64">
        <f>IF($B$1+45&gt;90,AU64,(AU64+IF($B$1+45&lt;=$B64,12*$B$7,-12*$B$6*(1+$B$4)^45))*IF(AU64+IF($B$1+45&lt;=$B64,12*$B$7,-12*$B$6*(1+$B$4)^45)&gt;0,1+$B$3,1))</f>
        <v/>
      </c>
      <c r="AW64">
        <f>IF($B$1+46&gt;90,AV64,(AV64+IF($B$1+46&lt;=$B64,12*$B$7,-12*$B$6*(1+$B$4)^46))*IF(AV64+IF($B$1+46&lt;=$B64,12*$B$7,-12*$B$6*(1+$B$4)^46)&gt;0,1+$B$3,1))</f>
        <v/>
      </c>
      <c r="AX64">
        <f>IF($B$1+47&gt;90,AW64,(AW64+IF($B$1+47&lt;=$B64,12*$B$7,-12*$B$6*(1+$B$4)^47))*IF(AW64+IF($B$1+47&lt;=$B64,12*$B$7,-12*$B$6*(1+$B$4)^47)&gt;0,1+$B$3,1))</f>
        <v/>
      </c>
      <c r="AY64">
        <f>IF($B$1+48&gt;90,AX64,(AX64+IF($B$1+48&lt;=$B64,12*$B$7,-12*$B$6*(1+$B$4)^48))*IF(AX64+IF($B$1+48&lt;=$B64,12*$B$7,-12*$B$6*(1+$B$4)^48)&gt;0,1+$B$3,1))</f>
        <v/>
      </c>
      <c r="AZ64">
        <f>IF($B$1+49&gt;90,AY64,(AY64+IF($B$1+49&lt;=$B64,12*$B$7,-12*$B$6*(1+$B$4)^49))*IF(AY64+IF($B$1+49&lt;=$B64,12*$B$7,-12*$B$6*(1+$B$4)^49)&gt;0,1+$B$3,1))</f>
        <v/>
      </c>
      <c r="BA64">
        <f>IF($B$1+50&gt;90,AZ64,(AZ64+IF($B$1+50&lt;=$B64,12*$B$7,-12*$B$6*(1+$B$4)^50))*IF(AZ64+IF($B$1+50&lt;=$B64,12*$B$7,-12*$B$6*(1+$B$4)^50)&gt;0,1+$B$3,1))</f>
        <v/>
      </c>
      <c r="BB64">
        <f>IF($B$1+51&gt;90,BA64,(BA64+IF($B$1+51&lt;=$B64,12*$B$7,-12*$B$6*(1+$B$4)^51))*IF(BA64+IF($B$1+51&lt;=$B64,12*$B$7,-12*$B$6*(1+$B$4)^51)&gt;0,1+$B$3,1))</f>
        <v/>
      </c>
      <c r="BC64">
        <f>IF($B$1+52&gt;90,BB64,(BB64+IF($B$1+52&lt;=$B64,12*$B$7,-12*$B$6*(1+$B$4)^52))*IF(BB64+IF($B$1+52&lt;=$B64,12*$B$7,-12*$B$6*(1+$B$4)^52)&gt;0,1+$B$3,1))</f>
        <v/>
      </c>
      <c r="BD64">
        <f>IF($B$1+53&gt;90,BC64,(BC64+IF($B$1+53&lt;=$B64,12*$B$7,-12*$B$6*(1+$B$4)^53))*IF(BC64+IF($B$1+53&lt;=$B64,12*$B$7,-12*$B$6*(1+$B$4)^53)&gt;0,1+$B$3,1))</f>
        <v/>
      </c>
      <c r="BE64">
        <f>IF($B$1+54&gt;90,BD64,(BD64+IF($B$1+54&lt;=$B64,12*$B$7,-12*$B$6*(1+$B$4)^54))*IF(BD64+IF($B$1+54&lt;=$B64,12*$B$7,-12*$B$6*(1+$B$4)^54)&gt;0,1+$B$3,1))</f>
        <v/>
      </c>
      <c r="BF64">
        <f>IF($B$1+55&gt;90,BE64,(BE64+IF($B$1+55&lt;=$B64,12*$B$7,-12*$B$6*(1+$B$4)^55))*IF(BE64+IF($B$1+55&lt;=$B64,12*$B$7,-12*$B$6*(1+$B$4)^55)&gt;0,1+$B$3,1))</f>
        <v/>
      </c>
      <c r="BG64">
        <f>IF($B$1+56&gt;90,BF64,(BF64+IF($B$1+56&lt;=$B64,12*$B$7,-12*$B$6*(1+$B$4)^56))*IF(BF64+IF($B$1+56&lt;=$B64,12*$B$7,-12*$B$6*(1+$B$4)^56)&gt;0,1+$B$3,1))</f>
        <v/>
      </c>
      <c r="BH64">
        <f>IF($B$1+57&gt;90,BG64,(BG64+IF($B$1+57&lt;=$B64,12*$B$7,-12*$B$6*(1+$B$4)^57))*IF(BG64+IF($B$1+57&lt;=$B64,12*$B$7,-12*$B$6*(1+$B$4)^57)&gt;0,1+$B$3,1))</f>
        <v/>
      </c>
      <c r="BI64">
        <f>IF($B$1+58&gt;90,BH64,(BH64+IF($B$1+58&lt;=$B64,12*$B$7,-12*$B$6*(1+$B$4)^58))*IF(BH64+IF($B$1+58&lt;=$B64,12*$B$7,-12*$B$6*(1+$B$4)^58)&gt;0,1+$B$3,1))</f>
        <v/>
      </c>
      <c r="BJ64">
        <f>IF($B$1+59&gt;90,BI64,(BI64+IF($B$1+59&lt;=$B64,12*$B$7,-12*$B$6*(1+$B$4)^59))*IF(BI64+IF($B$1+59&lt;=$B64,12*$B$7,-12*$B$6*(1+$B$4)^59)&gt;0,1+$B$3,1))</f>
        <v/>
      </c>
      <c r="BK64">
        <f>IF($B$1+60&gt;90,BJ64,(BJ64+IF($B$1+60&lt;=$B64,12*$B$7,-12*$B$6*(1+$B$4)^60))*IF(BJ64+IF($B$1+60&lt;=$B64,12*$B$7,-12*$B$6*(1+$B$4)^60)&gt;0,1+$B$3,1))</f>
        <v/>
      </c>
      <c r="BL64">
        <f>IF($B$1+61&gt;90,BK64,(BK64+IF($B$1+61&lt;=$B64,12*$B$7,-12*$B$6*(1+$B$4)^61))*IF(BK64+IF($B$1+61&lt;=$B64,12*$B$7,-12*$B$6*(1+$B$4)^61)&gt;0,1+$B$3,1))</f>
        <v/>
      </c>
      <c r="BM64">
        <f>IF($B$1+62&gt;90,BL64,(BL64+IF($B$1+62&lt;=$B64,12*$B$7,-12*$B$6*(1+$B$4)^62))*IF(BL64+IF($B$1+62&lt;=$B64,12*$B$7,-12*$B$6*(1+$B$4)^62)&gt;0,1+$B$3,1))</f>
        <v/>
      </c>
      <c r="BN64">
        <f>IF($B$1+63&gt;90,BM64,(BM64+IF($B$1+63&lt;=$B64,12*$B$7,-12*$B$6*(1+$B$4)^63))*IF(BM64+IF($B$1+63&lt;=$B64,12*$B$7,-12*$B$6*(1+$B$4)^63)&gt;0,1+$B$3,1))</f>
        <v/>
      </c>
      <c r="BO64">
        <f>IF($B$1+64&gt;90,BN64,(BN64+IF($B$1+64&lt;=$B64,12*$B$7,-12*$B$6*(1+$B$4)^64))*IF(BN64+IF($B$1+64&lt;=$B64,12*$B$7,-12*$B$6*(1+$B$4)^64)&gt;0,1+$B$3,1))</f>
        <v/>
      </c>
      <c r="BP64">
        <f>IF($B$1+65&gt;90,BO64,(BO64+IF($B$1+65&lt;=$B64,12*$B$7,-12*$B$6*(1+$B$4)^65))*IF(BO64+IF($B$1+65&lt;=$B64,12*$B$7,-12*$B$6*(1+$B$4)^65)&gt;0,1+$B$3,1))</f>
        <v/>
      </c>
      <c r="BQ64">
        <f>IF($B$1+66&gt;90,BP64,(BP64+IF($B$1+66&lt;=$B64,12*$B$7,-12*$B$6*(1+$B$4)^66))*IF(BP64+IF($B$1+66&lt;=$B64,12*$B$7,-12*$B$6*(1+$B$4)^66)&gt;0,1+$B$3,1))</f>
        <v/>
      </c>
      <c r="BR64">
        <f>IF($B$1+67&gt;90,BQ64,(BQ64+IF($B$1+67&lt;=$B64,12*$B$7,-12*$B$6*(1+$B$4)^67))*IF(BQ64+IF($B$1+67&lt;=$B64,12*$B$7,-12*$B$6*(1+$B$4)^67)&gt;0,1+$B$3,1))</f>
        <v/>
      </c>
      <c r="BS64">
        <f>IF($B$1+68&gt;90,BR64,(BR64+IF($B$1+68&lt;=$B64,12*$B$7,-12*$B$6*(1+$B$4)^68))*IF(BR64+IF($B$1+68&lt;=$B64,12*$B$7,-12*$B$6*(1+$B$4)^68)&gt;0,1+$B$3,1))</f>
        <v/>
      </c>
      <c r="BT64">
        <f>IF($B$1+69&gt;90,BS64,(BS64+IF($B$1+69&lt;=$B64,12*$B$7,-12*$B$6*(1+$B$4)^69))*IF(BS64+IF($B$1+69&lt;=$B64,12*$B$7,-12*$B$6*(1+$B$4)^69)&gt;0,1+$B$3,1))</f>
        <v/>
      </c>
      <c r="BU64">
        <f>IF($B$1+70&gt;90,BT64,(BT64+IF($B$1+70&lt;=$B64,12*$B$7,-12*$B$6*(1+$B$4)^70))*IF(BT64+IF($B$1+70&lt;=$B64,12*$B$7,-12*$B$6*(1+$B$4)^70)&gt;0,1+$B$3,1))</f>
        <v/>
      </c>
      <c r="BV64">
        <f>BU64</f>
        <v/>
      </c>
      <c r="BW64">
        <f>IF(AND($B64&lt;=70,BV64&gt;0),$B64,999)</f>
        <v/>
      </c>
      <c r="CB64" t="n">
        <v>63</v>
      </c>
      <c r="CC64">
        <f>IF($B$1+CB64&gt;90,0,12*$B$6*(1+$B$4)^CB64/(1+$B$3)^(CB64-1))</f>
        <v/>
      </c>
      <c r="CE64">
        <f>IF($B$1+62&gt;90,NA(),$B$1+62)</f>
        <v/>
      </c>
      <c r="CF64">
        <f>IF(OR($B$21="",$B$1+62&gt;90),NA(),INDEX($C$40:$BU$90,$B$21-$B$1+1,63))</f>
        <v/>
      </c>
    </row>
    <row r="65">
      <c r="A65" t="n">
        <v>25</v>
      </c>
      <c r="B65">
        <f>$B$1+25</f>
        <v/>
      </c>
      <c r="C65">
        <f>$B$2</f>
        <v/>
      </c>
      <c r="D65">
        <f>IF($B$1+1&gt;90,C65,(C65+IF($B$1+1&lt;=$B65,12*$B$7,-12*$B$6*(1+$B$4)^1))*IF(C65+IF($B$1+1&lt;=$B65,12*$B$7,-12*$B$6*(1+$B$4)^1)&gt;0,1+$B$3,1))</f>
        <v/>
      </c>
      <c r="E65">
        <f>IF($B$1+2&gt;90,D65,(D65+IF($B$1+2&lt;=$B65,12*$B$7,-12*$B$6*(1+$B$4)^2))*IF(D65+IF($B$1+2&lt;=$B65,12*$B$7,-12*$B$6*(1+$B$4)^2)&gt;0,1+$B$3,1))</f>
        <v/>
      </c>
      <c r="F65">
        <f>IF($B$1+3&gt;90,E65,(E65+IF($B$1+3&lt;=$B65,12*$B$7,-12*$B$6*(1+$B$4)^3))*IF(E65+IF($B$1+3&lt;=$B65,12*$B$7,-12*$B$6*(1+$B$4)^3)&gt;0,1+$B$3,1))</f>
        <v/>
      </c>
      <c r="G65">
        <f>IF($B$1+4&gt;90,F65,(F65+IF($B$1+4&lt;=$B65,12*$B$7,-12*$B$6*(1+$B$4)^4))*IF(F65+IF($B$1+4&lt;=$B65,12*$B$7,-12*$B$6*(1+$B$4)^4)&gt;0,1+$B$3,1))</f>
        <v/>
      </c>
      <c r="H65">
        <f>IF($B$1+5&gt;90,G65,(G65+IF($B$1+5&lt;=$B65,12*$B$7,-12*$B$6*(1+$B$4)^5))*IF(G65+IF($B$1+5&lt;=$B65,12*$B$7,-12*$B$6*(1+$B$4)^5)&gt;0,1+$B$3,1))</f>
        <v/>
      </c>
      <c r="I65">
        <f>IF($B$1+6&gt;90,H65,(H65+IF($B$1+6&lt;=$B65,12*$B$7,-12*$B$6*(1+$B$4)^6))*IF(H65+IF($B$1+6&lt;=$B65,12*$B$7,-12*$B$6*(1+$B$4)^6)&gt;0,1+$B$3,1))</f>
        <v/>
      </c>
      <c r="J65">
        <f>IF($B$1+7&gt;90,I65,(I65+IF($B$1+7&lt;=$B65,12*$B$7,-12*$B$6*(1+$B$4)^7))*IF(I65+IF($B$1+7&lt;=$B65,12*$B$7,-12*$B$6*(1+$B$4)^7)&gt;0,1+$B$3,1))</f>
        <v/>
      </c>
      <c r="K65">
        <f>IF($B$1+8&gt;90,J65,(J65+IF($B$1+8&lt;=$B65,12*$B$7,-12*$B$6*(1+$B$4)^8))*IF(J65+IF($B$1+8&lt;=$B65,12*$B$7,-12*$B$6*(1+$B$4)^8)&gt;0,1+$B$3,1))</f>
        <v/>
      </c>
      <c r="L65">
        <f>IF($B$1+9&gt;90,K65,(K65+IF($B$1+9&lt;=$B65,12*$B$7,-12*$B$6*(1+$B$4)^9))*IF(K65+IF($B$1+9&lt;=$B65,12*$B$7,-12*$B$6*(1+$B$4)^9)&gt;0,1+$B$3,1))</f>
        <v/>
      </c>
      <c r="M65">
        <f>IF($B$1+10&gt;90,L65,(L65+IF($B$1+10&lt;=$B65,12*$B$7,-12*$B$6*(1+$B$4)^10))*IF(L65+IF($B$1+10&lt;=$B65,12*$B$7,-12*$B$6*(1+$B$4)^10)&gt;0,1+$B$3,1))</f>
        <v/>
      </c>
      <c r="N65">
        <f>IF($B$1+11&gt;90,M65,(M65+IF($B$1+11&lt;=$B65,12*$B$7,-12*$B$6*(1+$B$4)^11))*IF(M65+IF($B$1+11&lt;=$B65,12*$B$7,-12*$B$6*(1+$B$4)^11)&gt;0,1+$B$3,1))</f>
        <v/>
      </c>
      <c r="O65">
        <f>IF($B$1+12&gt;90,N65,(N65+IF($B$1+12&lt;=$B65,12*$B$7,-12*$B$6*(1+$B$4)^12))*IF(N65+IF($B$1+12&lt;=$B65,12*$B$7,-12*$B$6*(1+$B$4)^12)&gt;0,1+$B$3,1))</f>
        <v/>
      </c>
      <c r="P65">
        <f>IF($B$1+13&gt;90,O65,(O65+IF($B$1+13&lt;=$B65,12*$B$7,-12*$B$6*(1+$B$4)^13))*IF(O65+IF($B$1+13&lt;=$B65,12*$B$7,-12*$B$6*(1+$B$4)^13)&gt;0,1+$B$3,1))</f>
        <v/>
      </c>
      <c r="Q65">
        <f>IF($B$1+14&gt;90,P65,(P65+IF($B$1+14&lt;=$B65,12*$B$7,-12*$B$6*(1+$B$4)^14))*IF(P65+IF($B$1+14&lt;=$B65,12*$B$7,-12*$B$6*(1+$B$4)^14)&gt;0,1+$B$3,1))</f>
        <v/>
      </c>
      <c r="R65">
        <f>IF($B$1+15&gt;90,Q65,(Q65+IF($B$1+15&lt;=$B65,12*$B$7,-12*$B$6*(1+$B$4)^15))*IF(Q65+IF($B$1+15&lt;=$B65,12*$B$7,-12*$B$6*(1+$B$4)^15)&gt;0,1+$B$3,1))</f>
        <v/>
      </c>
      <c r="S65">
        <f>IF($B$1+16&gt;90,R65,(R65+IF($B$1+16&lt;=$B65,12*$B$7,-12*$B$6*(1+$B$4)^16))*IF(R65+IF($B$1+16&lt;=$B65,12*$B$7,-12*$B$6*(1+$B$4)^16)&gt;0,1+$B$3,1))</f>
        <v/>
      </c>
      <c r="T65">
        <f>IF($B$1+17&gt;90,S65,(S65+IF($B$1+17&lt;=$B65,12*$B$7,-12*$B$6*(1+$B$4)^17))*IF(S65+IF($B$1+17&lt;=$B65,12*$B$7,-12*$B$6*(1+$B$4)^17)&gt;0,1+$B$3,1))</f>
        <v/>
      </c>
      <c r="U65">
        <f>IF($B$1+18&gt;90,T65,(T65+IF($B$1+18&lt;=$B65,12*$B$7,-12*$B$6*(1+$B$4)^18))*IF(T65+IF($B$1+18&lt;=$B65,12*$B$7,-12*$B$6*(1+$B$4)^18)&gt;0,1+$B$3,1))</f>
        <v/>
      </c>
      <c r="V65">
        <f>IF($B$1+19&gt;90,U65,(U65+IF($B$1+19&lt;=$B65,12*$B$7,-12*$B$6*(1+$B$4)^19))*IF(U65+IF($B$1+19&lt;=$B65,12*$B$7,-12*$B$6*(1+$B$4)^19)&gt;0,1+$B$3,1))</f>
        <v/>
      </c>
      <c r="W65">
        <f>IF($B$1+20&gt;90,V65,(V65+IF($B$1+20&lt;=$B65,12*$B$7,-12*$B$6*(1+$B$4)^20))*IF(V65+IF($B$1+20&lt;=$B65,12*$B$7,-12*$B$6*(1+$B$4)^20)&gt;0,1+$B$3,1))</f>
        <v/>
      </c>
      <c r="X65">
        <f>IF($B$1+21&gt;90,W65,(W65+IF($B$1+21&lt;=$B65,12*$B$7,-12*$B$6*(1+$B$4)^21))*IF(W65+IF($B$1+21&lt;=$B65,12*$B$7,-12*$B$6*(1+$B$4)^21)&gt;0,1+$B$3,1))</f>
        <v/>
      </c>
      <c r="Y65">
        <f>IF($B$1+22&gt;90,X65,(X65+IF($B$1+22&lt;=$B65,12*$B$7,-12*$B$6*(1+$B$4)^22))*IF(X65+IF($B$1+22&lt;=$B65,12*$B$7,-12*$B$6*(1+$B$4)^22)&gt;0,1+$B$3,1))</f>
        <v/>
      </c>
      <c r="Z65">
        <f>IF($B$1+23&gt;90,Y65,(Y65+IF($B$1+23&lt;=$B65,12*$B$7,-12*$B$6*(1+$B$4)^23))*IF(Y65+IF($B$1+23&lt;=$B65,12*$B$7,-12*$B$6*(1+$B$4)^23)&gt;0,1+$B$3,1))</f>
        <v/>
      </c>
      <c r="AA65">
        <f>IF($B$1+24&gt;90,Z65,(Z65+IF($B$1+24&lt;=$B65,12*$B$7,-12*$B$6*(1+$B$4)^24))*IF(Z65+IF($B$1+24&lt;=$B65,12*$B$7,-12*$B$6*(1+$B$4)^24)&gt;0,1+$B$3,1))</f>
        <v/>
      </c>
      <c r="AB65">
        <f>IF($B$1+25&gt;90,AA65,(AA65+IF($B$1+25&lt;=$B65,12*$B$7,-12*$B$6*(1+$B$4)^25))*IF(AA65+IF($B$1+25&lt;=$B65,12*$B$7,-12*$B$6*(1+$B$4)^25)&gt;0,1+$B$3,1))</f>
        <v/>
      </c>
      <c r="AC65">
        <f>IF($B$1+26&gt;90,AB65,(AB65+IF($B$1+26&lt;=$B65,12*$B$7,-12*$B$6*(1+$B$4)^26))*IF(AB65+IF($B$1+26&lt;=$B65,12*$B$7,-12*$B$6*(1+$B$4)^26)&gt;0,1+$B$3,1))</f>
        <v/>
      </c>
      <c r="AD65">
        <f>IF($B$1+27&gt;90,AC65,(AC65+IF($B$1+27&lt;=$B65,12*$B$7,-12*$B$6*(1+$B$4)^27))*IF(AC65+IF($B$1+27&lt;=$B65,12*$B$7,-12*$B$6*(1+$B$4)^27)&gt;0,1+$B$3,1))</f>
        <v/>
      </c>
      <c r="AE65">
        <f>IF($B$1+28&gt;90,AD65,(AD65+IF($B$1+28&lt;=$B65,12*$B$7,-12*$B$6*(1+$B$4)^28))*IF(AD65+IF($B$1+28&lt;=$B65,12*$B$7,-12*$B$6*(1+$B$4)^28)&gt;0,1+$B$3,1))</f>
        <v/>
      </c>
      <c r="AF65">
        <f>IF($B$1+29&gt;90,AE65,(AE65+IF($B$1+29&lt;=$B65,12*$B$7,-12*$B$6*(1+$B$4)^29))*IF(AE65+IF($B$1+29&lt;=$B65,12*$B$7,-12*$B$6*(1+$B$4)^29)&gt;0,1+$B$3,1))</f>
        <v/>
      </c>
      <c r="AG65">
        <f>IF($B$1+30&gt;90,AF65,(AF65+IF($B$1+30&lt;=$B65,12*$B$7,-12*$B$6*(1+$B$4)^30))*IF(AF65+IF($B$1+30&lt;=$B65,12*$B$7,-12*$B$6*(1+$B$4)^30)&gt;0,1+$B$3,1))</f>
        <v/>
      </c>
      <c r="AH65">
        <f>IF($B$1+31&gt;90,AG65,(AG65+IF($B$1+31&lt;=$B65,12*$B$7,-12*$B$6*(1+$B$4)^31))*IF(AG65+IF($B$1+31&lt;=$B65,12*$B$7,-12*$B$6*(1+$B$4)^31)&gt;0,1+$B$3,1))</f>
        <v/>
      </c>
      <c r="AI65">
        <f>IF($B$1+32&gt;90,AH65,(AH65+IF($B$1+32&lt;=$B65,12*$B$7,-12*$B$6*(1+$B$4)^32))*IF(AH65+IF($B$1+32&lt;=$B65,12*$B$7,-12*$B$6*(1+$B$4)^32)&gt;0,1+$B$3,1))</f>
        <v/>
      </c>
      <c r="AJ65">
        <f>IF($B$1+33&gt;90,AI65,(AI65+IF($B$1+33&lt;=$B65,12*$B$7,-12*$B$6*(1+$B$4)^33))*IF(AI65+IF($B$1+33&lt;=$B65,12*$B$7,-12*$B$6*(1+$B$4)^33)&gt;0,1+$B$3,1))</f>
        <v/>
      </c>
      <c r="AK65">
        <f>IF($B$1+34&gt;90,AJ65,(AJ65+IF($B$1+34&lt;=$B65,12*$B$7,-12*$B$6*(1+$B$4)^34))*IF(AJ65+IF($B$1+34&lt;=$B65,12*$B$7,-12*$B$6*(1+$B$4)^34)&gt;0,1+$B$3,1))</f>
        <v/>
      </c>
      <c r="AL65">
        <f>IF($B$1+35&gt;90,AK65,(AK65+IF($B$1+35&lt;=$B65,12*$B$7,-12*$B$6*(1+$B$4)^35))*IF(AK65+IF($B$1+35&lt;=$B65,12*$B$7,-12*$B$6*(1+$B$4)^35)&gt;0,1+$B$3,1))</f>
        <v/>
      </c>
      <c r="AM65">
        <f>IF($B$1+36&gt;90,AL65,(AL65+IF($B$1+36&lt;=$B65,12*$B$7,-12*$B$6*(1+$B$4)^36))*IF(AL65+IF($B$1+36&lt;=$B65,12*$B$7,-12*$B$6*(1+$B$4)^36)&gt;0,1+$B$3,1))</f>
        <v/>
      </c>
      <c r="AN65">
        <f>IF($B$1+37&gt;90,AM65,(AM65+IF($B$1+37&lt;=$B65,12*$B$7,-12*$B$6*(1+$B$4)^37))*IF(AM65+IF($B$1+37&lt;=$B65,12*$B$7,-12*$B$6*(1+$B$4)^37)&gt;0,1+$B$3,1))</f>
        <v/>
      </c>
      <c r="AO65">
        <f>IF($B$1+38&gt;90,AN65,(AN65+IF($B$1+38&lt;=$B65,12*$B$7,-12*$B$6*(1+$B$4)^38))*IF(AN65+IF($B$1+38&lt;=$B65,12*$B$7,-12*$B$6*(1+$B$4)^38)&gt;0,1+$B$3,1))</f>
        <v/>
      </c>
      <c r="AP65">
        <f>IF($B$1+39&gt;90,AO65,(AO65+IF($B$1+39&lt;=$B65,12*$B$7,-12*$B$6*(1+$B$4)^39))*IF(AO65+IF($B$1+39&lt;=$B65,12*$B$7,-12*$B$6*(1+$B$4)^39)&gt;0,1+$B$3,1))</f>
        <v/>
      </c>
      <c r="AQ65">
        <f>IF($B$1+40&gt;90,AP65,(AP65+IF($B$1+40&lt;=$B65,12*$B$7,-12*$B$6*(1+$B$4)^40))*IF(AP65+IF($B$1+40&lt;=$B65,12*$B$7,-12*$B$6*(1+$B$4)^40)&gt;0,1+$B$3,1))</f>
        <v/>
      </c>
      <c r="AR65">
        <f>IF($B$1+41&gt;90,AQ65,(AQ65+IF($B$1+41&lt;=$B65,12*$B$7,-12*$B$6*(1+$B$4)^41))*IF(AQ65+IF($B$1+41&lt;=$B65,12*$B$7,-12*$B$6*(1+$B$4)^41)&gt;0,1+$B$3,1))</f>
        <v/>
      </c>
      <c r="AS65">
        <f>IF($B$1+42&gt;90,AR65,(AR65+IF($B$1+42&lt;=$B65,12*$B$7,-12*$B$6*(1+$B$4)^42))*IF(AR65+IF($B$1+42&lt;=$B65,12*$B$7,-12*$B$6*(1+$B$4)^42)&gt;0,1+$B$3,1))</f>
        <v/>
      </c>
      <c r="AT65">
        <f>IF($B$1+43&gt;90,AS65,(AS65+IF($B$1+43&lt;=$B65,12*$B$7,-12*$B$6*(1+$B$4)^43))*IF(AS65+IF($B$1+43&lt;=$B65,12*$B$7,-12*$B$6*(1+$B$4)^43)&gt;0,1+$B$3,1))</f>
        <v/>
      </c>
      <c r="AU65">
        <f>IF($B$1+44&gt;90,AT65,(AT65+IF($B$1+44&lt;=$B65,12*$B$7,-12*$B$6*(1+$B$4)^44))*IF(AT65+IF($B$1+44&lt;=$B65,12*$B$7,-12*$B$6*(1+$B$4)^44)&gt;0,1+$B$3,1))</f>
        <v/>
      </c>
      <c r="AV65">
        <f>IF($B$1+45&gt;90,AU65,(AU65+IF($B$1+45&lt;=$B65,12*$B$7,-12*$B$6*(1+$B$4)^45))*IF(AU65+IF($B$1+45&lt;=$B65,12*$B$7,-12*$B$6*(1+$B$4)^45)&gt;0,1+$B$3,1))</f>
        <v/>
      </c>
      <c r="AW65">
        <f>IF($B$1+46&gt;90,AV65,(AV65+IF($B$1+46&lt;=$B65,12*$B$7,-12*$B$6*(1+$B$4)^46))*IF(AV65+IF($B$1+46&lt;=$B65,12*$B$7,-12*$B$6*(1+$B$4)^46)&gt;0,1+$B$3,1))</f>
        <v/>
      </c>
      <c r="AX65">
        <f>IF($B$1+47&gt;90,AW65,(AW65+IF($B$1+47&lt;=$B65,12*$B$7,-12*$B$6*(1+$B$4)^47))*IF(AW65+IF($B$1+47&lt;=$B65,12*$B$7,-12*$B$6*(1+$B$4)^47)&gt;0,1+$B$3,1))</f>
        <v/>
      </c>
      <c r="AY65">
        <f>IF($B$1+48&gt;90,AX65,(AX65+IF($B$1+48&lt;=$B65,12*$B$7,-12*$B$6*(1+$B$4)^48))*IF(AX65+IF($B$1+48&lt;=$B65,12*$B$7,-12*$B$6*(1+$B$4)^48)&gt;0,1+$B$3,1))</f>
        <v/>
      </c>
      <c r="AZ65">
        <f>IF($B$1+49&gt;90,AY65,(AY65+IF($B$1+49&lt;=$B65,12*$B$7,-12*$B$6*(1+$B$4)^49))*IF(AY65+IF($B$1+49&lt;=$B65,12*$B$7,-12*$B$6*(1+$B$4)^49)&gt;0,1+$B$3,1))</f>
        <v/>
      </c>
      <c r="BA65">
        <f>IF($B$1+50&gt;90,AZ65,(AZ65+IF($B$1+50&lt;=$B65,12*$B$7,-12*$B$6*(1+$B$4)^50))*IF(AZ65+IF($B$1+50&lt;=$B65,12*$B$7,-12*$B$6*(1+$B$4)^50)&gt;0,1+$B$3,1))</f>
        <v/>
      </c>
      <c r="BB65">
        <f>IF($B$1+51&gt;90,BA65,(BA65+IF($B$1+51&lt;=$B65,12*$B$7,-12*$B$6*(1+$B$4)^51))*IF(BA65+IF($B$1+51&lt;=$B65,12*$B$7,-12*$B$6*(1+$B$4)^51)&gt;0,1+$B$3,1))</f>
        <v/>
      </c>
      <c r="BC65">
        <f>IF($B$1+52&gt;90,BB65,(BB65+IF($B$1+52&lt;=$B65,12*$B$7,-12*$B$6*(1+$B$4)^52))*IF(BB65+IF($B$1+52&lt;=$B65,12*$B$7,-12*$B$6*(1+$B$4)^52)&gt;0,1+$B$3,1))</f>
        <v/>
      </c>
      <c r="BD65">
        <f>IF($B$1+53&gt;90,BC65,(BC65+IF($B$1+53&lt;=$B65,12*$B$7,-12*$B$6*(1+$B$4)^53))*IF(BC65+IF($B$1+53&lt;=$B65,12*$B$7,-12*$B$6*(1+$B$4)^53)&gt;0,1+$B$3,1))</f>
        <v/>
      </c>
      <c r="BE65">
        <f>IF($B$1+54&gt;90,BD65,(BD65+IF($B$1+54&lt;=$B65,12*$B$7,-12*$B$6*(1+$B$4)^54))*IF(BD65+IF($B$1+54&lt;=$B65,12*$B$7,-12*$B$6*(1+$B$4)^54)&gt;0,1+$B$3,1))</f>
        <v/>
      </c>
      <c r="BF65">
        <f>IF($B$1+55&gt;90,BE65,(BE65+IF($B$1+55&lt;=$B65,12*$B$7,-12*$B$6*(1+$B$4)^55))*IF(BE65+IF($B$1+55&lt;=$B65,12*$B$7,-12*$B$6*(1+$B$4)^55)&gt;0,1+$B$3,1))</f>
        <v/>
      </c>
      <c r="BG65">
        <f>IF($B$1+56&gt;90,BF65,(BF65+IF($B$1+56&lt;=$B65,12*$B$7,-12*$B$6*(1+$B$4)^56))*IF(BF65+IF($B$1+56&lt;=$B65,12*$B$7,-12*$B$6*(1+$B$4)^56)&gt;0,1+$B$3,1))</f>
        <v/>
      </c>
      <c r="BH65">
        <f>IF($B$1+57&gt;90,BG65,(BG65+IF($B$1+57&lt;=$B65,12*$B$7,-12*$B$6*(1+$B$4)^57))*IF(BG65+IF($B$1+57&lt;=$B65,12*$B$7,-12*$B$6*(1+$B$4)^57)&gt;0,1+$B$3,1))</f>
        <v/>
      </c>
      <c r="BI65">
        <f>IF($B$1+58&gt;90,BH65,(BH65+IF($B$1+58&lt;=$B65,12*$B$7,-12*$B$6*(1+$B$4)^58))*IF(BH65+IF($B$1+58&lt;=$B65,12*$B$7,-12*$B$6*(1+$B$4)^58)&gt;0,1+$B$3,1))</f>
        <v/>
      </c>
      <c r="BJ65">
        <f>IF($B$1+59&gt;90,BI65,(BI65+IF($B$1+59&lt;=$B65,12*$B$7,-12*$B$6*(1+$B$4)^59))*IF(BI65+IF($B$1+59&lt;=$B65,12*$B$7,-12*$B$6*(1+$B$4)^59)&gt;0,1+$B$3,1))</f>
        <v/>
      </c>
      <c r="BK65">
        <f>IF($B$1+60&gt;90,BJ65,(BJ65+IF($B$1+60&lt;=$B65,12*$B$7,-12*$B$6*(1+$B$4)^60))*IF(BJ65+IF($B$1+60&lt;=$B65,12*$B$7,-12*$B$6*(1+$B$4)^60)&gt;0,1+$B$3,1))</f>
        <v/>
      </c>
      <c r="BL65">
        <f>IF($B$1+61&gt;90,BK65,(BK65+IF($B$1+61&lt;=$B65,12*$B$7,-12*$B$6*(1+$B$4)^61))*IF(BK65+IF($B$1+61&lt;=$B65,12*$B$7,-12*$B$6*(1+$B$4)^61)&gt;0,1+$B$3,1))</f>
        <v/>
      </c>
      <c r="BM65">
        <f>IF($B$1+62&gt;90,BL65,(BL65+IF($B$1+62&lt;=$B65,12*$B$7,-12*$B$6*(1+$B$4)^62))*IF(BL65+IF($B$1+62&lt;=$B65,12*$B$7,-12*$B$6*(1+$B$4)^62)&gt;0,1+$B$3,1))</f>
        <v/>
      </c>
      <c r="BN65">
        <f>IF($B$1+63&gt;90,BM65,(BM65+IF($B$1+63&lt;=$B65,12*$B$7,-12*$B$6*(1+$B$4)^63))*IF(BM65+IF($B$1+63&lt;=$B65,12*$B$7,-12*$B$6*(1+$B$4)^63)&gt;0,1+$B$3,1))</f>
        <v/>
      </c>
      <c r="BO65">
        <f>IF($B$1+64&gt;90,BN65,(BN65+IF($B$1+64&lt;=$B65,12*$B$7,-12*$B$6*(1+$B$4)^64))*IF(BN65+IF($B$1+64&lt;=$B65,12*$B$7,-12*$B$6*(1+$B$4)^64)&gt;0,1+$B$3,1))</f>
        <v/>
      </c>
      <c r="BP65">
        <f>IF($B$1+65&gt;90,BO65,(BO65+IF($B$1+65&lt;=$B65,12*$B$7,-12*$B$6*(1+$B$4)^65))*IF(BO65+IF($B$1+65&lt;=$B65,12*$B$7,-12*$B$6*(1+$B$4)^65)&gt;0,1+$B$3,1))</f>
        <v/>
      </c>
      <c r="BQ65">
        <f>IF($B$1+66&gt;90,BP65,(BP65+IF($B$1+66&lt;=$B65,12*$B$7,-12*$B$6*(1+$B$4)^66))*IF(BP65+IF($B$1+66&lt;=$B65,12*$B$7,-12*$B$6*(1+$B$4)^66)&gt;0,1+$B$3,1))</f>
        <v/>
      </c>
      <c r="BR65">
        <f>IF($B$1+67&gt;90,BQ65,(BQ65+IF($B$1+67&lt;=$B65,12*$B$7,-12*$B$6*(1+$B$4)^67))*IF(BQ65+IF($B$1+67&lt;=$B65,12*$B$7,-12*$B$6*(1+$B$4)^67)&gt;0,1+$B$3,1))</f>
        <v/>
      </c>
      <c r="BS65">
        <f>IF($B$1+68&gt;90,BR65,(BR65+IF($B$1+68&lt;=$B65,12*$B$7,-12*$B$6*(1+$B$4)^68))*IF(BR65+IF($B$1+68&lt;=$B65,12*$B$7,-12*$B$6*(1+$B$4)^68)&gt;0,1+$B$3,1))</f>
        <v/>
      </c>
      <c r="BT65">
        <f>IF($B$1+69&gt;90,BS65,(BS65+IF($B$1+69&lt;=$B65,12*$B$7,-12*$B$6*(1+$B$4)^69))*IF(BS65+IF($B$1+69&lt;=$B65,12*$B$7,-12*$B$6*(1+$B$4)^69)&gt;0,1+$B$3,1))</f>
        <v/>
      </c>
      <c r="BU65">
        <f>IF($B$1+70&gt;90,BT65,(BT65+IF($B$1+70&lt;=$B65,12*$B$7,-12*$B$6*(1+$B$4)^70))*IF(BT65+IF($B$1+70&lt;=$B65,12*$B$7,-12*$B$6*(1+$B$4)^70)&gt;0,1+$B$3,1))</f>
        <v/>
      </c>
      <c r="BV65">
        <f>BU65</f>
        <v/>
      </c>
      <c r="BW65">
        <f>IF(AND($B65&lt;=70,BV65&gt;0),$B65,999)</f>
        <v/>
      </c>
      <c r="CB65" t="n">
        <v>64</v>
      </c>
      <c r="CC65">
        <f>IF($B$1+CB65&gt;90,0,12*$B$6*(1+$B$4)^CB65/(1+$B$3)^(CB65-1))</f>
        <v/>
      </c>
      <c r="CE65">
        <f>IF($B$1+63&gt;90,NA(),$B$1+63)</f>
        <v/>
      </c>
      <c r="CF65">
        <f>IF(OR($B$21="",$B$1+63&gt;90),NA(),INDEX($C$40:$BU$90,$B$21-$B$1+1,64))</f>
        <v/>
      </c>
    </row>
    <row r="66">
      <c r="A66" t="n">
        <v>26</v>
      </c>
      <c r="B66">
        <f>$B$1+26</f>
        <v/>
      </c>
      <c r="C66">
        <f>$B$2</f>
        <v/>
      </c>
      <c r="D66">
        <f>IF($B$1+1&gt;90,C66,(C66+IF($B$1+1&lt;=$B66,12*$B$7,-12*$B$6*(1+$B$4)^1))*IF(C66+IF($B$1+1&lt;=$B66,12*$B$7,-12*$B$6*(1+$B$4)^1)&gt;0,1+$B$3,1))</f>
        <v/>
      </c>
      <c r="E66">
        <f>IF($B$1+2&gt;90,D66,(D66+IF($B$1+2&lt;=$B66,12*$B$7,-12*$B$6*(1+$B$4)^2))*IF(D66+IF($B$1+2&lt;=$B66,12*$B$7,-12*$B$6*(1+$B$4)^2)&gt;0,1+$B$3,1))</f>
        <v/>
      </c>
      <c r="F66">
        <f>IF($B$1+3&gt;90,E66,(E66+IF($B$1+3&lt;=$B66,12*$B$7,-12*$B$6*(1+$B$4)^3))*IF(E66+IF($B$1+3&lt;=$B66,12*$B$7,-12*$B$6*(1+$B$4)^3)&gt;0,1+$B$3,1))</f>
        <v/>
      </c>
      <c r="G66">
        <f>IF($B$1+4&gt;90,F66,(F66+IF($B$1+4&lt;=$B66,12*$B$7,-12*$B$6*(1+$B$4)^4))*IF(F66+IF($B$1+4&lt;=$B66,12*$B$7,-12*$B$6*(1+$B$4)^4)&gt;0,1+$B$3,1))</f>
        <v/>
      </c>
      <c r="H66">
        <f>IF($B$1+5&gt;90,G66,(G66+IF($B$1+5&lt;=$B66,12*$B$7,-12*$B$6*(1+$B$4)^5))*IF(G66+IF($B$1+5&lt;=$B66,12*$B$7,-12*$B$6*(1+$B$4)^5)&gt;0,1+$B$3,1))</f>
        <v/>
      </c>
      <c r="I66">
        <f>IF($B$1+6&gt;90,H66,(H66+IF($B$1+6&lt;=$B66,12*$B$7,-12*$B$6*(1+$B$4)^6))*IF(H66+IF($B$1+6&lt;=$B66,12*$B$7,-12*$B$6*(1+$B$4)^6)&gt;0,1+$B$3,1))</f>
        <v/>
      </c>
      <c r="J66">
        <f>IF($B$1+7&gt;90,I66,(I66+IF($B$1+7&lt;=$B66,12*$B$7,-12*$B$6*(1+$B$4)^7))*IF(I66+IF($B$1+7&lt;=$B66,12*$B$7,-12*$B$6*(1+$B$4)^7)&gt;0,1+$B$3,1))</f>
        <v/>
      </c>
      <c r="K66">
        <f>IF($B$1+8&gt;90,J66,(J66+IF($B$1+8&lt;=$B66,12*$B$7,-12*$B$6*(1+$B$4)^8))*IF(J66+IF($B$1+8&lt;=$B66,12*$B$7,-12*$B$6*(1+$B$4)^8)&gt;0,1+$B$3,1))</f>
        <v/>
      </c>
      <c r="L66">
        <f>IF($B$1+9&gt;90,K66,(K66+IF($B$1+9&lt;=$B66,12*$B$7,-12*$B$6*(1+$B$4)^9))*IF(K66+IF($B$1+9&lt;=$B66,12*$B$7,-12*$B$6*(1+$B$4)^9)&gt;0,1+$B$3,1))</f>
        <v/>
      </c>
      <c r="M66">
        <f>IF($B$1+10&gt;90,L66,(L66+IF($B$1+10&lt;=$B66,12*$B$7,-12*$B$6*(1+$B$4)^10))*IF(L66+IF($B$1+10&lt;=$B66,12*$B$7,-12*$B$6*(1+$B$4)^10)&gt;0,1+$B$3,1))</f>
        <v/>
      </c>
      <c r="N66">
        <f>IF($B$1+11&gt;90,M66,(M66+IF($B$1+11&lt;=$B66,12*$B$7,-12*$B$6*(1+$B$4)^11))*IF(M66+IF($B$1+11&lt;=$B66,12*$B$7,-12*$B$6*(1+$B$4)^11)&gt;0,1+$B$3,1))</f>
        <v/>
      </c>
      <c r="O66">
        <f>IF($B$1+12&gt;90,N66,(N66+IF($B$1+12&lt;=$B66,12*$B$7,-12*$B$6*(1+$B$4)^12))*IF(N66+IF($B$1+12&lt;=$B66,12*$B$7,-12*$B$6*(1+$B$4)^12)&gt;0,1+$B$3,1))</f>
        <v/>
      </c>
      <c r="P66">
        <f>IF($B$1+13&gt;90,O66,(O66+IF($B$1+13&lt;=$B66,12*$B$7,-12*$B$6*(1+$B$4)^13))*IF(O66+IF($B$1+13&lt;=$B66,12*$B$7,-12*$B$6*(1+$B$4)^13)&gt;0,1+$B$3,1))</f>
        <v/>
      </c>
      <c r="Q66">
        <f>IF($B$1+14&gt;90,P66,(P66+IF($B$1+14&lt;=$B66,12*$B$7,-12*$B$6*(1+$B$4)^14))*IF(P66+IF($B$1+14&lt;=$B66,12*$B$7,-12*$B$6*(1+$B$4)^14)&gt;0,1+$B$3,1))</f>
        <v/>
      </c>
      <c r="R66">
        <f>IF($B$1+15&gt;90,Q66,(Q66+IF($B$1+15&lt;=$B66,12*$B$7,-12*$B$6*(1+$B$4)^15))*IF(Q66+IF($B$1+15&lt;=$B66,12*$B$7,-12*$B$6*(1+$B$4)^15)&gt;0,1+$B$3,1))</f>
        <v/>
      </c>
      <c r="S66">
        <f>IF($B$1+16&gt;90,R66,(R66+IF($B$1+16&lt;=$B66,12*$B$7,-12*$B$6*(1+$B$4)^16))*IF(R66+IF($B$1+16&lt;=$B66,12*$B$7,-12*$B$6*(1+$B$4)^16)&gt;0,1+$B$3,1))</f>
        <v/>
      </c>
      <c r="T66">
        <f>IF($B$1+17&gt;90,S66,(S66+IF($B$1+17&lt;=$B66,12*$B$7,-12*$B$6*(1+$B$4)^17))*IF(S66+IF($B$1+17&lt;=$B66,12*$B$7,-12*$B$6*(1+$B$4)^17)&gt;0,1+$B$3,1))</f>
        <v/>
      </c>
      <c r="U66">
        <f>IF($B$1+18&gt;90,T66,(T66+IF($B$1+18&lt;=$B66,12*$B$7,-12*$B$6*(1+$B$4)^18))*IF(T66+IF($B$1+18&lt;=$B66,12*$B$7,-12*$B$6*(1+$B$4)^18)&gt;0,1+$B$3,1))</f>
        <v/>
      </c>
      <c r="V66">
        <f>IF($B$1+19&gt;90,U66,(U66+IF($B$1+19&lt;=$B66,12*$B$7,-12*$B$6*(1+$B$4)^19))*IF(U66+IF($B$1+19&lt;=$B66,12*$B$7,-12*$B$6*(1+$B$4)^19)&gt;0,1+$B$3,1))</f>
        <v/>
      </c>
      <c r="W66">
        <f>IF($B$1+20&gt;90,V66,(V66+IF($B$1+20&lt;=$B66,12*$B$7,-12*$B$6*(1+$B$4)^20))*IF(V66+IF($B$1+20&lt;=$B66,12*$B$7,-12*$B$6*(1+$B$4)^20)&gt;0,1+$B$3,1))</f>
        <v/>
      </c>
      <c r="X66">
        <f>IF($B$1+21&gt;90,W66,(W66+IF($B$1+21&lt;=$B66,12*$B$7,-12*$B$6*(1+$B$4)^21))*IF(W66+IF($B$1+21&lt;=$B66,12*$B$7,-12*$B$6*(1+$B$4)^21)&gt;0,1+$B$3,1))</f>
        <v/>
      </c>
      <c r="Y66">
        <f>IF($B$1+22&gt;90,X66,(X66+IF($B$1+22&lt;=$B66,12*$B$7,-12*$B$6*(1+$B$4)^22))*IF(X66+IF($B$1+22&lt;=$B66,12*$B$7,-12*$B$6*(1+$B$4)^22)&gt;0,1+$B$3,1))</f>
        <v/>
      </c>
      <c r="Z66">
        <f>IF($B$1+23&gt;90,Y66,(Y66+IF($B$1+23&lt;=$B66,12*$B$7,-12*$B$6*(1+$B$4)^23))*IF(Y66+IF($B$1+23&lt;=$B66,12*$B$7,-12*$B$6*(1+$B$4)^23)&gt;0,1+$B$3,1))</f>
        <v/>
      </c>
      <c r="AA66">
        <f>IF($B$1+24&gt;90,Z66,(Z66+IF($B$1+24&lt;=$B66,12*$B$7,-12*$B$6*(1+$B$4)^24))*IF(Z66+IF($B$1+24&lt;=$B66,12*$B$7,-12*$B$6*(1+$B$4)^24)&gt;0,1+$B$3,1))</f>
        <v/>
      </c>
      <c r="AB66">
        <f>IF($B$1+25&gt;90,AA66,(AA66+IF($B$1+25&lt;=$B66,12*$B$7,-12*$B$6*(1+$B$4)^25))*IF(AA66+IF($B$1+25&lt;=$B66,12*$B$7,-12*$B$6*(1+$B$4)^25)&gt;0,1+$B$3,1))</f>
        <v/>
      </c>
      <c r="AC66">
        <f>IF($B$1+26&gt;90,AB66,(AB66+IF($B$1+26&lt;=$B66,12*$B$7,-12*$B$6*(1+$B$4)^26))*IF(AB66+IF($B$1+26&lt;=$B66,12*$B$7,-12*$B$6*(1+$B$4)^26)&gt;0,1+$B$3,1))</f>
        <v/>
      </c>
      <c r="AD66">
        <f>IF($B$1+27&gt;90,AC66,(AC66+IF($B$1+27&lt;=$B66,12*$B$7,-12*$B$6*(1+$B$4)^27))*IF(AC66+IF($B$1+27&lt;=$B66,12*$B$7,-12*$B$6*(1+$B$4)^27)&gt;0,1+$B$3,1))</f>
        <v/>
      </c>
      <c r="AE66">
        <f>IF($B$1+28&gt;90,AD66,(AD66+IF($B$1+28&lt;=$B66,12*$B$7,-12*$B$6*(1+$B$4)^28))*IF(AD66+IF($B$1+28&lt;=$B66,12*$B$7,-12*$B$6*(1+$B$4)^28)&gt;0,1+$B$3,1))</f>
        <v/>
      </c>
      <c r="AF66">
        <f>IF($B$1+29&gt;90,AE66,(AE66+IF($B$1+29&lt;=$B66,12*$B$7,-12*$B$6*(1+$B$4)^29))*IF(AE66+IF($B$1+29&lt;=$B66,12*$B$7,-12*$B$6*(1+$B$4)^29)&gt;0,1+$B$3,1))</f>
        <v/>
      </c>
      <c r="AG66">
        <f>IF($B$1+30&gt;90,AF66,(AF66+IF($B$1+30&lt;=$B66,12*$B$7,-12*$B$6*(1+$B$4)^30))*IF(AF66+IF($B$1+30&lt;=$B66,12*$B$7,-12*$B$6*(1+$B$4)^30)&gt;0,1+$B$3,1))</f>
        <v/>
      </c>
      <c r="AH66">
        <f>IF($B$1+31&gt;90,AG66,(AG66+IF($B$1+31&lt;=$B66,12*$B$7,-12*$B$6*(1+$B$4)^31))*IF(AG66+IF($B$1+31&lt;=$B66,12*$B$7,-12*$B$6*(1+$B$4)^31)&gt;0,1+$B$3,1))</f>
        <v/>
      </c>
      <c r="AI66">
        <f>IF($B$1+32&gt;90,AH66,(AH66+IF($B$1+32&lt;=$B66,12*$B$7,-12*$B$6*(1+$B$4)^32))*IF(AH66+IF($B$1+32&lt;=$B66,12*$B$7,-12*$B$6*(1+$B$4)^32)&gt;0,1+$B$3,1))</f>
        <v/>
      </c>
      <c r="AJ66">
        <f>IF($B$1+33&gt;90,AI66,(AI66+IF($B$1+33&lt;=$B66,12*$B$7,-12*$B$6*(1+$B$4)^33))*IF(AI66+IF($B$1+33&lt;=$B66,12*$B$7,-12*$B$6*(1+$B$4)^33)&gt;0,1+$B$3,1))</f>
        <v/>
      </c>
      <c r="AK66">
        <f>IF($B$1+34&gt;90,AJ66,(AJ66+IF($B$1+34&lt;=$B66,12*$B$7,-12*$B$6*(1+$B$4)^34))*IF(AJ66+IF($B$1+34&lt;=$B66,12*$B$7,-12*$B$6*(1+$B$4)^34)&gt;0,1+$B$3,1))</f>
        <v/>
      </c>
      <c r="AL66">
        <f>IF($B$1+35&gt;90,AK66,(AK66+IF($B$1+35&lt;=$B66,12*$B$7,-12*$B$6*(1+$B$4)^35))*IF(AK66+IF($B$1+35&lt;=$B66,12*$B$7,-12*$B$6*(1+$B$4)^35)&gt;0,1+$B$3,1))</f>
        <v/>
      </c>
      <c r="AM66">
        <f>IF($B$1+36&gt;90,AL66,(AL66+IF($B$1+36&lt;=$B66,12*$B$7,-12*$B$6*(1+$B$4)^36))*IF(AL66+IF($B$1+36&lt;=$B66,12*$B$7,-12*$B$6*(1+$B$4)^36)&gt;0,1+$B$3,1))</f>
        <v/>
      </c>
      <c r="AN66">
        <f>IF($B$1+37&gt;90,AM66,(AM66+IF($B$1+37&lt;=$B66,12*$B$7,-12*$B$6*(1+$B$4)^37))*IF(AM66+IF($B$1+37&lt;=$B66,12*$B$7,-12*$B$6*(1+$B$4)^37)&gt;0,1+$B$3,1))</f>
        <v/>
      </c>
      <c r="AO66">
        <f>IF($B$1+38&gt;90,AN66,(AN66+IF($B$1+38&lt;=$B66,12*$B$7,-12*$B$6*(1+$B$4)^38))*IF(AN66+IF($B$1+38&lt;=$B66,12*$B$7,-12*$B$6*(1+$B$4)^38)&gt;0,1+$B$3,1))</f>
        <v/>
      </c>
      <c r="AP66">
        <f>IF($B$1+39&gt;90,AO66,(AO66+IF($B$1+39&lt;=$B66,12*$B$7,-12*$B$6*(1+$B$4)^39))*IF(AO66+IF($B$1+39&lt;=$B66,12*$B$7,-12*$B$6*(1+$B$4)^39)&gt;0,1+$B$3,1))</f>
        <v/>
      </c>
      <c r="AQ66">
        <f>IF($B$1+40&gt;90,AP66,(AP66+IF($B$1+40&lt;=$B66,12*$B$7,-12*$B$6*(1+$B$4)^40))*IF(AP66+IF($B$1+40&lt;=$B66,12*$B$7,-12*$B$6*(1+$B$4)^40)&gt;0,1+$B$3,1))</f>
        <v/>
      </c>
      <c r="AR66">
        <f>IF($B$1+41&gt;90,AQ66,(AQ66+IF($B$1+41&lt;=$B66,12*$B$7,-12*$B$6*(1+$B$4)^41))*IF(AQ66+IF($B$1+41&lt;=$B66,12*$B$7,-12*$B$6*(1+$B$4)^41)&gt;0,1+$B$3,1))</f>
        <v/>
      </c>
      <c r="AS66">
        <f>IF($B$1+42&gt;90,AR66,(AR66+IF($B$1+42&lt;=$B66,12*$B$7,-12*$B$6*(1+$B$4)^42))*IF(AR66+IF($B$1+42&lt;=$B66,12*$B$7,-12*$B$6*(1+$B$4)^42)&gt;0,1+$B$3,1))</f>
        <v/>
      </c>
      <c r="AT66">
        <f>IF($B$1+43&gt;90,AS66,(AS66+IF($B$1+43&lt;=$B66,12*$B$7,-12*$B$6*(1+$B$4)^43))*IF(AS66+IF($B$1+43&lt;=$B66,12*$B$7,-12*$B$6*(1+$B$4)^43)&gt;0,1+$B$3,1))</f>
        <v/>
      </c>
      <c r="AU66">
        <f>IF($B$1+44&gt;90,AT66,(AT66+IF($B$1+44&lt;=$B66,12*$B$7,-12*$B$6*(1+$B$4)^44))*IF(AT66+IF($B$1+44&lt;=$B66,12*$B$7,-12*$B$6*(1+$B$4)^44)&gt;0,1+$B$3,1))</f>
        <v/>
      </c>
      <c r="AV66">
        <f>IF($B$1+45&gt;90,AU66,(AU66+IF($B$1+45&lt;=$B66,12*$B$7,-12*$B$6*(1+$B$4)^45))*IF(AU66+IF($B$1+45&lt;=$B66,12*$B$7,-12*$B$6*(1+$B$4)^45)&gt;0,1+$B$3,1))</f>
        <v/>
      </c>
      <c r="AW66">
        <f>IF($B$1+46&gt;90,AV66,(AV66+IF($B$1+46&lt;=$B66,12*$B$7,-12*$B$6*(1+$B$4)^46))*IF(AV66+IF($B$1+46&lt;=$B66,12*$B$7,-12*$B$6*(1+$B$4)^46)&gt;0,1+$B$3,1))</f>
        <v/>
      </c>
      <c r="AX66">
        <f>IF($B$1+47&gt;90,AW66,(AW66+IF($B$1+47&lt;=$B66,12*$B$7,-12*$B$6*(1+$B$4)^47))*IF(AW66+IF($B$1+47&lt;=$B66,12*$B$7,-12*$B$6*(1+$B$4)^47)&gt;0,1+$B$3,1))</f>
        <v/>
      </c>
      <c r="AY66">
        <f>IF($B$1+48&gt;90,AX66,(AX66+IF($B$1+48&lt;=$B66,12*$B$7,-12*$B$6*(1+$B$4)^48))*IF(AX66+IF($B$1+48&lt;=$B66,12*$B$7,-12*$B$6*(1+$B$4)^48)&gt;0,1+$B$3,1))</f>
        <v/>
      </c>
      <c r="AZ66">
        <f>IF($B$1+49&gt;90,AY66,(AY66+IF($B$1+49&lt;=$B66,12*$B$7,-12*$B$6*(1+$B$4)^49))*IF(AY66+IF($B$1+49&lt;=$B66,12*$B$7,-12*$B$6*(1+$B$4)^49)&gt;0,1+$B$3,1))</f>
        <v/>
      </c>
      <c r="BA66">
        <f>IF($B$1+50&gt;90,AZ66,(AZ66+IF($B$1+50&lt;=$B66,12*$B$7,-12*$B$6*(1+$B$4)^50))*IF(AZ66+IF($B$1+50&lt;=$B66,12*$B$7,-12*$B$6*(1+$B$4)^50)&gt;0,1+$B$3,1))</f>
        <v/>
      </c>
      <c r="BB66">
        <f>IF($B$1+51&gt;90,BA66,(BA66+IF($B$1+51&lt;=$B66,12*$B$7,-12*$B$6*(1+$B$4)^51))*IF(BA66+IF($B$1+51&lt;=$B66,12*$B$7,-12*$B$6*(1+$B$4)^51)&gt;0,1+$B$3,1))</f>
        <v/>
      </c>
      <c r="BC66">
        <f>IF($B$1+52&gt;90,BB66,(BB66+IF($B$1+52&lt;=$B66,12*$B$7,-12*$B$6*(1+$B$4)^52))*IF(BB66+IF($B$1+52&lt;=$B66,12*$B$7,-12*$B$6*(1+$B$4)^52)&gt;0,1+$B$3,1))</f>
        <v/>
      </c>
      <c r="BD66">
        <f>IF($B$1+53&gt;90,BC66,(BC66+IF($B$1+53&lt;=$B66,12*$B$7,-12*$B$6*(1+$B$4)^53))*IF(BC66+IF($B$1+53&lt;=$B66,12*$B$7,-12*$B$6*(1+$B$4)^53)&gt;0,1+$B$3,1))</f>
        <v/>
      </c>
      <c r="BE66">
        <f>IF($B$1+54&gt;90,BD66,(BD66+IF($B$1+54&lt;=$B66,12*$B$7,-12*$B$6*(1+$B$4)^54))*IF(BD66+IF($B$1+54&lt;=$B66,12*$B$7,-12*$B$6*(1+$B$4)^54)&gt;0,1+$B$3,1))</f>
        <v/>
      </c>
      <c r="BF66">
        <f>IF($B$1+55&gt;90,BE66,(BE66+IF($B$1+55&lt;=$B66,12*$B$7,-12*$B$6*(1+$B$4)^55))*IF(BE66+IF($B$1+55&lt;=$B66,12*$B$7,-12*$B$6*(1+$B$4)^55)&gt;0,1+$B$3,1))</f>
        <v/>
      </c>
      <c r="BG66">
        <f>IF($B$1+56&gt;90,BF66,(BF66+IF($B$1+56&lt;=$B66,12*$B$7,-12*$B$6*(1+$B$4)^56))*IF(BF66+IF($B$1+56&lt;=$B66,12*$B$7,-12*$B$6*(1+$B$4)^56)&gt;0,1+$B$3,1))</f>
        <v/>
      </c>
      <c r="BH66">
        <f>IF($B$1+57&gt;90,BG66,(BG66+IF($B$1+57&lt;=$B66,12*$B$7,-12*$B$6*(1+$B$4)^57))*IF(BG66+IF($B$1+57&lt;=$B66,12*$B$7,-12*$B$6*(1+$B$4)^57)&gt;0,1+$B$3,1))</f>
        <v/>
      </c>
      <c r="BI66">
        <f>IF($B$1+58&gt;90,BH66,(BH66+IF($B$1+58&lt;=$B66,12*$B$7,-12*$B$6*(1+$B$4)^58))*IF(BH66+IF($B$1+58&lt;=$B66,12*$B$7,-12*$B$6*(1+$B$4)^58)&gt;0,1+$B$3,1))</f>
        <v/>
      </c>
      <c r="BJ66">
        <f>IF($B$1+59&gt;90,BI66,(BI66+IF($B$1+59&lt;=$B66,12*$B$7,-12*$B$6*(1+$B$4)^59))*IF(BI66+IF($B$1+59&lt;=$B66,12*$B$7,-12*$B$6*(1+$B$4)^59)&gt;0,1+$B$3,1))</f>
        <v/>
      </c>
      <c r="BK66">
        <f>IF($B$1+60&gt;90,BJ66,(BJ66+IF($B$1+60&lt;=$B66,12*$B$7,-12*$B$6*(1+$B$4)^60))*IF(BJ66+IF($B$1+60&lt;=$B66,12*$B$7,-12*$B$6*(1+$B$4)^60)&gt;0,1+$B$3,1))</f>
        <v/>
      </c>
      <c r="BL66">
        <f>IF($B$1+61&gt;90,BK66,(BK66+IF($B$1+61&lt;=$B66,12*$B$7,-12*$B$6*(1+$B$4)^61))*IF(BK66+IF($B$1+61&lt;=$B66,12*$B$7,-12*$B$6*(1+$B$4)^61)&gt;0,1+$B$3,1))</f>
        <v/>
      </c>
      <c r="BM66">
        <f>IF($B$1+62&gt;90,BL66,(BL66+IF($B$1+62&lt;=$B66,12*$B$7,-12*$B$6*(1+$B$4)^62))*IF(BL66+IF($B$1+62&lt;=$B66,12*$B$7,-12*$B$6*(1+$B$4)^62)&gt;0,1+$B$3,1))</f>
        <v/>
      </c>
      <c r="BN66">
        <f>IF($B$1+63&gt;90,BM66,(BM66+IF($B$1+63&lt;=$B66,12*$B$7,-12*$B$6*(1+$B$4)^63))*IF(BM66+IF($B$1+63&lt;=$B66,12*$B$7,-12*$B$6*(1+$B$4)^63)&gt;0,1+$B$3,1))</f>
        <v/>
      </c>
      <c r="BO66">
        <f>IF($B$1+64&gt;90,BN66,(BN66+IF($B$1+64&lt;=$B66,12*$B$7,-12*$B$6*(1+$B$4)^64))*IF(BN66+IF($B$1+64&lt;=$B66,12*$B$7,-12*$B$6*(1+$B$4)^64)&gt;0,1+$B$3,1))</f>
        <v/>
      </c>
      <c r="BP66">
        <f>IF($B$1+65&gt;90,BO66,(BO66+IF($B$1+65&lt;=$B66,12*$B$7,-12*$B$6*(1+$B$4)^65))*IF(BO66+IF($B$1+65&lt;=$B66,12*$B$7,-12*$B$6*(1+$B$4)^65)&gt;0,1+$B$3,1))</f>
        <v/>
      </c>
      <c r="BQ66">
        <f>IF($B$1+66&gt;90,BP66,(BP66+IF($B$1+66&lt;=$B66,12*$B$7,-12*$B$6*(1+$B$4)^66))*IF(BP66+IF($B$1+66&lt;=$B66,12*$B$7,-12*$B$6*(1+$B$4)^66)&gt;0,1+$B$3,1))</f>
        <v/>
      </c>
      <c r="BR66">
        <f>IF($B$1+67&gt;90,BQ66,(BQ66+IF($B$1+67&lt;=$B66,12*$B$7,-12*$B$6*(1+$B$4)^67))*IF(BQ66+IF($B$1+67&lt;=$B66,12*$B$7,-12*$B$6*(1+$B$4)^67)&gt;0,1+$B$3,1))</f>
        <v/>
      </c>
      <c r="BS66">
        <f>IF($B$1+68&gt;90,BR66,(BR66+IF($B$1+68&lt;=$B66,12*$B$7,-12*$B$6*(1+$B$4)^68))*IF(BR66+IF($B$1+68&lt;=$B66,12*$B$7,-12*$B$6*(1+$B$4)^68)&gt;0,1+$B$3,1))</f>
        <v/>
      </c>
      <c r="BT66">
        <f>IF($B$1+69&gt;90,BS66,(BS66+IF($B$1+69&lt;=$B66,12*$B$7,-12*$B$6*(1+$B$4)^69))*IF(BS66+IF($B$1+69&lt;=$B66,12*$B$7,-12*$B$6*(1+$B$4)^69)&gt;0,1+$B$3,1))</f>
        <v/>
      </c>
      <c r="BU66">
        <f>IF($B$1+70&gt;90,BT66,(BT66+IF($B$1+70&lt;=$B66,12*$B$7,-12*$B$6*(1+$B$4)^70))*IF(BT66+IF($B$1+70&lt;=$B66,12*$B$7,-12*$B$6*(1+$B$4)^70)&gt;0,1+$B$3,1))</f>
        <v/>
      </c>
      <c r="BV66">
        <f>BU66</f>
        <v/>
      </c>
      <c r="BW66">
        <f>IF(AND($B66&lt;=70,BV66&gt;0),$B66,999)</f>
        <v/>
      </c>
      <c r="CB66" t="n">
        <v>65</v>
      </c>
      <c r="CC66">
        <f>IF($B$1+CB66&gt;90,0,12*$B$6*(1+$B$4)^CB66/(1+$B$3)^(CB66-1))</f>
        <v/>
      </c>
      <c r="CE66">
        <f>IF($B$1+64&gt;90,NA(),$B$1+64)</f>
        <v/>
      </c>
      <c r="CF66">
        <f>IF(OR($B$21="",$B$1+64&gt;90),NA(),INDEX($C$40:$BU$90,$B$21-$B$1+1,65))</f>
        <v/>
      </c>
    </row>
    <row r="67">
      <c r="A67" t="n">
        <v>27</v>
      </c>
      <c r="B67">
        <f>$B$1+27</f>
        <v/>
      </c>
      <c r="C67">
        <f>$B$2</f>
        <v/>
      </c>
      <c r="D67">
        <f>IF($B$1+1&gt;90,C67,(C67+IF($B$1+1&lt;=$B67,12*$B$7,-12*$B$6*(1+$B$4)^1))*IF(C67+IF($B$1+1&lt;=$B67,12*$B$7,-12*$B$6*(1+$B$4)^1)&gt;0,1+$B$3,1))</f>
        <v/>
      </c>
      <c r="E67">
        <f>IF($B$1+2&gt;90,D67,(D67+IF($B$1+2&lt;=$B67,12*$B$7,-12*$B$6*(1+$B$4)^2))*IF(D67+IF($B$1+2&lt;=$B67,12*$B$7,-12*$B$6*(1+$B$4)^2)&gt;0,1+$B$3,1))</f>
        <v/>
      </c>
      <c r="F67">
        <f>IF($B$1+3&gt;90,E67,(E67+IF($B$1+3&lt;=$B67,12*$B$7,-12*$B$6*(1+$B$4)^3))*IF(E67+IF($B$1+3&lt;=$B67,12*$B$7,-12*$B$6*(1+$B$4)^3)&gt;0,1+$B$3,1))</f>
        <v/>
      </c>
      <c r="G67">
        <f>IF($B$1+4&gt;90,F67,(F67+IF($B$1+4&lt;=$B67,12*$B$7,-12*$B$6*(1+$B$4)^4))*IF(F67+IF($B$1+4&lt;=$B67,12*$B$7,-12*$B$6*(1+$B$4)^4)&gt;0,1+$B$3,1))</f>
        <v/>
      </c>
      <c r="H67">
        <f>IF($B$1+5&gt;90,G67,(G67+IF($B$1+5&lt;=$B67,12*$B$7,-12*$B$6*(1+$B$4)^5))*IF(G67+IF($B$1+5&lt;=$B67,12*$B$7,-12*$B$6*(1+$B$4)^5)&gt;0,1+$B$3,1))</f>
        <v/>
      </c>
      <c r="I67">
        <f>IF($B$1+6&gt;90,H67,(H67+IF($B$1+6&lt;=$B67,12*$B$7,-12*$B$6*(1+$B$4)^6))*IF(H67+IF($B$1+6&lt;=$B67,12*$B$7,-12*$B$6*(1+$B$4)^6)&gt;0,1+$B$3,1))</f>
        <v/>
      </c>
      <c r="J67">
        <f>IF($B$1+7&gt;90,I67,(I67+IF($B$1+7&lt;=$B67,12*$B$7,-12*$B$6*(1+$B$4)^7))*IF(I67+IF($B$1+7&lt;=$B67,12*$B$7,-12*$B$6*(1+$B$4)^7)&gt;0,1+$B$3,1))</f>
        <v/>
      </c>
      <c r="K67">
        <f>IF($B$1+8&gt;90,J67,(J67+IF($B$1+8&lt;=$B67,12*$B$7,-12*$B$6*(1+$B$4)^8))*IF(J67+IF($B$1+8&lt;=$B67,12*$B$7,-12*$B$6*(1+$B$4)^8)&gt;0,1+$B$3,1))</f>
        <v/>
      </c>
      <c r="L67">
        <f>IF($B$1+9&gt;90,K67,(K67+IF($B$1+9&lt;=$B67,12*$B$7,-12*$B$6*(1+$B$4)^9))*IF(K67+IF($B$1+9&lt;=$B67,12*$B$7,-12*$B$6*(1+$B$4)^9)&gt;0,1+$B$3,1))</f>
        <v/>
      </c>
      <c r="M67">
        <f>IF($B$1+10&gt;90,L67,(L67+IF($B$1+10&lt;=$B67,12*$B$7,-12*$B$6*(1+$B$4)^10))*IF(L67+IF($B$1+10&lt;=$B67,12*$B$7,-12*$B$6*(1+$B$4)^10)&gt;0,1+$B$3,1))</f>
        <v/>
      </c>
      <c r="N67">
        <f>IF($B$1+11&gt;90,M67,(M67+IF($B$1+11&lt;=$B67,12*$B$7,-12*$B$6*(1+$B$4)^11))*IF(M67+IF($B$1+11&lt;=$B67,12*$B$7,-12*$B$6*(1+$B$4)^11)&gt;0,1+$B$3,1))</f>
        <v/>
      </c>
      <c r="O67">
        <f>IF($B$1+12&gt;90,N67,(N67+IF($B$1+12&lt;=$B67,12*$B$7,-12*$B$6*(1+$B$4)^12))*IF(N67+IF($B$1+12&lt;=$B67,12*$B$7,-12*$B$6*(1+$B$4)^12)&gt;0,1+$B$3,1))</f>
        <v/>
      </c>
      <c r="P67">
        <f>IF($B$1+13&gt;90,O67,(O67+IF($B$1+13&lt;=$B67,12*$B$7,-12*$B$6*(1+$B$4)^13))*IF(O67+IF($B$1+13&lt;=$B67,12*$B$7,-12*$B$6*(1+$B$4)^13)&gt;0,1+$B$3,1))</f>
        <v/>
      </c>
      <c r="Q67">
        <f>IF($B$1+14&gt;90,P67,(P67+IF($B$1+14&lt;=$B67,12*$B$7,-12*$B$6*(1+$B$4)^14))*IF(P67+IF($B$1+14&lt;=$B67,12*$B$7,-12*$B$6*(1+$B$4)^14)&gt;0,1+$B$3,1))</f>
        <v/>
      </c>
      <c r="R67">
        <f>IF($B$1+15&gt;90,Q67,(Q67+IF($B$1+15&lt;=$B67,12*$B$7,-12*$B$6*(1+$B$4)^15))*IF(Q67+IF($B$1+15&lt;=$B67,12*$B$7,-12*$B$6*(1+$B$4)^15)&gt;0,1+$B$3,1))</f>
        <v/>
      </c>
      <c r="S67">
        <f>IF($B$1+16&gt;90,R67,(R67+IF($B$1+16&lt;=$B67,12*$B$7,-12*$B$6*(1+$B$4)^16))*IF(R67+IF($B$1+16&lt;=$B67,12*$B$7,-12*$B$6*(1+$B$4)^16)&gt;0,1+$B$3,1))</f>
        <v/>
      </c>
      <c r="T67">
        <f>IF($B$1+17&gt;90,S67,(S67+IF($B$1+17&lt;=$B67,12*$B$7,-12*$B$6*(1+$B$4)^17))*IF(S67+IF($B$1+17&lt;=$B67,12*$B$7,-12*$B$6*(1+$B$4)^17)&gt;0,1+$B$3,1))</f>
        <v/>
      </c>
      <c r="U67">
        <f>IF($B$1+18&gt;90,T67,(T67+IF($B$1+18&lt;=$B67,12*$B$7,-12*$B$6*(1+$B$4)^18))*IF(T67+IF($B$1+18&lt;=$B67,12*$B$7,-12*$B$6*(1+$B$4)^18)&gt;0,1+$B$3,1))</f>
        <v/>
      </c>
      <c r="V67">
        <f>IF($B$1+19&gt;90,U67,(U67+IF($B$1+19&lt;=$B67,12*$B$7,-12*$B$6*(1+$B$4)^19))*IF(U67+IF($B$1+19&lt;=$B67,12*$B$7,-12*$B$6*(1+$B$4)^19)&gt;0,1+$B$3,1))</f>
        <v/>
      </c>
      <c r="W67">
        <f>IF($B$1+20&gt;90,V67,(V67+IF($B$1+20&lt;=$B67,12*$B$7,-12*$B$6*(1+$B$4)^20))*IF(V67+IF($B$1+20&lt;=$B67,12*$B$7,-12*$B$6*(1+$B$4)^20)&gt;0,1+$B$3,1))</f>
        <v/>
      </c>
      <c r="X67">
        <f>IF($B$1+21&gt;90,W67,(W67+IF($B$1+21&lt;=$B67,12*$B$7,-12*$B$6*(1+$B$4)^21))*IF(W67+IF($B$1+21&lt;=$B67,12*$B$7,-12*$B$6*(1+$B$4)^21)&gt;0,1+$B$3,1))</f>
        <v/>
      </c>
      <c r="Y67">
        <f>IF($B$1+22&gt;90,X67,(X67+IF($B$1+22&lt;=$B67,12*$B$7,-12*$B$6*(1+$B$4)^22))*IF(X67+IF($B$1+22&lt;=$B67,12*$B$7,-12*$B$6*(1+$B$4)^22)&gt;0,1+$B$3,1))</f>
        <v/>
      </c>
      <c r="Z67">
        <f>IF($B$1+23&gt;90,Y67,(Y67+IF($B$1+23&lt;=$B67,12*$B$7,-12*$B$6*(1+$B$4)^23))*IF(Y67+IF($B$1+23&lt;=$B67,12*$B$7,-12*$B$6*(1+$B$4)^23)&gt;0,1+$B$3,1))</f>
        <v/>
      </c>
      <c r="AA67">
        <f>IF($B$1+24&gt;90,Z67,(Z67+IF($B$1+24&lt;=$B67,12*$B$7,-12*$B$6*(1+$B$4)^24))*IF(Z67+IF($B$1+24&lt;=$B67,12*$B$7,-12*$B$6*(1+$B$4)^24)&gt;0,1+$B$3,1))</f>
        <v/>
      </c>
      <c r="AB67">
        <f>IF($B$1+25&gt;90,AA67,(AA67+IF($B$1+25&lt;=$B67,12*$B$7,-12*$B$6*(1+$B$4)^25))*IF(AA67+IF($B$1+25&lt;=$B67,12*$B$7,-12*$B$6*(1+$B$4)^25)&gt;0,1+$B$3,1))</f>
        <v/>
      </c>
      <c r="AC67">
        <f>IF($B$1+26&gt;90,AB67,(AB67+IF($B$1+26&lt;=$B67,12*$B$7,-12*$B$6*(1+$B$4)^26))*IF(AB67+IF($B$1+26&lt;=$B67,12*$B$7,-12*$B$6*(1+$B$4)^26)&gt;0,1+$B$3,1))</f>
        <v/>
      </c>
      <c r="AD67">
        <f>IF($B$1+27&gt;90,AC67,(AC67+IF($B$1+27&lt;=$B67,12*$B$7,-12*$B$6*(1+$B$4)^27))*IF(AC67+IF($B$1+27&lt;=$B67,12*$B$7,-12*$B$6*(1+$B$4)^27)&gt;0,1+$B$3,1))</f>
        <v/>
      </c>
      <c r="AE67">
        <f>IF($B$1+28&gt;90,AD67,(AD67+IF($B$1+28&lt;=$B67,12*$B$7,-12*$B$6*(1+$B$4)^28))*IF(AD67+IF($B$1+28&lt;=$B67,12*$B$7,-12*$B$6*(1+$B$4)^28)&gt;0,1+$B$3,1))</f>
        <v/>
      </c>
      <c r="AF67">
        <f>IF($B$1+29&gt;90,AE67,(AE67+IF($B$1+29&lt;=$B67,12*$B$7,-12*$B$6*(1+$B$4)^29))*IF(AE67+IF($B$1+29&lt;=$B67,12*$B$7,-12*$B$6*(1+$B$4)^29)&gt;0,1+$B$3,1))</f>
        <v/>
      </c>
      <c r="AG67">
        <f>IF($B$1+30&gt;90,AF67,(AF67+IF($B$1+30&lt;=$B67,12*$B$7,-12*$B$6*(1+$B$4)^30))*IF(AF67+IF($B$1+30&lt;=$B67,12*$B$7,-12*$B$6*(1+$B$4)^30)&gt;0,1+$B$3,1))</f>
        <v/>
      </c>
      <c r="AH67">
        <f>IF($B$1+31&gt;90,AG67,(AG67+IF($B$1+31&lt;=$B67,12*$B$7,-12*$B$6*(1+$B$4)^31))*IF(AG67+IF($B$1+31&lt;=$B67,12*$B$7,-12*$B$6*(1+$B$4)^31)&gt;0,1+$B$3,1))</f>
        <v/>
      </c>
      <c r="AI67">
        <f>IF($B$1+32&gt;90,AH67,(AH67+IF($B$1+32&lt;=$B67,12*$B$7,-12*$B$6*(1+$B$4)^32))*IF(AH67+IF($B$1+32&lt;=$B67,12*$B$7,-12*$B$6*(1+$B$4)^32)&gt;0,1+$B$3,1))</f>
        <v/>
      </c>
      <c r="AJ67">
        <f>IF($B$1+33&gt;90,AI67,(AI67+IF($B$1+33&lt;=$B67,12*$B$7,-12*$B$6*(1+$B$4)^33))*IF(AI67+IF($B$1+33&lt;=$B67,12*$B$7,-12*$B$6*(1+$B$4)^33)&gt;0,1+$B$3,1))</f>
        <v/>
      </c>
      <c r="AK67">
        <f>IF($B$1+34&gt;90,AJ67,(AJ67+IF($B$1+34&lt;=$B67,12*$B$7,-12*$B$6*(1+$B$4)^34))*IF(AJ67+IF($B$1+34&lt;=$B67,12*$B$7,-12*$B$6*(1+$B$4)^34)&gt;0,1+$B$3,1))</f>
        <v/>
      </c>
      <c r="AL67">
        <f>IF($B$1+35&gt;90,AK67,(AK67+IF($B$1+35&lt;=$B67,12*$B$7,-12*$B$6*(1+$B$4)^35))*IF(AK67+IF($B$1+35&lt;=$B67,12*$B$7,-12*$B$6*(1+$B$4)^35)&gt;0,1+$B$3,1))</f>
        <v/>
      </c>
      <c r="AM67">
        <f>IF($B$1+36&gt;90,AL67,(AL67+IF($B$1+36&lt;=$B67,12*$B$7,-12*$B$6*(1+$B$4)^36))*IF(AL67+IF($B$1+36&lt;=$B67,12*$B$7,-12*$B$6*(1+$B$4)^36)&gt;0,1+$B$3,1))</f>
        <v/>
      </c>
      <c r="AN67">
        <f>IF($B$1+37&gt;90,AM67,(AM67+IF($B$1+37&lt;=$B67,12*$B$7,-12*$B$6*(1+$B$4)^37))*IF(AM67+IF($B$1+37&lt;=$B67,12*$B$7,-12*$B$6*(1+$B$4)^37)&gt;0,1+$B$3,1))</f>
        <v/>
      </c>
      <c r="AO67">
        <f>IF($B$1+38&gt;90,AN67,(AN67+IF($B$1+38&lt;=$B67,12*$B$7,-12*$B$6*(1+$B$4)^38))*IF(AN67+IF($B$1+38&lt;=$B67,12*$B$7,-12*$B$6*(1+$B$4)^38)&gt;0,1+$B$3,1))</f>
        <v/>
      </c>
      <c r="AP67">
        <f>IF($B$1+39&gt;90,AO67,(AO67+IF($B$1+39&lt;=$B67,12*$B$7,-12*$B$6*(1+$B$4)^39))*IF(AO67+IF($B$1+39&lt;=$B67,12*$B$7,-12*$B$6*(1+$B$4)^39)&gt;0,1+$B$3,1))</f>
        <v/>
      </c>
      <c r="AQ67">
        <f>IF($B$1+40&gt;90,AP67,(AP67+IF($B$1+40&lt;=$B67,12*$B$7,-12*$B$6*(1+$B$4)^40))*IF(AP67+IF($B$1+40&lt;=$B67,12*$B$7,-12*$B$6*(1+$B$4)^40)&gt;0,1+$B$3,1))</f>
        <v/>
      </c>
      <c r="AR67">
        <f>IF($B$1+41&gt;90,AQ67,(AQ67+IF($B$1+41&lt;=$B67,12*$B$7,-12*$B$6*(1+$B$4)^41))*IF(AQ67+IF($B$1+41&lt;=$B67,12*$B$7,-12*$B$6*(1+$B$4)^41)&gt;0,1+$B$3,1))</f>
        <v/>
      </c>
      <c r="AS67">
        <f>IF($B$1+42&gt;90,AR67,(AR67+IF($B$1+42&lt;=$B67,12*$B$7,-12*$B$6*(1+$B$4)^42))*IF(AR67+IF($B$1+42&lt;=$B67,12*$B$7,-12*$B$6*(1+$B$4)^42)&gt;0,1+$B$3,1))</f>
        <v/>
      </c>
      <c r="AT67">
        <f>IF($B$1+43&gt;90,AS67,(AS67+IF($B$1+43&lt;=$B67,12*$B$7,-12*$B$6*(1+$B$4)^43))*IF(AS67+IF($B$1+43&lt;=$B67,12*$B$7,-12*$B$6*(1+$B$4)^43)&gt;0,1+$B$3,1))</f>
        <v/>
      </c>
      <c r="AU67">
        <f>IF($B$1+44&gt;90,AT67,(AT67+IF($B$1+44&lt;=$B67,12*$B$7,-12*$B$6*(1+$B$4)^44))*IF(AT67+IF($B$1+44&lt;=$B67,12*$B$7,-12*$B$6*(1+$B$4)^44)&gt;0,1+$B$3,1))</f>
        <v/>
      </c>
      <c r="AV67">
        <f>IF($B$1+45&gt;90,AU67,(AU67+IF($B$1+45&lt;=$B67,12*$B$7,-12*$B$6*(1+$B$4)^45))*IF(AU67+IF($B$1+45&lt;=$B67,12*$B$7,-12*$B$6*(1+$B$4)^45)&gt;0,1+$B$3,1))</f>
        <v/>
      </c>
      <c r="AW67">
        <f>IF($B$1+46&gt;90,AV67,(AV67+IF($B$1+46&lt;=$B67,12*$B$7,-12*$B$6*(1+$B$4)^46))*IF(AV67+IF($B$1+46&lt;=$B67,12*$B$7,-12*$B$6*(1+$B$4)^46)&gt;0,1+$B$3,1))</f>
        <v/>
      </c>
      <c r="AX67">
        <f>IF($B$1+47&gt;90,AW67,(AW67+IF($B$1+47&lt;=$B67,12*$B$7,-12*$B$6*(1+$B$4)^47))*IF(AW67+IF($B$1+47&lt;=$B67,12*$B$7,-12*$B$6*(1+$B$4)^47)&gt;0,1+$B$3,1))</f>
        <v/>
      </c>
      <c r="AY67">
        <f>IF($B$1+48&gt;90,AX67,(AX67+IF($B$1+48&lt;=$B67,12*$B$7,-12*$B$6*(1+$B$4)^48))*IF(AX67+IF($B$1+48&lt;=$B67,12*$B$7,-12*$B$6*(1+$B$4)^48)&gt;0,1+$B$3,1))</f>
        <v/>
      </c>
      <c r="AZ67">
        <f>IF($B$1+49&gt;90,AY67,(AY67+IF($B$1+49&lt;=$B67,12*$B$7,-12*$B$6*(1+$B$4)^49))*IF(AY67+IF($B$1+49&lt;=$B67,12*$B$7,-12*$B$6*(1+$B$4)^49)&gt;0,1+$B$3,1))</f>
        <v/>
      </c>
      <c r="BA67">
        <f>IF($B$1+50&gt;90,AZ67,(AZ67+IF($B$1+50&lt;=$B67,12*$B$7,-12*$B$6*(1+$B$4)^50))*IF(AZ67+IF($B$1+50&lt;=$B67,12*$B$7,-12*$B$6*(1+$B$4)^50)&gt;0,1+$B$3,1))</f>
        <v/>
      </c>
      <c r="BB67">
        <f>IF($B$1+51&gt;90,BA67,(BA67+IF($B$1+51&lt;=$B67,12*$B$7,-12*$B$6*(1+$B$4)^51))*IF(BA67+IF($B$1+51&lt;=$B67,12*$B$7,-12*$B$6*(1+$B$4)^51)&gt;0,1+$B$3,1))</f>
        <v/>
      </c>
      <c r="BC67">
        <f>IF($B$1+52&gt;90,BB67,(BB67+IF($B$1+52&lt;=$B67,12*$B$7,-12*$B$6*(1+$B$4)^52))*IF(BB67+IF($B$1+52&lt;=$B67,12*$B$7,-12*$B$6*(1+$B$4)^52)&gt;0,1+$B$3,1))</f>
        <v/>
      </c>
      <c r="BD67">
        <f>IF($B$1+53&gt;90,BC67,(BC67+IF($B$1+53&lt;=$B67,12*$B$7,-12*$B$6*(1+$B$4)^53))*IF(BC67+IF($B$1+53&lt;=$B67,12*$B$7,-12*$B$6*(1+$B$4)^53)&gt;0,1+$B$3,1))</f>
        <v/>
      </c>
      <c r="BE67">
        <f>IF($B$1+54&gt;90,BD67,(BD67+IF($B$1+54&lt;=$B67,12*$B$7,-12*$B$6*(1+$B$4)^54))*IF(BD67+IF($B$1+54&lt;=$B67,12*$B$7,-12*$B$6*(1+$B$4)^54)&gt;0,1+$B$3,1))</f>
        <v/>
      </c>
      <c r="BF67">
        <f>IF($B$1+55&gt;90,BE67,(BE67+IF($B$1+55&lt;=$B67,12*$B$7,-12*$B$6*(1+$B$4)^55))*IF(BE67+IF($B$1+55&lt;=$B67,12*$B$7,-12*$B$6*(1+$B$4)^55)&gt;0,1+$B$3,1))</f>
        <v/>
      </c>
      <c r="BG67">
        <f>IF($B$1+56&gt;90,BF67,(BF67+IF($B$1+56&lt;=$B67,12*$B$7,-12*$B$6*(1+$B$4)^56))*IF(BF67+IF($B$1+56&lt;=$B67,12*$B$7,-12*$B$6*(1+$B$4)^56)&gt;0,1+$B$3,1))</f>
        <v/>
      </c>
      <c r="BH67">
        <f>IF($B$1+57&gt;90,BG67,(BG67+IF($B$1+57&lt;=$B67,12*$B$7,-12*$B$6*(1+$B$4)^57))*IF(BG67+IF($B$1+57&lt;=$B67,12*$B$7,-12*$B$6*(1+$B$4)^57)&gt;0,1+$B$3,1))</f>
        <v/>
      </c>
      <c r="BI67">
        <f>IF($B$1+58&gt;90,BH67,(BH67+IF($B$1+58&lt;=$B67,12*$B$7,-12*$B$6*(1+$B$4)^58))*IF(BH67+IF($B$1+58&lt;=$B67,12*$B$7,-12*$B$6*(1+$B$4)^58)&gt;0,1+$B$3,1))</f>
        <v/>
      </c>
      <c r="BJ67">
        <f>IF($B$1+59&gt;90,BI67,(BI67+IF($B$1+59&lt;=$B67,12*$B$7,-12*$B$6*(1+$B$4)^59))*IF(BI67+IF($B$1+59&lt;=$B67,12*$B$7,-12*$B$6*(1+$B$4)^59)&gt;0,1+$B$3,1))</f>
        <v/>
      </c>
      <c r="BK67">
        <f>IF($B$1+60&gt;90,BJ67,(BJ67+IF($B$1+60&lt;=$B67,12*$B$7,-12*$B$6*(1+$B$4)^60))*IF(BJ67+IF($B$1+60&lt;=$B67,12*$B$7,-12*$B$6*(1+$B$4)^60)&gt;0,1+$B$3,1))</f>
        <v/>
      </c>
      <c r="BL67">
        <f>IF($B$1+61&gt;90,BK67,(BK67+IF($B$1+61&lt;=$B67,12*$B$7,-12*$B$6*(1+$B$4)^61))*IF(BK67+IF($B$1+61&lt;=$B67,12*$B$7,-12*$B$6*(1+$B$4)^61)&gt;0,1+$B$3,1))</f>
        <v/>
      </c>
      <c r="BM67">
        <f>IF($B$1+62&gt;90,BL67,(BL67+IF($B$1+62&lt;=$B67,12*$B$7,-12*$B$6*(1+$B$4)^62))*IF(BL67+IF($B$1+62&lt;=$B67,12*$B$7,-12*$B$6*(1+$B$4)^62)&gt;0,1+$B$3,1))</f>
        <v/>
      </c>
      <c r="BN67">
        <f>IF($B$1+63&gt;90,BM67,(BM67+IF($B$1+63&lt;=$B67,12*$B$7,-12*$B$6*(1+$B$4)^63))*IF(BM67+IF($B$1+63&lt;=$B67,12*$B$7,-12*$B$6*(1+$B$4)^63)&gt;0,1+$B$3,1))</f>
        <v/>
      </c>
      <c r="BO67">
        <f>IF($B$1+64&gt;90,BN67,(BN67+IF($B$1+64&lt;=$B67,12*$B$7,-12*$B$6*(1+$B$4)^64))*IF(BN67+IF($B$1+64&lt;=$B67,12*$B$7,-12*$B$6*(1+$B$4)^64)&gt;0,1+$B$3,1))</f>
        <v/>
      </c>
      <c r="BP67">
        <f>IF($B$1+65&gt;90,BO67,(BO67+IF($B$1+65&lt;=$B67,12*$B$7,-12*$B$6*(1+$B$4)^65))*IF(BO67+IF($B$1+65&lt;=$B67,12*$B$7,-12*$B$6*(1+$B$4)^65)&gt;0,1+$B$3,1))</f>
        <v/>
      </c>
      <c r="BQ67">
        <f>IF($B$1+66&gt;90,BP67,(BP67+IF($B$1+66&lt;=$B67,12*$B$7,-12*$B$6*(1+$B$4)^66))*IF(BP67+IF($B$1+66&lt;=$B67,12*$B$7,-12*$B$6*(1+$B$4)^66)&gt;0,1+$B$3,1))</f>
        <v/>
      </c>
      <c r="BR67">
        <f>IF($B$1+67&gt;90,BQ67,(BQ67+IF($B$1+67&lt;=$B67,12*$B$7,-12*$B$6*(1+$B$4)^67))*IF(BQ67+IF($B$1+67&lt;=$B67,12*$B$7,-12*$B$6*(1+$B$4)^67)&gt;0,1+$B$3,1))</f>
        <v/>
      </c>
      <c r="BS67">
        <f>IF($B$1+68&gt;90,BR67,(BR67+IF($B$1+68&lt;=$B67,12*$B$7,-12*$B$6*(1+$B$4)^68))*IF(BR67+IF($B$1+68&lt;=$B67,12*$B$7,-12*$B$6*(1+$B$4)^68)&gt;0,1+$B$3,1))</f>
        <v/>
      </c>
      <c r="BT67">
        <f>IF($B$1+69&gt;90,BS67,(BS67+IF($B$1+69&lt;=$B67,12*$B$7,-12*$B$6*(1+$B$4)^69))*IF(BS67+IF($B$1+69&lt;=$B67,12*$B$7,-12*$B$6*(1+$B$4)^69)&gt;0,1+$B$3,1))</f>
        <v/>
      </c>
      <c r="BU67">
        <f>IF($B$1+70&gt;90,BT67,(BT67+IF($B$1+70&lt;=$B67,12*$B$7,-12*$B$6*(1+$B$4)^70))*IF(BT67+IF($B$1+70&lt;=$B67,12*$B$7,-12*$B$6*(1+$B$4)^70)&gt;0,1+$B$3,1))</f>
        <v/>
      </c>
      <c r="BV67">
        <f>BU67</f>
        <v/>
      </c>
      <c r="BW67">
        <f>IF(AND($B67&lt;=70,BV67&gt;0),$B67,999)</f>
        <v/>
      </c>
      <c r="CB67" t="n">
        <v>66</v>
      </c>
      <c r="CC67">
        <f>IF($B$1+CB67&gt;90,0,12*$B$6*(1+$B$4)^CB67/(1+$B$3)^(CB67-1))</f>
        <v/>
      </c>
      <c r="CE67">
        <f>IF($B$1+65&gt;90,NA(),$B$1+65)</f>
        <v/>
      </c>
      <c r="CF67">
        <f>IF(OR($B$21="",$B$1+65&gt;90),NA(),INDEX($C$40:$BU$90,$B$21-$B$1+1,66))</f>
        <v/>
      </c>
    </row>
    <row r="68">
      <c r="A68" t="n">
        <v>28</v>
      </c>
      <c r="B68">
        <f>$B$1+28</f>
        <v/>
      </c>
      <c r="C68">
        <f>$B$2</f>
        <v/>
      </c>
      <c r="D68">
        <f>IF($B$1+1&gt;90,C68,(C68+IF($B$1+1&lt;=$B68,12*$B$7,-12*$B$6*(1+$B$4)^1))*IF(C68+IF($B$1+1&lt;=$B68,12*$B$7,-12*$B$6*(1+$B$4)^1)&gt;0,1+$B$3,1))</f>
        <v/>
      </c>
      <c r="E68">
        <f>IF($B$1+2&gt;90,D68,(D68+IF($B$1+2&lt;=$B68,12*$B$7,-12*$B$6*(1+$B$4)^2))*IF(D68+IF($B$1+2&lt;=$B68,12*$B$7,-12*$B$6*(1+$B$4)^2)&gt;0,1+$B$3,1))</f>
        <v/>
      </c>
      <c r="F68">
        <f>IF($B$1+3&gt;90,E68,(E68+IF($B$1+3&lt;=$B68,12*$B$7,-12*$B$6*(1+$B$4)^3))*IF(E68+IF($B$1+3&lt;=$B68,12*$B$7,-12*$B$6*(1+$B$4)^3)&gt;0,1+$B$3,1))</f>
        <v/>
      </c>
      <c r="G68">
        <f>IF($B$1+4&gt;90,F68,(F68+IF($B$1+4&lt;=$B68,12*$B$7,-12*$B$6*(1+$B$4)^4))*IF(F68+IF($B$1+4&lt;=$B68,12*$B$7,-12*$B$6*(1+$B$4)^4)&gt;0,1+$B$3,1))</f>
        <v/>
      </c>
      <c r="H68">
        <f>IF($B$1+5&gt;90,G68,(G68+IF($B$1+5&lt;=$B68,12*$B$7,-12*$B$6*(1+$B$4)^5))*IF(G68+IF($B$1+5&lt;=$B68,12*$B$7,-12*$B$6*(1+$B$4)^5)&gt;0,1+$B$3,1))</f>
        <v/>
      </c>
      <c r="I68">
        <f>IF($B$1+6&gt;90,H68,(H68+IF($B$1+6&lt;=$B68,12*$B$7,-12*$B$6*(1+$B$4)^6))*IF(H68+IF($B$1+6&lt;=$B68,12*$B$7,-12*$B$6*(1+$B$4)^6)&gt;0,1+$B$3,1))</f>
        <v/>
      </c>
      <c r="J68">
        <f>IF($B$1+7&gt;90,I68,(I68+IF($B$1+7&lt;=$B68,12*$B$7,-12*$B$6*(1+$B$4)^7))*IF(I68+IF($B$1+7&lt;=$B68,12*$B$7,-12*$B$6*(1+$B$4)^7)&gt;0,1+$B$3,1))</f>
        <v/>
      </c>
      <c r="K68">
        <f>IF($B$1+8&gt;90,J68,(J68+IF($B$1+8&lt;=$B68,12*$B$7,-12*$B$6*(1+$B$4)^8))*IF(J68+IF($B$1+8&lt;=$B68,12*$B$7,-12*$B$6*(1+$B$4)^8)&gt;0,1+$B$3,1))</f>
        <v/>
      </c>
      <c r="L68">
        <f>IF($B$1+9&gt;90,K68,(K68+IF($B$1+9&lt;=$B68,12*$B$7,-12*$B$6*(1+$B$4)^9))*IF(K68+IF($B$1+9&lt;=$B68,12*$B$7,-12*$B$6*(1+$B$4)^9)&gt;0,1+$B$3,1))</f>
        <v/>
      </c>
      <c r="M68">
        <f>IF($B$1+10&gt;90,L68,(L68+IF($B$1+10&lt;=$B68,12*$B$7,-12*$B$6*(1+$B$4)^10))*IF(L68+IF($B$1+10&lt;=$B68,12*$B$7,-12*$B$6*(1+$B$4)^10)&gt;0,1+$B$3,1))</f>
        <v/>
      </c>
      <c r="N68">
        <f>IF($B$1+11&gt;90,M68,(M68+IF($B$1+11&lt;=$B68,12*$B$7,-12*$B$6*(1+$B$4)^11))*IF(M68+IF($B$1+11&lt;=$B68,12*$B$7,-12*$B$6*(1+$B$4)^11)&gt;0,1+$B$3,1))</f>
        <v/>
      </c>
      <c r="O68">
        <f>IF($B$1+12&gt;90,N68,(N68+IF($B$1+12&lt;=$B68,12*$B$7,-12*$B$6*(1+$B$4)^12))*IF(N68+IF($B$1+12&lt;=$B68,12*$B$7,-12*$B$6*(1+$B$4)^12)&gt;0,1+$B$3,1))</f>
        <v/>
      </c>
      <c r="P68">
        <f>IF($B$1+13&gt;90,O68,(O68+IF($B$1+13&lt;=$B68,12*$B$7,-12*$B$6*(1+$B$4)^13))*IF(O68+IF($B$1+13&lt;=$B68,12*$B$7,-12*$B$6*(1+$B$4)^13)&gt;0,1+$B$3,1))</f>
        <v/>
      </c>
      <c r="Q68">
        <f>IF($B$1+14&gt;90,P68,(P68+IF($B$1+14&lt;=$B68,12*$B$7,-12*$B$6*(1+$B$4)^14))*IF(P68+IF($B$1+14&lt;=$B68,12*$B$7,-12*$B$6*(1+$B$4)^14)&gt;0,1+$B$3,1))</f>
        <v/>
      </c>
      <c r="R68">
        <f>IF($B$1+15&gt;90,Q68,(Q68+IF($B$1+15&lt;=$B68,12*$B$7,-12*$B$6*(1+$B$4)^15))*IF(Q68+IF($B$1+15&lt;=$B68,12*$B$7,-12*$B$6*(1+$B$4)^15)&gt;0,1+$B$3,1))</f>
        <v/>
      </c>
      <c r="S68">
        <f>IF($B$1+16&gt;90,R68,(R68+IF($B$1+16&lt;=$B68,12*$B$7,-12*$B$6*(1+$B$4)^16))*IF(R68+IF($B$1+16&lt;=$B68,12*$B$7,-12*$B$6*(1+$B$4)^16)&gt;0,1+$B$3,1))</f>
        <v/>
      </c>
      <c r="T68">
        <f>IF($B$1+17&gt;90,S68,(S68+IF($B$1+17&lt;=$B68,12*$B$7,-12*$B$6*(1+$B$4)^17))*IF(S68+IF($B$1+17&lt;=$B68,12*$B$7,-12*$B$6*(1+$B$4)^17)&gt;0,1+$B$3,1))</f>
        <v/>
      </c>
      <c r="U68">
        <f>IF($B$1+18&gt;90,T68,(T68+IF($B$1+18&lt;=$B68,12*$B$7,-12*$B$6*(1+$B$4)^18))*IF(T68+IF($B$1+18&lt;=$B68,12*$B$7,-12*$B$6*(1+$B$4)^18)&gt;0,1+$B$3,1))</f>
        <v/>
      </c>
      <c r="V68">
        <f>IF($B$1+19&gt;90,U68,(U68+IF($B$1+19&lt;=$B68,12*$B$7,-12*$B$6*(1+$B$4)^19))*IF(U68+IF($B$1+19&lt;=$B68,12*$B$7,-12*$B$6*(1+$B$4)^19)&gt;0,1+$B$3,1))</f>
        <v/>
      </c>
      <c r="W68">
        <f>IF($B$1+20&gt;90,V68,(V68+IF($B$1+20&lt;=$B68,12*$B$7,-12*$B$6*(1+$B$4)^20))*IF(V68+IF($B$1+20&lt;=$B68,12*$B$7,-12*$B$6*(1+$B$4)^20)&gt;0,1+$B$3,1))</f>
        <v/>
      </c>
      <c r="X68">
        <f>IF($B$1+21&gt;90,W68,(W68+IF($B$1+21&lt;=$B68,12*$B$7,-12*$B$6*(1+$B$4)^21))*IF(W68+IF($B$1+21&lt;=$B68,12*$B$7,-12*$B$6*(1+$B$4)^21)&gt;0,1+$B$3,1))</f>
        <v/>
      </c>
      <c r="Y68">
        <f>IF($B$1+22&gt;90,X68,(X68+IF($B$1+22&lt;=$B68,12*$B$7,-12*$B$6*(1+$B$4)^22))*IF(X68+IF($B$1+22&lt;=$B68,12*$B$7,-12*$B$6*(1+$B$4)^22)&gt;0,1+$B$3,1))</f>
        <v/>
      </c>
      <c r="Z68">
        <f>IF($B$1+23&gt;90,Y68,(Y68+IF($B$1+23&lt;=$B68,12*$B$7,-12*$B$6*(1+$B$4)^23))*IF(Y68+IF($B$1+23&lt;=$B68,12*$B$7,-12*$B$6*(1+$B$4)^23)&gt;0,1+$B$3,1))</f>
        <v/>
      </c>
      <c r="AA68">
        <f>IF($B$1+24&gt;90,Z68,(Z68+IF($B$1+24&lt;=$B68,12*$B$7,-12*$B$6*(1+$B$4)^24))*IF(Z68+IF($B$1+24&lt;=$B68,12*$B$7,-12*$B$6*(1+$B$4)^24)&gt;0,1+$B$3,1))</f>
        <v/>
      </c>
      <c r="AB68">
        <f>IF($B$1+25&gt;90,AA68,(AA68+IF($B$1+25&lt;=$B68,12*$B$7,-12*$B$6*(1+$B$4)^25))*IF(AA68+IF($B$1+25&lt;=$B68,12*$B$7,-12*$B$6*(1+$B$4)^25)&gt;0,1+$B$3,1))</f>
        <v/>
      </c>
      <c r="AC68">
        <f>IF($B$1+26&gt;90,AB68,(AB68+IF($B$1+26&lt;=$B68,12*$B$7,-12*$B$6*(1+$B$4)^26))*IF(AB68+IF($B$1+26&lt;=$B68,12*$B$7,-12*$B$6*(1+$B$4)^26)&gt;0,1+$B$3,1))</f>
        <v/>
      </c>
      <c r="AD68">
        <f>IF($B$1+27&gt;90,AC68,(AC68+IF($B$1+27&lt;=$B68,12*$B$7,-12*$B$6*(1+$B$4)^27))*IF(AC68+IF($B$1+27&lt;=$B68,12*$B$7,-12*$B$6*(1+$B$4)^27)&gt;0,1+$B$3,1))</f>
        <v/>
      </c>
      <c r="AE68">
        <f>IF($B$1+28&gt;90,AD68,(AD68+IF($B$1+28&lt;=$B68,12*$B$7,-12*$B$6*(1+$B$4)^28))*IF(AD68+IF($B$1+28&lt;=$B68,12*$B$7,-12*$B$6*(1+$B$4)^28)&gt;0,1+$B$3,1))</f>
        <v/>
      </c>
      <c r="AF68">
        <f>IF($B$1+29&gt;90,AE68,(AE68+IF($B$1+29&lt;=$B68,12*$B$7,-12*$B$6*(1+$B$4)^29))*IF(AE68+IF($B$1+29&lt;=$B68,12*$B$7,-12*$B$6*(1+$B$4)^29)&gt;0,1+$B$3,1))</f>
        <v/>
      </c>
      <c r="AG68">
        <f>IF($B$1+30&gt;90,AF68,(AF68+IF($B$1+30&lt;=$B68,12*$B$7,-12*$B$6*(1+$B$4)^30))*IF(AF68+IF($B$1+30&lt;=$B68,12*$B$7,-12*$B$6*(1+$B$4)^30)&gt;0,1+$B$3,1))</f>
        <v/>
      </c>
      <c r="AH68">
        <f>IF($B$1+31&gt;90,AG68,(AG68+IF($B$1+31&lt;=$B68,12*$B$7,-12*$B$6*(1+$B$4)^31))*IF(AG68+IF($B$1+31&lt;=$B68,12*$B$7,-12*$B$6*(1+$B$4)^31)&gt;0,1+$B$3,1))</f>
        <v/>
      </c>
      <c r="AI68">
        <f>IF($B$1+32&gt;90,AH68,(AH68+IF($B$1+32&lt;=$B68,12*$B$7,-12*$B$6*(1+$B$4)^32))*IF(AH68+IF($B$1+32&lt;=$B68,12*$B$7,-12*$B$6*(1+$B$4)^32)&gt;0,1+$B$3,1))</f>
        <v/>
      </c>
      <c r="AJ68">
        <f>IF($B$1+33&gt;90,AI68,(AI68+IF($B$1+33&lt;=$B68,12*$B$7,-12*$B$6*(1+$B$4)^33))*IF(AI68+IF($B$1+33&lt;=$B68,12*$B$7,-12*$B$6*(1+$B$4)^33)&gt;0,1+$B$3,1))</f>
        <v/>
      </c>
      <c r="AK68">
        <f>IF($B$1+34&gt;90,AJ68,(AJ68+IF($B$1+34&lt;=$B68,12*$B$7,-12*$B$6*(1+$B$4)^34))*IF(AJ68+IF($B$1+34&lt;=$B68,12*$B$7,-12*$B$6*(1+$B$4)^34)&gt;0,1+$B$3,1))</f>
        <v/>
      </c>
      <c r="AL68">
        <f>IF($B$1+35&gt;90,AK68,(AK68+IF($B$1+35&lt;=$B68,12*$B$7,-12*$B$6*(1+$B$4)^35))*IF(AK68+IF($B$1+35&lt;=$B68,12*$B$7,-12*$B$6*(1+$B$4)^35)&gt;0,1+$B$3,1))</f>
        <v/>
      </c>
      <c r="AM68">
        <f>IF($B$1+36&gt;90,AL68,(AL68+IF($B$1+36&lt;=$B68,12*$B$7,-12*$B$6*(1+$B$4)^36))*IF(AL68+IF($B$1+36&lt;=$B68,12*$B$7,-12*$B$6*(1+$B$4)^36)&gt;0,1+$B$3,1))</f>
        <v/>
      </c>
      <c r="AN68">
        <f>IF($B$1+37&gt;90,AM68,(AM68+IF($B$1+37&lt;=$B68,12*$B$7,-12*$B$6*(1+$B$4)^37))*IF(AM68+IF($B$1+37&lt;=$B68,12*$B$7,-12*$B$6*(1+$B$4)^37)&gt;0,1+$B$3,1))</f>
        <v/>
      </c>
      <c r="AO68">
        <f>IF($B$1+38&gt;90,AN68,(AN68+IF($B$1+38&lt;=$B68,12*$B$7,-12*$B$6*(1+$B$4)^38))*IF(AN68+IF($B$1+38&lt;=$B68,12*$B$7,-12*$B$6*(1+$B$4)^38)&gt;0,1+$B$3,1))</f>
        <v/>
      </c>
      <c r="AP68">
        <f>IF($B$1+39&gt;90,AO68,(AO68+IF($B$1+39&lt;=$B68,12*$B$7,-12*$B$6*(1+$B$4)^39))*IF(AO68+IF($B$1+39&lt;=$B68,12*$B$7,-12*$B$6*(1+$B$4)^39)&gt;0,1+$B$3,1))</f>
        <v/>
      </c>
      <c r="AQ68">
        <f>IF($B$1+40&gt;90,AP68,(AP68+IF($B$1+40&lt;=$B68,12*$B$7,-12*$B$6*(1+$B$4)^40))*IF(AP68+IF($B$1+40&lt;=$B68,12*$B$7,-12*$B$6*(1+$B$4)^40)&gt;0,1+$B$3,1))</f>
        <v/>
      </c>
      <c r="AR68">
        <f>IF($B$1+41&gt;90,AQ68,(AQ68+IF($B$1+41&lt;=$B68,12*$B$7,-12*$B$6*(1+$B$4)^41))*IF(AQ68+IF($B$1+41&lt;=$B68,12*$B$7,-12*$B$6*(1+$B$4)^41)&gt;0,1+$B$3,1))</f>
        <v/>
      </c>
      <c r="AS68">
        <f>IF($B$1+42&gt;90,AR68,(AR68+IF($B$1+42&lt;=$B68,12*$B$7,-12*$B$6*(1+$B$4)^42))*IF(AR68+IF($B$1+42&lt;=$B68,12*$B$7,-12*$B$6*(1+$B$4)^42)&gt;0,1+$B$3,1))</f>
        <v/>
      </c>
      <c r="AT68">
        <f>IF($B$1+43&gt;90,AS68,(AS68+IF($B$1+43&lt;=$B68,12*$B$7,-12*$B$6*(1+$B$4)^43))*IF(AS68+IF($B$1+43&lt;=$B68,12*$B$7,-12*$B$6*(1+$B$4)^43)&gt;0,1+$B$3,1))</f>
        <v/>
      </c>
      <c r="AU68">
        <f>IF($B$1+44&gt;90,AT68,(AT68+IF($B$1+44&lt;=$B68,12*$B$7,-12*$B$6*(1+$B$4)^44))*IF(AT68+IF($B$1+44&lt;=$B68,12*$B$7,-12*$B$6*(1+$B$4)^44)&gt;0,1+$B$3,1))</f>
        <v/>
      </c>
      <c r="AV68">
        <f>IF($B$1+45&gt;90,AU68,(AU68+IF($B$1+45&lt;=$B68,12*$B$7,-12*$B$6*(1+$B$4)^45))*IF(AU68+IF($B$1+45&lt;=$B68,12*$B$7,-12*$B$6*(1+$B$4)^45)&gt;0,1+$B$3,1))</f>
        <v/>
      </c>
      <c r="AW68">
        <f>IF($B$1+46&gt;90,AV68,(AV68+IF($B$1+46&lt;=$B68,12*$B$7,-12*$B$6*(1+$B$4)^46))*IF(AV68+IF($B$1+46&lt;=$B68,12*$B$7,-12*$B$6*(1+$B$4)^46)&gt;0,1+$B$3,1))</f>
        <v/>
      </c>
      <c r="AX68">
        <f>IF($B$1+47&gt;90,AW68,(AW68+IF($B$1+47&lt;=$B68,12*$B$7,-12*$B$6*(1+$B$4)^47))*IF(AW68+IF($B$1+47&lt;=$B68,12*$B$7,-12*$B$6*(1+$B$4)^47)&gt;0,1+$B$3,1))</f>
        <v/>
      </c>
      <c r="AY68">
        <f>IF($B$1+48&gt;90,AX68,(AX68+IF($B$1+48&lt;=$B68,12*$B$7,-12*$B$6*(1+$B$4)^48))*IF(AX68+IF($B$1+48&lt;=$B68,12*$B$7,-12*$B$6*(1+$B$4)^48)&gt;0,1+$B$3,1))</f>
        <v/>
      </c>
      <c r="AZ68">
        <f>IF($B$1+49&gt;90,AY68,(AY68+IF($B$1+49&lt;=$B68,12*$B$7,-12*$B$6*(1+$B$4)^49))*IF(AY68+IF($B$1+49&lt;=$B68,12*$B$7,-12*$B$6*(1+$B$4)^49)&gt;0,1+$B$3,1))</f>
        <v/>
      </c>
      <c r="BA68">
        <f>IF($B$1+50&gt;90,AZ68,(AZ68+IF($B$1+50&lt;=$B68,12*$B$7,-12*$B$6*(1+$B$4)^50))*IF(AZ68+IF($B$1+50&lt;=$B68,12*$B$7,-12*$B$6*(1+$B$4)^50)&gt;0,1+$B$3,1))</f>
        <v/>
      </c>
      <c r="BB68">
        <f>IF($B$1+51&gt;90,BA68,(BA68+IF($B$1+51&lt;=$B68,12*$B$7,-12*$B$6*(1+$B$4)^51))*IF(BA68+IF($B$1+51&lt;=$B68,12*$B$7,-12*$B$6*(1+$B$4)^51)&gt;0,1+$B$3,1))</f>
        <v/>
      </c>
      <c r="BC68">
        <f>IF($B$1+52&gt;90,BB68,(BB68+IF($B$1+52&lt;=$B68,12*$B$7,-12*$B$6*(1+$B$4)^52))*IF(BB68+IF($B$1+52&lt;=$B68,12*$B$7,-12*$B$6*(1+$B$4)^52)&gt;0,1+$B$3,1))</f>
        <v/>
      </c>
      <c r="BD68">
        <f>IF($B$1+53&gt;90,BC68,(BC68+IF($B$1+53&lt;=$B68,12*$B$7,-12*$B$6*(1+$B$4)^53))*IF(BC68+IF($B$1+53&lt;=$B68,12*$B$7,-12*$B$6*(1+$B$4)^53)&gt;0,1+$B$3,1))</f>
        <v/>
      </c>
      <c r="BE68">
        <f>IF($B$1+54&gt;90,BD68,(BD68+IF($B$1+54&lt;=$B68,12*$B$7,-12*$B$6*(1+$B$4)^54))*IF(BD68+IF($B$1+54&lt;=$B68,12*$B$7,-12*$B$6*(1+$B$4)^54)&gt;0,1+$B$3,1))</f>
        <v/>
      </c>
      <c r="BF68">
        <f>IF($B$1+55&gt;90,BE68,(BE68+IF($B$1+55&lt;=$B68,12*$B$7,-12*$B$6*(1+$B$4)^55))*IF(BE68+IF($B$1+55&lt;=$B68,12*$B$7,-12*$B$6*(1+$B$4)^55)&gt;0,1+$B$3,1))</f>
        <v/>
      </c>
      <c r="BG68">
        <f>IF($B$1+56&gt;90,BF68,(BF68+IF($B$1+56&lt;=$B68,12*$B$7,-12*$B$6*(1+$B$4)^56))*IF(BF68+IF($B$1+56&lt;=$B68,12*$B$7,-12*$B$6*(1+$B$4)^56)&gt;0,1+$B$3,1))</f>
        <v/>
      </c>
      <c r="BH68">
        <f>IF($B$1+57&gt;90,BG68,(BG68+IF($B$1+57&lt;=$B68,12*$B$7,-12*$B$6*(1+$B$4)^57))*IF(BG68+IF($B$1+57&lt;=$B68,12*$B$7,-12*$B$6*(1+$B$4)^57)&gt;0,1+$B$3,1))</f>
        <v/>
      </c>
      <c r="BI68">
        <f>IF($B$1+58&gt;90,BH68,(BH68+IF($B$1+58&lt;=$B68,12*$B$7,-12*$B$6*(1+$B$4)^58))*IF(BH68+IF($B$1+58&lt;=$B68,12*$B$7,-12*$B$6*(1+$B$4)^58)&gt;0,1+$B$3,1))</f>
        <v/>
      </c>
      <c r="BJ68">
        <f>IF($B$1+59&gt;90,BI68,(BI68+IF($B$1+59&lt;=$B68,12*$B$7,-12*$B$6*(1+$B$4)^59))*IF(BI68+IF($B$1+59&lt;=$B68,12*$B$7,-12*$B$6*(1+$B$4)^59)&gt;0,1+$B$3,1))</f>
        <v/>
      </c>
      <c r="BK68">
        <f>IF($B$1+60&gt;90,BJ68,(BJ68+IF($B$1+60&lt;=$B68,12*$B$7,-12*$B$6*(1+$B$4)^60))*IF(BJ68+IF($B$1+60&lt;=$B68,12*$B$7,-12*$B$6*(1+$B$4)^60)&gt;0,1+$B$3,1))</f>
        <v/>
      </c>
      <c r="BL68">
        <f>IF($B$1+61&gt;90,BK68,(BK68+IF($B$1+61&lt;=$B68,12*$B$7,-12*$B$6*(1+$B$4)^61))*IF(BK68+IF($B$1+61&lt;=$B68,12*$B$7,-12*$B$6*(1+$B$4)^61)&gt;0,1+$B$3,1))</f>
        <v/>
      </c>
      <c r="BM68">
        <f>IF($B$1+62&gt;90,BL68,(BL68+IF($B$1+62&lt;=$B68,12*$B$7,-12*$B$6*(1+$B$4)^62))*IF(BL68+IF($B$1+62&lt;=$B68,12*$B$7,-12*$B$6*(1+$B$4)^62)&gt;0,1+$B$3,1))</f>
        <v/>
      </c>
      <c r="BN68">
        <f>IF($B$1+63&gt;90,BM68,(BM68+IF($B$1+63&lt;=$B68,12*$B$7,-12*$B$6*(1+$B$4)^63))*IF(BM68+IF($B$1+63&lt;=$B68,12*$B$7,-12*$B$6*(1+$B$4)^63)&gt;0,1+$B$3,1))</f>
        <v/>
      </c>
      <c r="BO68">
        <f>IF($B$1+64&gt;90,BN68,(BN68+IF($B$1+64&lt;=$B68,12*$B$7,-12*$B$6*(1+$B$4)^64))*IF(BN68+IF($B$1+64&lt;=$B68,12*$B$7,-12*$B$6*(1+$B$4)^64)&gt;0,1+$B$3,1))</f>
        <v/>
      </c>
      <c r="BP68">
        <f>IF($B$1+65&gt;90,BO68,(BO68+IF($B$1+65&lt;=$B68,12*$B$7,-12*$B$6*(1+$B$4)^65))*IF(BO68+IF($B$1+65&lt;=$B68,12*$B$7,-12*$B$6*(1+$B$4)^65)&gt;0,1+$B$3,1))</f>
        <v/>
      </c>
      <c r="BQ68">
        <f>IF($B$1+66&gt;90,BP68,(BP68+IF($B$1+66&lt;=$B68,12*$B$7,-12*$B$6*(1+$B$4)^66))*IF(BP68+IF($B$1+66&lt;=$B68,12*$B$7,-12*$B$6*(1+$B$4)^66)&gt;0,1+$B$3,1))</f>
        <v/>
      </c>
      <c r="BR68">
        <f>IF($B$1+67&gt;90,BQ68,(BQ68+IF($B$1+67&lt;=$B68,12*$B$7,-12*$B$6*(1+$B$4)^67))*IF(BQ68+IF($B$1+67&lt;=$B68,12*$B$7,-12*$B$6*(1+$B$4)^67)&gt;0,1+$B$3,1))</f>
        <v/>
      </c>
      <c r="BS68">
        <f>IF($B$1+68&gt;90,BR68,(BR68+IF($B$1+68&lt;=$B68,12*$B$7,-12*$B$6*(1+$B$4)^68))*IF(BR68+IF($B$1+68&lt;=$B68,12*$B$7,-12*$B$6*(1+$B$4)^68)&gt;0,1+$B$3,1))</f>
        <v/>
      </c>
      <c r="BT68">
        <f>IF($B$1+69&gt;90,BS68,(BS68+IF($B$1+69&lt;=$B68,12*$B$7,-12*$B$6*(1+$B$4)^69))*IF(BS68+IF($B$1+69&lt;=$B68,12*$B$7,-12*$B$6*(1+$B$4)^69)&gt;0,1+$B$3,1))</f>
        <v/>
      </c>
      <c r="BU68">
        <f>IF($B$1+70&gt;90,BT68,(BT68+IF($B$1+70&lt;=$B68,12*$B$7,-12*$B$6*(1+$B$4)^70))*IF(BT68+IF($B$1+70&lt;=$B68,12*$B$7,-12*$B$6*(1+$B$4)^70)&gt;0,1+$B$3,1))</f>
        <v/>
      </c>
      <c r="BV68">
        <f>BU68</f>
        <v/>
      </c>
      <c r="BW68">
        <f>IF(AND($B68&lt;=70,BV68&gt;0),$B68,999)</f>
        <v/>
      </c>
      <c r="CB68" t="n">
        <v>67</v>
      </c>
      <c r="CC68">
        <f>IF($B$1+CB68&gt;90,0,12*$B$6*(1+$B$4)^CB68/(1+$B$3)^(CB68-1))</f>
        <v/>
      </c>
      <c r="CE68">
        <f>IF($B$1+66&gt;90,NA(),$B$1+66)</f>
        <v/>
      </c>
      <c r="CF68">
        <f>IF(OR($B$21="",$B$1+66&gt;90),NA(),INDEX($C$40:$BU$90,$B$21-$B$1+1,67))</f>
        <v/>
      </c>
    </row>
    <row r="69">
      <c r="A69" t="n">
        <v>29</v>
      </c>
      <c r="B69">
        <f>$B$1+29</f>
        <v/>
      </c>
      <c r="C69">
        <f>$B$2</f>
        <v/>
      </c>
      <c r="D69">
        <f>IF($B$1+1&gt;90,C69,(C69+IF($B$1+1&lt;=$B69,12*$B$7,-12*$B$6*(1+$B$4)^1))*IF(C69+IF($B$1+1&lt;=$B69,12*$B$7,-12*$B$6*(1+$B$4)^1)&gt;0,1+$B$3,1))</f>
        <v/>
      </c>
      <c r="E69">
        <f>IF($B$1+2&gt;90,D69,(D69+IF($B$1+2&lt;=$B69,12*$B$7,-12*$B$6*(1+$B$4)^2))*IF(D69+IF($B$1+2&lt;=$B69,12*$B$7,-12*$B$6*(1+$B$4)^2)&gt;0,1+$B$3,1))</f>
        <v/>
      </c>
      <c r="F69">
        <f>IF($B$1+3&gt;90,E69,(E69+IF($B$1+3&lt;=$B69,12*$B$7,-12*$B$6*(1+$B$4)^3))*IF(E69+IF($B$1+3&lt;=$B69,12*$B$7,-12*$B$6*(1+$B$4)^3)&gt;0,1+$B$3,1))</f>
        <v/>
      </c>
      <c r="G69">
        <f>IF($B$1+4&gt;90,F69,(F69+IF($B$1+4&lt;=$B69,12*$B$7,-12*$B$6*(1+$B$4)^4))*IF(F69+IF($B$1+4&lt;=$B69,12*$B$7,-12*$B$6*(1+$B$4)^4)&gt;0,1+$B$3,1))</f>
        <v/>
      </c>
      <c r="H69">
        <f>IF($B$1+5&gt;90,G69,(G69+IF($B$1+5&lt;=$B69,12*$B$7,-12*$B$6*(1+$B$4)^5))*IF(G69+IF($B$1+5&lt;=$B69,12*$B$7,-12*$B$6*(1+$B$4)^5)&gt;0,1+$B$3,1))</f>
        <v/>
      </c>
      <c r="I69">
        <f>IF($B$1+6&gt;90,H69,(H69+IF($B$1+6&lt;=$B69,12*$B$7,-12*$B$6*(1+$B$4)^6))*IF(H69+IF($B$1+6&lt;=$B69,12*$B$7,-12*$B$6*(1+$B$4)^6)&gt;0,1+$B$3,1))</f>
        <v/>
      </c>
      <c r="J69">
        <f>IF($B$1+7&gt;90,I69,(I69+IF($B$1+7&lt;=$B69,12*$B$7,-12*$B$6*(1+$B$4)^7))*IF(I69+IF($B$1+7&lt;=$B69,12*$B$7,-12*$B$6*(1+$B$4)^7)&gt;0,1+$B$3,1))</f>
        <v/>
      </c>
      <c r="K69">
        <f>IF($B$1+8&gt;90,J69,(J69+IF($B$1+8&lt;=$B69,12*$B$7,-12*$B$6*(1+$B$4)^8))*IF(J69+IF($B$1+8&lt;=$B69,12*$B$7,-12*$B$6*(1+$B$4)^8)&gt;0,1+$B$3,1))</f>
        <v/>
      </c>
      <c r="L69">
        <f>IF($B$1+9&gt;90,K69,(K69+IF($B$1+9&lt;=$B69,12*$B$7,-12*$B$6*(1+$B$4)^9))*IF(K69+IF($B$1+9&lt;=$B69,12*$B$7,-12*$B$6*(1+$B$4)^9)&gt;0,1+$B$3,1))</f>
        <v/>
      </c>
      <c r="M69">
        <f>IF($B$1+10&gt;90,L69,(L69+IF($B$1+10&lt;=$B69,12*$B$7,-12*$B$6*(1+$B$4)^10))*IF(L69+IF($B$1+10&lt;=$B69,12*$B$7,-12*$B$6*(1+$B$4)^10)&gt;0,1+$B$3,1))</f>
        <v/>
      </c>
      <c r="N69">
        <f>IF($B$1+11&gt;90,M69,(M69+IF($B$1+11&lt;=$B69,12*$B$7,-12*$B$6*(1+$B$4)^11))*IF(M69+IF($B$1+11&lt;=$B69,12*$B$7,-12*$B$6*(1+$B$4)^11)&gt;0,1+$B$3,1))</f>
        <v/>
      </c>
      <c r="O69">
        <f>IF($B$1+12&gt;90,N69,(N69+IF($B$1+12&lt;=$B69,12*$B$7,-12*$B$6*(1+$B$4)^12))*IF(N69+IF($B$1+12&lt;=$B69,12*$B$7,-12*$B$6*(1+$B$4)^12)&gt;0,1+$B$3,1))</f>
        <v/>
      </c>
      <c r="P69">
        <f>IF($B$1+13&gt;90,O69,(O69+IF($B$1+13&lt;=$B69,12*$B$7,-12*$B$6*(1+$B$4)^13))*IF(O69+IF($B$1+13&lt;=$B69,12*$B$7,-12*$B$6*(1+$B$4)^13)&gt;0,1+$B$3,1))</f>
        <v/>
      </c>
      <c r="Q69">
        <f>IF($B$1+14&gt;90,P69,(P69+IF($B$1+14&lt;=$B69,12*$B$7,-12*$B$6*(1+$B$4)^14))*IF(P69+IF($B$1+14&lt;=$B69,12*$B$7,-12*$B$6*(1+$B$4)^14)&gt;0,1+$B$3,1))</f>
        <v/>
      </c>
      <c r="R69">
        <f>IF($B$1+15&gt;90,Q69,(Q69+IF($B$1+15&lt;=$B69,12*$B$7,-12*$B$6*(1+$B$4)^15))*IF(Q69+IF($B$1+15&lt;=$B69,12*$B$7,-12*$B$6*(1+$B$4)^15)&gt;0,1+$B$3,1))</f>
        <v/>
      </c>
      <c r="S69">
        <f>IF($B$1+16&gt;90,R69,(R69+IF($B$1+16&lt;=$B69,12*$B$7,-12*$B$6*(1+$B$4)^16))*IF(R69+IF($B$1+16&lt;=$B69,12*$B$7,-12*$B$6*(1+$B$4)^16)&gt;0,1+$B$3,1))</f>
        <v/>
      </c>
      <c r="T69">
        <f>IF($B$1+17&gt;90,S69,(S69+IF($B$1+17&lt;=$B69,12*$B$7,-12*$B$6*(1+$B$4)^17))*IF(S69+IF($B$1+17&lt;=$B69,12*$B$7,-12*$B$6*(1+$B$4)^17)&gt;0,1+$B$3,1))</f>
        <v/>
      </c>
      <c r="U69">
        <f>IF($B$1+18&gt;90,T69,(T69+IF($B$1+18&lt;=$B69,12*$B$7,-12*$B$6*(1+$B$4)^18))*IF(T69+IF($B$1+18&lt;=$B69,12*$B$7,-12*$B$6*(1+$B$4)^18)&gt;0,1+$B$3,1))</f>
        <v/>
      </c>
      <c r="V69">
        <f>IF($B$1+19&gt;90,U69,(U69+IF($B$1+19&lt;=$B69,12*$B$7,-12*$B$6*(1+$B$4)^19))*IF(U69+IF($B$1+19&lt;=$B69,12*$B$7,-12*$B$6*(1+$B$4)^19)&gt;0,1+$B$3,1))</f>
        <v/>
      </c>
      <c r="W69">
        <f>IF($B$1+20&gt;90,V69,(V69+IF($B$1+20&lt;=$B69,12*$B$7,-12*$B$6*(1+$B$4)^20))*IF(V69+IF($B$1+20&lt;=$B69,12*$B$7,-12*$B$6*(1+$B$4)^20)&gt;0,1+$B$3,1))</f>
        <v/>
      </c>
      <c r="X69">
        <f>IF($B$1+21&gt;90,W69,(W69+IF($B$1+21&lt;=$B69,12*$B$7,-12*$B$6*(1+$B$4)^21))*IF(W69+IF($B$1+21&lt;=$B69,12*$B$7,-12*$B$6*(1+$B$4)^21)&gt;0,1+$B$3,1))</f>
        <v/>
      </c>
      <c r="Y69">
        <f>IF($B$1+22&gt;90,X69,(X69+IF($B$1+22&lt;=$B69,12*$B$7,-12*$B$6*(1+$B$4)^22))*IF(X69+IF($B$1+22&lt;=$B69,12*$B$7,-12*$B$6*(1+$B$4)^22)&gt;0,1+$B$3,1))</f>
        <v/>
      </c>
      <c r="Z69">
        <f>IF($B$1+23&gt;90,Y69,(Y69+IF($B$1+23&lt;=$B69,12*$B$7,-12*$B$6*(1+$B$4)^23))*IF(Y69+IF($B$1+23&lt;=$B69,12*$B$7,-12*$B$6*(1+$B$4)^23)&gt;0,1+$B$3,1))</f>
        <v/>
      </c>
      <c r="AA69">
        <f>IF($B$1+24&gt;90,Z69,(Z69+IF($B$1+24&lt;=$B69,12*$B$7,-12*$B$6*(1+$B$4)^24))*IF(Z69+IF($B$1+24&lt;=$B69,12*$B$7,-12*$B$6*(1+$B$4)^24)&gt;0,1+$B$3,1))</f>
        <v/>
      </c>
      <c r="AB69">
        <f>IF($B$1+25&gt;90,AA69,(AA69+IF($B$1+25&lt;=$B69,12*$B$7,-12*$B$6*(1+$B$4)^25))*IF(AA69+IF($B$1+25&lt;=$B69,12*$B$7,-12*$B$6*(1+$B$4)^25)&gt;0,1+$B$3,1))</f>
        <v/>
      </c>
      <c r="AC69">
        <f>IF($B$1+26&gt;90,AB69,(AB69+IF($B$1+26&lt;=$B69,12*$B$7,-12*$B$6*(1+$B$4)^26))*IF(AB69+IF($B$1+26&lt;=$B69,12*$B$7,-12*$B$6*(1+$B$4)^26)&gt;0,1+$B$3,1))</f>
        <v/>
      </c>
      <c r="AD69">
        <f>IF($B$1+27&gt;90,AC69,(AC69+IF($B$1+27&lt;=$B69,12*$B$7,-12*$B$6*(1+$B$4)^27))*IF(AC69+IF($B$1+27&lt;=$B69,12*$B$7,-12*$B$6*(1+$B$4)^27)&gt;0,1+$B$3,1))</f>
        <v/>
      </c>
      <c r="AE69">
        <f>IF($B$1+28&gt;90,AD69,(AD69+IF($B$1+28&lt;=$B69,12*$B$7,-12*$B$6*(1+$B$4)^28))*IF(AD69+IF($B$1+28&lt;=$B69,12*$B$7,-12*$B$6*(1+$B$4)^28)&gt;0,1+$B$3,1))</f>
        <v/>
      </c>
      <c r="AF69">
        <f>IF($B$1+29&gt;90,AE69,(AE69+IF($B$1+29&lt;=$B69,12*$B$7,-12*$B$6*(1+$B$4)^29))*IF(AE69+IF($B$1+29&lt;=$B69,12*$B$7,-12*$B$6*(1+$B$4)^29)&gt;0,1+$B$3,1))</f>
        <v/>
      </c>
      <c r="AG69">
        <f>IF($B$1+30&gt;90,AF69,(AF69+IF($B$1+30&lt;=$B69,12*$B$7,-12*$B$6*(1+$B$4)^30))*IF(AF69+IF($B$1+30&lt;=$B69,12*$B$7,-12*$B$6*(1+$B$4)^30)&gt;0,1+$B$3,1))</f>
        <v/>
      </c>
      <c r="AH69">
        <f>IF($B$1+31&gt;90,AG69,(AG69+IF($B$1+31&lt;=$B69,12*$B$7,-12*$B$6*(1+$B$4)^31))*IF(AG69+IF($B$1+31&lt;=$B69,12*$B$7,-12*$B$6*(1+$B$4)^31)&gt;0,1+$B$3,1))</f>
        <v/>
      </c>
      <c r="AI69">
        <f>IF($B$1+32&gt;90,AH69,(AH69+IF($B$1+32&lt;=$B69,12*$B$7,-12*$B$6*(1+$B$4)^32))*IF(AH69+IF($B$1+32&lt;=$B69,12*$B$7,-12*$B$6*(1+$B$4)^32)&gt;0,1+$B$3,1))</f>
        <v/>
      </c>
      <c r="AJ69">
        <f>IF($B$1+33&gt;90,AI69,(AI69+IF($B$1+33&lt;=$B69,12*$B$7,-12*$B$6*(1+$B$4)^33))*IF(AI69+IF($B$1+33&lt;=$B69,12*$B$7,-12*$B$6*(1+$B$4)^33)&gt;0,1+$B$3,1))</f>
        <v/>
      </c>
      <c r="AK69">
        <f>IF($B$1+34&gt;90,AJ69,(AJ69+IF($B$1+34&lt;=$B69,12*$B$7,-12*$B$6*(1+$B$4)^34))*IF(AJ69+IF($B$1+34&lt;=$B69,12*$B$7,-12*$B$6*(1+$B$4)^34)&gt;0,1+$B$3,1))</f>
        <v/>
      </c>
      <c r="AL69">
        <f>IF($B$1+35&gt;90,AK69,(AK69+IF($B$1+35&lt;=$B69,12*$B$7,-12*$B$6*(1+$B$4)^35))*IF(AK69+IF($B$1+35&lt;=$B69,12*$B$7,-12*$B$6*(1+$B$4)^35)&gt;0,1+$B$3,1))</f>
        <v/>
      </c>
      <c r="AM69">
        <f>IF($B$1+36&gt;90,AL69,(AL69+IF($B$1+36&lt;=$B69,12*$B$7,-12*$B$6*(1+$B$4)^36))*IF(AL69+IF($B$1+36&lt;=$B69,12*$B$7,-12*$B$6*(1+$B$4)^36)&gt;0,1+$B$3,1))</f>
        <v/>
      </c>
      <c r="AN69">
        <f>IF($B$1+37&gt;90,AM69,(AM69+IF($B$1+37&lt;=$B69,12*$B$7,-12*$B$6*(1+$B$4)^37))*IF(AM69+IF($B$1+37&lt;=$B69,12*$B$7,-12*$B$6*(1+$B$4)^37)&gt;0,1+$B$3,1))</f>
        <v/>
      </c>
      <c r="AO69">
        <f>IF($B$1+38&gt;90,AN69,(AN69+IF($B$1+38&lt;=$B69,12*$B$7,-12*$B$6*(1+$B$4)^38))*IF(AN69+IF($B$1+38&lt;=$B69,12*$B$7,-12*$B$6*(1+$B$4)^38)&gt;0,1+$B$3,1))</f>
        <v/>
      </c>
      <c r="AP69">
        <f>IF($B$1+39&gt;90,AO69,(AO69+IF($B$1+39&lt;=$B69,12*$B$7,-12*$B$6*(1+$B$4)^39))*IF(AO69+IF($B$1+39&lt;=$B69,12*$B$7,-12*$B$6*(1+$B$4)^39)&gt;0,1+$B$3,1))</f>
        <v/>
      </c>
      <c r="AQ69">
        <f>IF($B$1+40&gt;90,AP69,(AP69+IF($B$1+40&lt;=$B69,12*$B$7,-12*$B$6*(1+$B$4)^40))*IF(AP69+IF($B$1+40&lt;=$B69,12*$B$7,-12*$B$6*(1+$B$4)^40)&gt;0,1+$B$3,1))</f>
        <v/>
      </c>
      <c r="AR69">
        <f>IF($B$1+41&gt;90,AQ69,(AQ69+IF($B$1+41&lt;=$B69,12*$B$7,-12*$B$6*(1+$B$4)^41))*IF(AQ69+IF($B$1+41&lt;=$B69,12*$B$7,-12*$B$6*(1+$B$4)^41)&gt;0,1+$B$3,1))</f>
        <v/>
      </c>
      <c r="AS69">
        <f>IF($B$1+42&gt;90,AR69,(AR69+IF($B$1+42&lt;=$B69,12*$B$7,-12*$B$6*(1+$B$4)^42))*IF(AR69+IF($B$1+42&lt;=$B69,12*$B$7,-12*$B$6*(1+$B$4)^42)&gt;0,1+$B$3,1))</f>
        <v/>
      </c>
      <c r="AT69">
        <f>IF($B$1+43&gt;90,AS69,(AS69+IF($B$1+43&lt;=$B69,12*$B$7,-12*$B$6*(1+$B$4)^43))*IF(AS69+IF($B$1+43&lt;=$B69,12*$B$7,-12*$B$6*(1+$B$4)^43)&gt;0,1+$B$3,1))</f>
        <v/>
      </c>
      <c r="AU69">
        <f>IF($B$1+44&gt;90,AT69,(AT69+IF($B$1+44&lt;=$B69,12*$B$7,-12*$B$6*(1+$B$4)^44))*IF(AT69+IF($B$1+44&lt;=$B69,12*$B$7,-12*$B$6*(1+$B$4)^44)&gt;0,1+$B$3,1))</f>
        <v/>
      </c>
      <c r="AV69">
        <f>IF($B$1+45&gt;90,AU69,(AU69+IF($B$1+45&lt;=$B69,12*$B$7,-12*$B$6*(1+$B$4)^45))*IF(AU69+IF($B$1+45&lt;=$B69,12*$B$7,-12*$B$6*(1+$B$4)^45)&gt;0,1+$B$3,1))</f>
        <v/>
      </c>
      <c r="AW69">
        <f>IF($B$1+46&gt;90,AV69,(AV69+IF($B$1+46&lt;=$B69,12*$B$7,-12*$B$6*(1+$B$4)^46))*IF(AV69+IF($B$1+46&lt;=$B69,12*$B$7,-12*$B$6*(1+$B$4)^46)&gt;0,1+$B$3,1))</f>
        <v/>
      </c>
      <c r="AX69">
        <f>IF($B$1+47&gt;90,AW69,(AW69+IF($B$1+47&lt;=$B69,12*$B$7,-12*$B$6*(1+$B$4)^47))*IF(AW69+IF($B$1+47&lt;=$B69,12*$B$7,-12*$B$6*(1+$B$4)^47)&gt;0,1+$B$3,1))</f>
        <v/>
      </c>
      <c r="AY69">
        <f>IF($B$1+48&gt;90,AX69,(AX69+IF($B$1+48&lt;=$B69,12*$B$7,-12*$B$6*(1+$B$4)^48))*IF(AX69+IF($B$1+48&lt;=$B69,12*$B$7,-12*$B$6*(1+$B$4)^48)&gt;0,1+$B$3,1))</f>
        <v/>
      </c>
      <c r="AZ69">
        <f>IF($B$1+49&gt;90,AY69,(AY69+IF($B$1+49&lt;=$B69,12*$B$7,-12*$B$6*(1+$B$4)^49))*IF(AY69+IF($B$1+49&lt;=$B69,12*$B$7,-12*$B$6*(1+$B$4)^49)&gt;0,1+$B$3,1))</f>
        <v/>
      </c>
      <c r="BA69">
        <f>IF($B$1+50&gt;90,AZ69,(AZ69+IF($B$1+50&lt;=$B69,12*$B$7,-12*$B$6*(1+$B$4)^50))*IF(AZ69+IF($B$1+50&lt;=$B69,12*$B$7,-12*$B$6*(1+$B$4)^50)&gt;0,1+$B$3,1))</f>
        <v/>
      </c>
      <c r="BB69">
        <f>IF($B$1+51&gt;90,BA69,(BA69+IF($B$1+51&lt;=$B69,12*$B$7,-12*$B$6*(1+$B$4)^51))*IF(BA69+IF($B$1+51&lt;=$B69,12*$B$7,-12*$B$6*(1+$B$4)^51)&gt;0,1+$B$3,1))</f>
        <v/>
      </c>
      <c r="BC69">
        <f>IF($B$1+52&gt;90,BB69,(BB69+IF($B$1+52&lt;=$B69,12*$B$7,-12*$B$6*(1+$B$4)^52))*IF(BB69+IF($B$1+52&lt;=$B69,12*$B$7,-12*$B$6*(1+$B$4)^52)&gt;0,1+$B$3,1))</f>
        <v/>
      </c>
      <c r="BD69">
        <f>IF($B$1+53&gt;90,BC69,(BC69+IF($B$1+53&lt;=$B69,12*$B$7,-12*$B$6*(1+$B$4)^53))*IF(BC69+IF($B$1+53&lt;=$B69,12*$B$7,-12*$B$6*(1+$B$4)^53)&gt;0,1+$B$3,1))</f>
        <v/>
      </c>
      <c r="BE69">
        <f>IF($B$1+54&gt;90,BD69,(BD69+IF($B$1+54&lt;=$B69,12*$B$7,-12*$B$6*(1+$B$4)^54))*IF(BD69+IF($B$1+54&lt;=$B69,12*$B$7,-12*$B$6*(1+$B$4)^54)&gt;0,1+$B$3,1))</f>
        <v/>
      </c>
      <c r="BF69">
        <f>IF($B$1+55&gt;90,BE69,(BE69+IF($B$1+55&lt;=$B69,12*$B$7,-12*$B$6*(1+$B$4)^55))*IF(BE69+IF($B$1+55&lt;=$B69,12*$B$7,-12*$B$6*(1+$B$4)^55)&gt;0,1+$B$3,1))</f>
        <v/>
      </c>
      <c r="BG69">
        <f>IF($B$1+56&gt;90,BF69,(BF69+IF($B$1+56&lt;=$B69,12*$B$7,-12*$B$6*(1+$B$4)^56))*IF(BF69+IF($B$1+56&lt;=$B69,12*$B$7,-12*$B$6*(1+$B$4)^56)&gt;0,1+$B$3,1))</f>
        <v/>
      </c>
      <c r="BH69">
        <f>IF($B$1+57&gt;90,BG69,(BG69+IF($B$1+57&lt;=$B69,12*$B$7,-12*$B$6*(1+$B$4)^57))*IF(BG69+IF($B$1+57&lt;=$B69,12*$B$7,-12*$B$6*(1+$B$4)^57)&gt;0,1+$B$3,1))</f>
        <v/>
      </c>
      <c r="BI69">
        <f>IF($B$1+58&gt;90,BH69,(BH69+IF($B$1+58&lt;=$B69,12*$B$7,-12*$B$6*(1+$B$4)^58))*IF(BH69+IF($B$1+58&lt;=$B69,12*$B$7,-12*$B$6*(1+$B$4)^58)&gt;0,1+$B$3,1))</f>
        <v/>
      </c>
      <c r="BJ69">
        <f>IF($B$1+59&gt;90,BI69,(BI69+IF($B$1+59&lt;=$B69,12*$B$7,-12*$B$6*(1+$B$4)^59))*IF(BI69+IF($B$1+59&lt;=$B69,12*$B$7,-12*$B$6*(1+$B$4)^59)&gt;0,1+$B$3,1))</f>
        <v/>
      </c>
      <c r="BK69">
        <f>IF($B$1+60&gt;90,BJ69,(BJ69+IF($B$1+60&lt;=$B69,12*$B$7,-12*$B$6*(1+$B$4)^60))*IF(BJ69+IF($B$1+60&lt;=$B69,12*$B$7,-12*$B$6*(1+$B$4)^60)&gt;0,1+$B$3,1))</f>
        <v/>
      </c>
      <c r="BL69">
        <f>IF($B$1+61&gt;90,BK69,(BK69+IF($B$1+61&lt;=$B69,12*$B$7,-12*$B$6*(1+$B$4)^61))*IF(BK69+IF($B$1+61&lt;=$B69,12*$B$7,-12*$B$6*(1+$B$4)^61)&gt;0,1+$B$3,1))</f>
        <v/>
      </c>
      <c r="BM69">
        <f>IF($B$1+62&gt;90,BL69,(BL69+IF($B$1+62&lt;=$B69,12*$B$7,-12*$B$6*(1+$B$4)^62))*IF(BL69+IF($B$1+62&lt;=$B69,12*$B$7,-12*$B$6*(1+$B$4)^62)&gt;0,1+$B$3,1))</f>
        <v/>
      </c>
      <c r="BN69">
        <f>IF($B$1+63&gt;90,BM69,(BM69+IF($B$1+63&lt;=$B69,12*$B$7,-12*$B$6*(1+$B$4)^63))*IF(BM69+IF($B$1+63&lt;=$B69,12*$B$7,-12*$B$6*(1+$B$4)^63)&gt;0,1+$B$3,1))</f>
        <v/>
      </c>
      <c r="BO69">
        <f>IF($B$1+64&gt;90,BN69,(BN69+IF($B$1+64&lt;=$B69,12*$B$7,-12*$B$6*(1+$B$4)^64))*IF(BN69+IF($B$1+64&lt;=$B69,12*$B$7,-12*$B$6*(1+$B$4)^64)&gt;0,1+$B$3,1))</f>
        <v/>
      </c>
      <c r="BP69">
        <f>IF($B$1+65&gt;90,BO69,(BO69+IF($B$1+65&lt;=$B69,12*$B$7,-12*$B$6*(1+$B$4)^65))*IF(BO69+IF($B$1+65&lt;=$B69,12*$B$7,-12*$B$6*(1+$B$4)^65)&gt;0,1+$B$3,1))</f>
        <v/>
      </c>
      <c r="BQ69">
        <f>IF($B$1+66&gt;90,BP69,(BP69+IF($B$1+66&lt;=$B69,12*$B$7,-12*$B$6*(1+$B$4)^66))*IF(BP69+IF($B$1+66&lt;=$B69,12*$B$7,-12*$B$6*(1+$B$4)^66)&gt;0,1+$B$3,1))</f>
        <v/>
      </c>
      <c r="BR69">
        <f>IF($B$1+67&gt;90,BQ69,(BQ69+IF($B$1+67&lt;=$B69,12*$B$7,-12*$B$6*(1+$B$4)^67))*IF(BQ69+IF($B$1+67&lt;=$B69,12*$B$7,-12*$B$6*(1+$B$4)^67)&gt;0,1+$B$3,1))</f>
        <v/>
      </c>
      <c r="BS69">
        <f>IF($B$1+68&gt;90,BR69,(BR69+IF($B$1+68&lt;=$B69,12*$B$7,-12*$B$6*(1+$B$4)^68))*IF(BR69+IF($B$1+68&lt;=$B69,12*$B$7,-12*$B$6*(1+$B$4)^68)&gt;0,1+$B$3,1))</f>
        <v/>
      </c>
      <c r="BT69">
        <f>IF($B$1+69&gt;90,BS69,(BS69+IF($B$1+69&lt;=$B69,12*$B$7,-12*$B$6*(1+$B$4)^69))*IF(BS69+IF($B$1+69&lt;=$B69,12*$B$7,-12*$B$6*(1+$B$4)^69)&gt;0,1+$B$3,1))</f>
        <v/>
      </c>
      <c r="BU69">
        <f>IF($B$1+70&gt;90,BT69,(BT69+IF($B$1+70&lt;=$B69,12*$B$7,-12*$B$6*(1+$B$4)^70))*IF(BT69+IF($B$1+70&lt;=$B69,12*$B$7,-12*$B$6*(1+$B$4)^70)&gt;0,1+$B$3,1))</f>
        <v/>
      </c>
      <c r="BV69">
        <f>BU69</f>
        <v/>
      </c>
      <c r="BW69">
        <f>IF(AND($B69&lt;=70,BV69&gt;0),$B69,999)</f>
        <v/>
      </c>
      <c r="CB69" t="n">
        <v>68</v>
      </c>
      <c r="CC69">
        <f>IF($B$1+CB69&gt;90,0,12*$B$6*(1+$B$4)^CB69/(1+$B$3)^(CB69-1))</f>
        <v/>
      </c>
      <c r="CE69">
        <f>IF($B$1+67&gt;90,NA(),$B$1+67)</f>
        <v/>
      </c>
      <c r="CF69">
        <f>IF(OR($B$21="",$B$1+67&gt;90),NA(),INDEX($C$40:$BU$90,$B$21-$B$1+1,68))</f>
        <v/>
      </c>
    </row>
    <row r="70">
      <c r="A70" t="n">
        <v>30</v>
      </c>
      <c r="B70">
        <f>$B$1+30</f>
        <v/>
      </c>
      <c r="C70">
        <f>$B$2</f>
        <v/>
      </c>
      <c r="D70">
        <f>IF($B$1+1&gt;90,C70,(C70+IF($B$1+1&lt;=$B70,12*$B$7,-12*$B$6*(1+$B$4)^1))*IF(C70+IF($B$1+1&lt;=$B70,12*$B$7,-12*$B$6*(1+$B$4)^1)&gt;0,1+$B$3,1))</f>
        <v/>
      </c>
      <c r="E70">
        <f>IF($B$1+2&gt;90,D70,(D70+IF($B$1+2&lt;=$B70,12*$B$7,-12*$B$6*(1+$B$4)^2))*IF(D70+IF($B$1+2&lt;=$B70,12*$B$7,-12*$B$6*(1+$B$4)^2)&gt;0,1+$B$3,1))</f>
        <v/>
      </c>
      <c r="F70">
        <f>IF($B$1+3&gt;90,E70,(E70+IF($B$1+3&lt;=$B70,12*$B$7,-12*$B$6*(1+$B$4)^3))*IF(E70+IF($B$1+3&lt;=$B70,12*$B$7,-12*$B$6*(1+$B$4)^3)&gt;0,1+$B$3,1))</f>
        <v/>
      </c>
      <c r="G70">
        <f>IF($B$1+4&gt;90,F70,(F70+IF($B$1+4&lt;=$B70,12*$B$7,-12*$B$6*(1+$B$4)^4))*IF(F70+IF($B$1+4&lt;=$B70,12*$B$7,-12*$B$6*(1+$B$4)^4)&gt;0,1+$B$3,1))</f>
        <v/>
      </c>
      <c r="H70">
        <f>IF($B$1+5&gt;90,G70,(G70+IF($B$1+5&lt;=$B70,12*$B$7,-12*$B$6*(1+$B$4)^5))*IF(G70+IF($B$1+5&lt;=$B70,12*$B$7,-12*$B$6*(1+$B$4)^5)&gt;0,1+$B$3,1))</f>
        <v/>
      </c>
      <c r="I70">
        <f>IF($B$1+6&gt;90,H70,(H70+IF($B$1+6&lt;=$B70,12*$B$7,-12*$B$6*(1+$B$4)^6))*IF(H70+IF($B$1+6&lt;=$B70,12*$B$7,-12*$B$6*(1+$B$4)^6)&gt;0,1+$B$3,1))</f>
        <v/>
      </c>
      <c r="J70">
        <f>IF($B$1+7&gt;90,I70,(I70+IF($B$1+7&lt;=$B70,12*$B$7,-12*$B$6*(1+$B$4)^7))*IF(I70+IF($B$1+7&lt;=$B70,12*$B$7,-12*$B$6*(1+$B$4)^7)&gt;0,1+$B$3,1))</f>
        <v/>
      </c>
      <c r="K70">
        <f>IF($B$1+8&gt;90,J70,(J70+IF($B$1+8&lt;=$B70,12*$B$7,-12*$B$6*(1+$B$4)^8))*IF(J70+IF($B$1+8&lt;=$B70,12*$B$7,-12*$B$6*(1+$B$4)^8)&gt;0,1+$B$3,1))</f>
        <v/>
      </c>
      <c r="L70">
        <f>IF($B$1+9&gt;90,K70,(K70+IF($B$1+9&lt;=$B70,12*$B$7,-12*$B$6*(1+$B$4)^9))*IF(K70+IF($B$1+9&lt;=$B70,12*$B$7,-12*$B$6*(1+$B$4)^9)&gt;0,1+$B$3,1))</f>
        <v/>
      </c>
      <c r="M70">
        <f>IF($B$1+10&gt;90,L70,(L70+IF($B$1+10&lt;=$B70,12*$B$7,-12*$B$6*(1+$B$4)^10))*IF(L70+IF($B$1+10&lt;=$B70,12*$B$7,-12*$B$6*(1+$B$4)^10)&gt;0,1+$B$3,1))</f>
        <v/>
      </c>
      <c r="N70">
        <f>IF($B$1+11&gt;90,M70,(M70+IF($B$1+11&lt;=$B70,12*$B$7,-12*$B$6*(1+$B$4)^11))*IF(M70+IF($B$1+11&lt;=$B70,12*$B$7,-12*$B$6*(1+$B$4)^11)&gt;0,1+$B$3,1))</f>
        <v/>
      </c>
      <c r="O70">
        <f>IF($B$1+12&gt;90,N70,(N70+IF($B$1+12&lt;=$B70,12*$B$7,-12*$B$6*(1+$B$4)^12))*IF(N70+IF($B$1+12&lt;=$B70,12*$B$7,-12*$B$6*(1+$B$4)^12)&gt;0,1+$B$3,1))</f>
        <v/>
      </c>
      <c r="P70">
        <f>IF($B$1+13&gt;90,O70,(O70+IF($B$1+13&lt;=$B70,12*$B$7,-12*$B$6*(1+$B$4)^13))*IF(O70+IF($B$1+13&lt;=$B70,12*$B$7,-12*$B$6*(1+$B$4)^13)&gt;0,1+$B$3,1))</f>
        <v/>
      </c>
      <c r="Q70">
        <f>IF($B$1+14&gt;90,P70,(P70+IF($B$1+14&lt;=$B70,12*$B$7,-12*$B$6*(1+$B$4)^14))*IF(P70+IF($B$1+14&lt;=$B70,12*$B$7,-12*$B$6*(1+$B$4)^14)&gt;0,1+$B$3,1))</f>
        <v/>
      </c>
      <c r="R70">
        <f>IF($B$1+15&gt;90,Q70,(Q70+IF($B$1+15&lt;=$B70,12*$B$7,-12*$B$6*(1+$B$4)^15))*IF(Q70+IF($B$1+15&lt;=$B70,12*$B$7,-12*$B$6*(1+$B$4)^15)&gt;0,1+$B$3,1))</f>
        <v/>
      </c>
      <c r="S70">
        <f>IF($B$1+16&gt;90,R70,(R70+IF($B$1+16&lt;=$B70,12*$B$7,-12*$B$6*(1+$B$4)^16))*IF(R70+IF($B$1+16&lt;=$B70,12*$B$7,-12*$B$6*(1+$B$4)^16)&gt;0,1+$B$3,1))</f>
        <v/>
      </c>
      <c r="T70">
        <f>IF($B$1+17&gt;90,S70,(S70+IF($B$1+17&lt;=$B70,12*$B$7,-12*$B$6*(1+$B$4)^17))*IF(S70+IF($B$1+17&lt;=$B70,12*$B$7,-12*$B$6*(1+$B$4)^17)&gt;0,1+$B$3,1))</f>
        <v/>
      </c>
      <c r="U70">
        <f>IF($B$1+18&gt;90,T70,(T70+IF($B$1+18&lt;=$B70,12*$B$7,-12*$B$6*(1+$B$4)^18))*IF(T70+IF($B$1+18&lt;=$B70,12*$B$7,-12*$B$6*(1+$B$4)^18)&gt;0,1+$B$3,1))</f>
        <v/>
      </c>
      <c r="V70">
        <f>IF($B$1+19&gt;90,U70,(U70+IF($B$1+19&lt;=$B70,12*$B$7,-12*$B$6*(1+$B$4)^19))*IF(U70+IF($B$1+19&lt;=$B70,12*$B$7,-12*$B$6*(1+$B$4)^19)&gt;0,1+$B$3,1))</f>
        <v/>
      </c>
      <c r="W70">
        <f>IF($B$1+20&gt;90,V70,(V70+IF($B$1+20&lt;=$B70,12*$B$7,-12*$B$6*(1+$B$4)^20))*IF(V70+IF($B$1+20&lt;=$B70,12*$B$7,-12*$B$6*(1+$B$4)^20)&gt;0,1+$B$3,1))</f>
        <v/>
      </c>
      <c r="X70">
        <f>IF($B$1+21&gt;90,W70,(W70+IF($B$1+21&lt;=$B70,12*$B$7,-12*$B$6*(1+$B$4)^21))*IF(W70+IF($B$1+21&lt;=$B70,12*$B$7,-12*$B$6*(1+$B$4)^21)&gt;0,1+$B$3,1))</f>
        <v/>
      </c>
      <c r="Y70">
        <f>IF($B$1+22&gt;90,X70,(X70+IF($B$1+22&lt;=$B70,12*$B$7,-12*$B$6*(1+$B$4)^22))*IF(X70+IF($B$1+22&lt;=$B70,12*$B$7,-12*$B$6*(1+$B$4)^22)&gt;0,1+$B$3,1))</f>
        <v/>
      </c>
      <c r="Z70">
        <f>IF($B$1+23&gt;90,Y70,(Y70+IF($B$1+23&lt;=$B70,12*$B$7,-12*$B$6*(1+$B$4)^23))*IF(Y70+IF($B$1+23&lt;=$B70,12*$B$7,-12*$B$6*(1+$B$4)^23)&gt;0,1+$B$3,1))</f>
        <v/>
      </c>
      <c r="AA70">
        <f>IF($B$1+24&gt;90,Z70,(Z70+IF($B$1+24&lt;=$B70,12*$B$7,-12*$B$6*(1+$B$4)^24))*IF(Z70+IF($B$1+24&lt;=$B70,12*$B$7,-12*$B$6*(1+$B$4)^24)&gt;0,1+$B$3,1))</f>
        <v/>
      </c>
      <c r="AB70">
        <f>IF($B$1+25&gt;90,AA70,(AA70+IF($B$1+25&lt;=$B70,12*$B$7,-12*$B$6*(1+$B$4)^25))*IF(AA70+IF($B$1+25&lt;=$B70,12*$B$7,-12*$B$6*(1+$B$4)^25)&gt;0,1+$B$3,1))</f>
        <v/>
      </c>
      <c r="AC70">
        <f>IF($B$1+26&gt;90,AB70,(AB70+IF($B$1+26&lt;=$B70,12*$B$7,-12*$B$6*(1+$B$4)^26))*IF(AB70+IF($B$1+26&lt;=$B70,12*$B$7,-12*$B$6*(1+$B$4)^26)&gt;0,1+$B$3,1))</f>
        <v/>
      </c>
      <c r="AD70">
        <f>IF($B$1+27&gt;90,AC70,(AC70+IF($B$1+27&lt;=$B70,12*$B$7,-12*$B$6*(1+$B$4)^27))*IF(AC70+IF($B$1+27&lt;=$B70,12*$B$7,-12*$B$6*(1+$B$4)^27)&gt;0,1+$B$3,1))</f>
        <v/>
      </c>
      <c r="AE70">
        <f>IF($B$1+28&gt;90,AD70,(AD70+IF($B$1+28&lt;=$B70,12*$B$7,-12*$B$6*(1+$B$4)^28))*IF(AD70+IF($B$1+28&lt;=$B70,12*$B$7,-12*$B$6*(1+$B$4)^28)&gt;0,1+$B$3,1))</f>
        <v/>
      </c>
      <c r="AF70">
        <f>IF($B$1+29&gt;90,AE70,(AE70+IF($B$1+29&lt;=$B70,12*$B$7,-12*$B$6*(1+$B$4)^29))*IF(AE70+IF($B$1+29&lt;=$B70,12*$B$7,-12*$B$6*(1+$B$4)^29)&gt;0,1+$B$3,1))</f>
        <v/>
      </c>
      <c r="AG70">
        <f>IF($B$1+30&gt;90,AF70,(AF70+IF($B$1+30&lt;=$B70,12*$B$7,-12*$B$6*(1+$B$4)^30))*IF(AF70+IF($B$1+30&lt;=$B70,12*$B$7,-12*$B$6*(1+$B$4)^30)&gt;0,1+$B$3,1))</f>
        <v/>
      </c>
      <c r="AH70">
        <f>IF($B$1+31&gt;90,AG70,(AG70+IF($B$1+31&lt;=$B70,12*$B$7,-12*$B$6*(1+$B$4)^31))*IF(AG70+IF($B$1+31&lt;=$B70,12*$B$7,-12*$B$6*(1+$B$4)^31)&gt;0,1+$B$3,1))</f>
        <v/>
      </c>
      <c r="AI70">
        <f>IF($B$1+32&gt;90,AH70,(AH70+IF($B$1+32&lt;=$B70,12*$B$7,-12*$B$6*(1+$B$4)^32))*IF(AH70+IF($B$1+32&lt;=$B70,12*$B$7,-12*$B$6*(1+$B$4)^32)&gt;0,1+$B$3,1))</f>
        <v/>
      </c>
      <c r="AJ70">
        <f>IF($B$1+33&gt;90,AI70,(AI70+IF($B$1+33&lt;=$B70,12*$B$7,-12*$B$6*(1+$B$4)^33))*IF(AI70+IF($B$1+33&lt;=$B70,12*$B$7,-12*$B$6*(1+$B$4)^33)&gt;0,1+$B$3,1))</f>
        <v/>
      </c>
      <c r="AK70">
        <f>IF($B$1+34&gt;90,AJ70,(AJ70+IF($B$1+34&lt;=$B70,12*$B$7,-12*$B$6*(1+$B$4)^34))*IF(AJ70+IF($B$1+34&lt;=$B70,12*$B$7,-12*$B$6*(1+$B$4)^34)&gt;0,1+$B$3,1))</f>
        <v/>
      </c>
      <c r="AL70">
        <f>IF($B$1+35&gt;90,AK70,(AK70+IF($B$1+35&lt;=$B70,12*$B$7,-12*$B$6*(1+$B$4)^35))*IF(AK70+IF($B$1+35&lt;=$B70,12*$B$7,-12*$B$6*(1+$B$4)^35)&gt;0,1+$B$3,1))</f>
        <v/>
      </c>
      <c r="AM70">
        <f>IF($B$1+36&gt;90,AL70,(AL70+IF($B$1+36&lt;=$B70,12*$B$7,-12*$B$6*(1+$B$4)^36))*IF(AL70+IF($B$1+36&lt;=$B70,12*$B$7,-12*$B$6*(1+$B$4)^36)&gt;0,1+$B$3,1))</f>
        <v/>
      </c>
      <c r="AN70">
        <f>IF($B$1+37&gt;90,AM70,(AM70+IF($B$1+37&lt;=$B70,12*$B$7,-12*$B$6*(1+$B$4)^37))*IF(AM70+IF($B$1+37&lt;=$B70,12*$B$7,-12*$B$6*(1+$B$4)^37)&gt;0,1+$B$3,1))</f>
        <v/>
      </c>
      <c r="AO70">
        <f>IF($B$1+38&gt;90,AN70,(AN70+IF($B$1+38&lt;=$B70,12*$B$7,-12*$B$6*(1+$B$4)^38))*IF(AN70+IF($B$1+38&lt;=$B70,12*$B$7,-12*$B$6*(1+$B$4)^38)&gt;0,1+$B$3,1))</f>
        <v/>
      </c>
      <c r="AP70">
        <f>IF($B$1+39&gt;90,AO70,(AO70+IF($B$1+39&lt;=$B70,12*$B$7,-12*$B$6*(1+$B$4)^39))*IF(AO70+IF($B$1+39&lt;=$B70,12*$B$7,-12*$B$6*(1+$B$4)^39)&gt;0,1+$B$3,1))</f>
        <v/>
      </c>
      <c r="AQ70">
        <f>IF($B$1+40&gt;90,AP70,(AP70+IF($B$1+40&lt;=$B70,12*$B$7,-12*$B$6*(1+$B$4)^40))*IF(AP70+IF($B$1+40&lt;=$B70,12*$B$7,-12*$B$6*(1+$B$4)^40)&gt;0,1+$B$3,1))</f>
        <v/>
      </c>
      <c r="AR70">
        <f>IF($B$1+41&gt;90,AQ70,(AQ70+IF($B$1+41&lt;=$B70,12*$B$7,-12*$B$6*(1+$B$4)^41))*IF(AQ70+IF($B$1+41&lt;=$B70,12*$B$7,-12*$B$6*(1+$B$4)^41)&gt;0,1+$B$3,1))</f>
        <v/>
      </c>
      <c r="AS70">
        <f>IF($B$1+42&gt;90,AR70,(AR70+IF($B$1+42&lt;=$B70,12*$B$7,-12*$B$6*(1+$B$4)^42))*IF(AR70+IF($B$1+42&lt;=$B70,12*$B$7,-12*$B$6*(1+$B$4)^42)&gt;0,1+$B$3,1))</f>
        <v/>
      </c>
      <c r="AT70">
        <f>IF($B$1+43&gt;90,AS70,(AS70+IF($B$1+43&lt;=$B70,12*$B$7,-12*$B$6*(1+$B$4)^43))*IF(AS70+IF($B$1+43&lt;=$B70,12*$B$7,-12*$B$6*(1+$B$4)^43)&gt;0,1+$B$3,1))</f>
        <v/>
      </c>
      <c r="AU70">
        <f>IF($B$1+44&gt;90,AT70,(AT70+IF($B$1+44&lt;=$B70,12*$B$7,-12*$B$6*(1+$B$4)^44))*IF(AT70+IF($B$1+44&lt;=$B70,12*$B$7,-12*$B$6*(1+$B$4)^44)&gt;0,1+$B$3,1))</f>
        <v/>
      </c>
      <c r="AV70">
        <f>IF($B$1+45&gt;90,AU70,(AU70+IF($B$1+45&lt;=$B70,12*$B$7,-12*$B$6*(1+$B$4)^45))*IF(AU70+IF($B$1+45&lt;=$B70,12*$B$7,-12*$B$6*(1+$B$4)^45)&gt;0,1+$B$3,1))</f>
        <v/>
      </c>
      <c r="AW70">
        <f>IF($B$1+46&gt;90,AV70,(AV70+IF($B$1+46&lt;=$B70,12*$B$7,-12*$B$6*(1+$B$4)^46))*IF(AV70+IF($B$1+46&lt;=$B70,12*$B$7,-12*$B$6*(1+$B$4)^46)&gt;0,1+$B$3,1))</f>
        <v/>
      </c>
      <c r="AX70">
        <f>IF($B$1+47&gt;90,AW70,(AW70+IF($B$1+47&lt;=$B70,12*$B$7,-12*$B$6*(1+$B$4)^47))*IF(AW70+IF($B$1+47&lt;=$B70,12*$B$7,-12*$B$6*(1+$B$4)^47)&gt;0,1+$B$3,1))</f>
        <v/>
      </c>
      <c r="AY70">
        <f>IF($B$1+48&gt;90,AX70,(AX70+IF($B$1+48&lt;=$B70,12*$B$7,-12*$B$6*(1+$B$4)^48))*IF(AX70+IF($B$1+48&lt;=$B70,12*$B$7,-12*$B$6*(1+$B$4)^48)&gt;0,1+$B$3,1))</f>
        <v/>
      </c>
      <c r="AZ70">
        <f>IF($B$1+49&gt;90,AY70,(AY70+IF($B$1+49&lt;=$B70,12*$B$7,-12*$B$6*(1+$B$4)^49))*IF(AY70+IF($B$1+49&lt;=$B70,12*$B$7,-12*$B$6*(1+$B$4)^49)&gt;0,1+$B$3,1))</f>
        <v/>
      </c>
      <c r="BA70">
        <f>IF($B$1+50&gt;90,AZ70,(AZ70+IF($B$1+50&lt;=$B70,12*$B$7,-12*$B$6*(1+$B$4)^50))*IF(AZ70+IF($B$1+50&lt;=$B70,12*$B$7,-12*$B$6*(1+$B$4)^50)&gt;0,1+$B$3,1))</f>
        <v/>
      </c>
      <c r="BB70">
        <f>IF($B$1+51&gt;90,BA70,(BA70+IF($B$1+51&lt;=$B70,12*$B$7,-12*$B$6*(1+$B$4)^51))*IF(BA70+IF($B$1+51&lt;=$B70,12*$B$7,-12*$B$6*(1+$B$4)^51)&gt;0,1+$B$3,1))</f>
        <v/>
      </c>
      <c r="BC70">
        <f>IF($B$1+52&gt;90,BB70,(BB70+IF($B$1+52&lt;=$B70,12*$B$7,-12*$B$6*(1+$B$4)^52))*IF(BB70+IF($B$1+52&lt;=$B70,12*$B$7,-12*$B$6*(1+$B$4)^52)&gt;0,1+$B$3,1))</f>
        <v/>
      </c>
      <c r="BD70">
        <f>IF($B$1+53&gt;90,BC70,(BC70+IF($B$1+53&lt;=$B70,12*$B$7,-12*$B$6*(1+$B$4)^53))*IF(BC70+IF($B$1+53&lt;=$B70,12*$B$7,-12*$B$6*(1+$B$4)^53)&gt;0,1+$B$3,1))</f>
        <v/>
      </c>
      <c r="BE70">
        <f>IF($B$1+54&gt;90,BD70,(BD70+IF($B$1+54&lt;=$B70,12*$B$7,-12*$B$6*(1+$B$4)^54))*IF(BD70+IF($B$1+54&lt;=$B70,12*$B$7,-12*$B$6*(1+$B$4)^54)&gt;0,1+$B$3,1))</f>
        <v/>
      </c>
      <c r="BF70">
        <f>IF($B$1+55&gt;90,BE70,(BE70+IF($B$1+55&lt;=$B70,12*$B$7,-12*$B$6*(1+$B$4)^55))*IF(BE70+IF($B$1+55&lt;=$B70,12*$B$7,-12*$B$6*(1+$B$4)^55)&gt;0,1+$B$3,1))</f>
        <v/>
      </c>
      <c r="BG70">
        <f>IF($B$1+56&gt;90,BF70,(BF70+IF($B$1+56&lt;=$B70,12*$B$7,-12*$B$6*(1+$B$4)^56))*IF(BF70+IF($B$1+56&lt;=$B70,12*$B$7,-12*$B$6*(1+$B$4)^56)&gt;0,1+$B$3,1))</f>
        <v/>
      </c>
      <c r="BH70">
        <f>IF($B$1+57&gt;90,BG70,(BG70+IF($B$1+57&lt;=$B70,12*$B$7,-12*$B$6*(1+$B$4)^57))*IF(BG70+IF($B$1+57&lt;=$B70,12*$B$7,-12*$B$6*(1+$B$4)^57)&gt;0,1+$B$3,1))</f>
        <v/>
      </c>
      <c r="BI70">
        <f>IF($B$1+58&gt;90,BH70,(BH70+IF($B$1+58&lt;=$B70,12*$B$7,-12*$B$6*(1+$B$4)^58))*IF(BH70+IF($B$1+58&lt;=$B70,12*$B$7,-12*$B$6*(1+$B$4)^58)&gt;0,1+$B$3,1))</f>
        <v/>
      </c>
      <c r="BJ70">
        <f>IF($B$1+59&gt;90,BI70,(BI70+IF($B$1+59&lt;=$B70,12*$B$7,-12*$B$6*(1+$B$4)^59))*IF(BI70+IF($B$1+59&lt;=$B70,12*$B$7,-12*$B$6*(1+$B$4)^59)&gt;0,1+$B$3,1))</f>
        <v/>
      </c>
      <c r="BK70">
        <f>IF($B$1+60&gt;90,BJ70,(BJ70+IF($B$1+60&lt;=$B70,12*$B$7,-12*$B$6*(1+$B$4)^60))*IF(BJ70+IF($B$1+60&lt;=$B70,12*$B$7,-12*$B$6*(1+$B$4)^60)&gt;0,1+$B$3,1))</f>
        <v/>
      </c>
      <c r="BL70">
        <f>IF($B$1+61&gt;90,BK70,(BK70+IF($B$1+61&lt;=$B70,12*$B$7,-12*$B$6*(1+$B$4)^61))*IF(BK70+IF($B$1+61&lt;=$B70,12*$B$7,-12*$B$6*(1+$B$4)^61)&gt;0,1+$B$3,1))</f>
        <v/>
      </c>
      <c r="BM70">
        <f>IF($B$1+62&gt;90,BL70,(BL70+IF($B$1+62&lt;=$B70,12*$B$7,-12*$B$6*(1+$B$4)^62))*IF(BL70+IF($B$1+62&lt;=$B70,12*$B$7,-12*$B$6*(1+$B$4)^62)&gt;0,1+$B$3,1))</f>
        <v/>
      </c>
      <c r="BN70">
        <f>IF($B$1+63&gt;90,BM70,(BM70+IF($B$1+63&lt;=$B70,12*$B$7,-12*$B$6*(1+$B$4)^63))*IF(BM70+IF($B$1+63&lt;=$B70,12*$B$7,-12*$B$6*(1+$B$4)^63)&gt;0,1+$B$3,1))</f>
        <v/>
      </c>
      <c r="BO70">
        <f>IF($B$1+64&gt;90,BN70,(BN70+IF($B$1+64&lt;=$B70,12*$B$7,-12*$B$6*(1+$B$4)^64))*IF(BN70+IF($B$1+64&lt;=$B70,12*$B$7,-12*$B$6*(1+$B$4)^64)&gt;0,1+$B$3,1))</f>
        <v/>
      </c>
      <c r="BP70">
        <f>IF($B$1+65&gt;90,BO70,(BO70+IF($B$1+65&lt;=$B70,12*$B$7,-12*$B$6*(1+$B$4)^65))*IF(BO70+IF($B$1+65&lt;=$B70,12*$B$7,-12*$B$6*(1+$B$4)^65)&gt;0,1+$B$3,1))</f>
        <v/>
      </c>
      <c r="BQ70">
        <f>IF($B$1+66&gt;90,BP70,(BP70+IF($B$1+66&lt;=$B70,12*$B$7,-12*$B$6*(1+$B$4)^66))*IF(BP70+IF($B$1+66&lt;=$B70,12*$B$7,-12*$B$6*(1+$B$4)^66)&gt;0,1+$B$3,1))</f>
        <v/>
      </c>
      <c r="BR70">
        <f>IF($B$1+67&gt;90,BQ70,(BQ70+IF($B$1+67&lt;=$B70,12*$B$7,-12*$B$6*(1+$B$4)^67))*IF(BQ70+IF($B$1+67&lt;=$B70,12*$B$7,-12*$B$6*(1+$B$4)^67)&gt;0,1+$B$3,1))</f>
        <v/>
      </c>
      <c r="BS70">
        <f>IF($B$1+68&gt;90,BR70,(BR70+IF($B$1+68&lt;=$B70,12*$B$7,-12*$B$6*(1+$B$4)^68))*IF(BR70+IF($B$1+68&lt;=$B70,12*$B$7,-12*$B$6*(1+$B$4)^68)&gt;0,1+$B$3,1))</f>
        <v/>
      </c>
      <c r="BT70">
        <f>IF($B$1+69&gt;90,BS70,(BS70+IF($B$1+69&lt;=$B70,12*$B$7,-12*$B$6*(1+$B$4)^69))*IF(BS70+IF($B$1+69&lt;=$B70,12*$B$7,-12*$B$6*(1+$B$4)^69)&gt;0,1+$B$3,1))</f>
        <v/>
      </c>
      <c r="BU70">
        <f>IF($B$1+70&gt;90,BT70,(BT70+IF($B$1+70&lt;=$B70,12*$B$7,-12*$B$6*(1+$B$4)^70))*IF(BT70+IF($B$1+70&lt;=$B70,12*$B$7,-12*$B$6*(1+$B$4)^70)&gt;0,1+$B$3,1))</f>
        <v/>
      </c>
      <c r="BV70">
        <f>BU70</f>
        <v/>
      </c>
      <c r="BW70">
        <f>IF(AND($B70&lt;=70,BV70&gt;0),$B70,999)</f>
        <v/>
      </c>
      <c r="CB70" t="n">
        <v>69</v>
      </c>
      <c r="CC70">
        <f>IF($B$1+CB70&gt;90,0,12*$B$6*(1+$B$4)^CB70/(1+$B$3)^(CB70-1))</f>
        <v/>
      </c>
      <c r="CE70">
        <f>IF($B$1+68&gt;90,NA(),$B$1+68)</f>
        <v/>
      </c>
      <c r="CF70">
        <f>IF(OR($B$21="",$B$1+68&gt;90),NA(),INDEX($C$40:$BU$90,$B$21-$B$1+1,69))</f>
        <v/>
      </c>
    </row>
    <row r="71">
      <c r="A71" t="n">
        <v>31</v>
      </c>
      <c r="B71">
        <f>$B$1+31</f>
        <v/>
      </c>
      <c r="C71">
        <f>$B$2</f>
        <v/>
      </c>
      <c r="D71">
        <f>IF($B$1+1&gt;90,C71,(C71+IF($B$1+1&lt;=$B71,12*$B$7,-12*$B$6*(1+$B$4)^1))*IF(C71+IF($B$1+1&lt;=$B71,12*$B$7,-12*$B$6*(1+$B$4)^1)&gt;0,1+$B$3,1))</f>
        <v/>
      </c>
      <c r="E71">
        <f>IF($B$1+2&gt;90,D71,(D71+IF($B$1+2&lt;=$B71,12*$B$7,-12*$B$6*(1+$B$4)^2))*IF(D71+IF($B$1+2&lt;=$B71,12*$B$7,-12*$B$6*(1+$B$4)^2)&gt;0,1+$B$3,1))</f>
        <v/>
      </c>
      <c r="F71">
        <f>IF($B$1+3&gt;90,E71,(E71+IF($B$1+3&lt;=$B71,12*$B$7,-12*$B$6*(1+$B$4)^3))*IF(E71+IF($B$1+3&lt;=$B71,12*$B$7,-12*$B$6*(1+$B$4)^3)&gt;0,1+$B$3,1))</f>
        <v/>
      </c>
      <c r="G71">
        <f>IF($B$1+4&gt;90,F71,(F71+IF($B$1+4&lt;=$B71,12*$B$7,-12*$B$6*(1+$B$4)^4))*IF(F71+IF($B$1+4&lt;=$B71,12*$B$7,-12*$B$6*(1+$B$4)^4)&gt;0,1+$B$3,1))</f>
        <v/>
      </c>
      <c r="H71">
        <f>IF($B$1+5&gt;90,G71,(G71+IF($B$1+5&lt;=$B71,12*$B$7,-12*$B$6*(1+$B$4)^5))*IF(G71+IF($B$1+5&lt;=$B71,12*$B$7,-12*$B$6*(1+$B$4)^5)&gt;0,1+$B$3,1))</f>
        <v/>
      </c>
      <c r="I71">
        <f>IF($B$1+6&gt;90,H71,(H71+IF($B$1+6&lt;=$B71,12*$B$7,-12*$B$6*(1+$B$4)^6))*IF(H71+IF($B$1+6&lt;=$B71,12*$B$7,-12*$B$6*(1+$B$4)^6)&gt;0,1+$B$3,1))</f>
        <v/>
      </c>
      <c r="J71">
        <f>IF($B$1+7&gt;90,I71,(I71+IF($B$1+7&lt;=$B71,12*$B$7,-12*$B$6*(1+$B$4)^7))*IF(I71+IF($B$1+7&lt;=$B71,12*$B$7,-12*$B$6*(1+$B$4)^7)&gt;0,1+$B$3,1))</f>
        <v/>
      </c>
      <c r="K71">
        <f>IF($B$1+8&gt;90,J71,(J71+IF($B$1+8&lt;=$B71,12*$B$7,-12*$B$6*(1+$B$4)^8))*IF(J71+IF($B$1+8&lt;=$B71,12*$B$7,-12*$B$6*(1+$B$4)^8)&gt;0,1+$B$3,1))</f>
        <v/>
      </c>
      <c r="L71">
        <f>IF($B$1+9&gt;90,K71,(K71+IF($B$1+9&lt;=$B71,12*$B$7,-12*$B$6*(1+$B$4)^9))*IF(K71+IF($B$1+9&lt;=$B71,12*$B$7,-12*$B$6*(1+$B$4)^9)&gt;0,1+$B$3,1))</f>
        <v/>
      </c>
      <c r="M71">
        <f>IF($B$1+10&gt;90,L71,(L71+IF($B$1+10&lt;=$B71,12*$B$7,-12*$B$6*(1+$B$4)^10))*IF(L71+IF($B$1+10&lt;=$B71,12*$B$7,-12*$B$6*(1+$B$4)^10)&gt;0,1+$B$3,1))</f>
        <v/>
      </c>
      <c r="N71">
        <f>IF($B$1+11&gt;90,M71,(M71+IF($B$1+11&lt;=$B71,12*$B$7,-12*$B$6*(1+$B$4)^11))*IF(M71+IF($B$1+11&lt;=$B71,12*$B$7,-12*$B$6*(1+$B$4)^11)&gt;0,1+$B$3,1))</f>
        <v/>
      </c>
      <c r="O71">
        <f>IF($B$1+12&gt;90,N71,(N71+IF($B$1+12&lt;=$B71,12*$B$7,-12*$B$6*(1+$B$4)^12))*IF(N71+IF($B$1+12&lt;=$B71,12*$B$7,-12*$B$6*(1+$B$4)^12)&gt;0,1+$B$3,1))</f>
        <v/>
      </c>
      <c r="P71">
        <f>IF($B$1+13&gt;90,O71,(O71+IF($B$1+13&lt;=$B71,12*$B$7,-12*$B$6*(1+$B$4)^13))*IF(O71+IF($B$1+13&lt;=$B71,12*$B$7,-12*$B$6*(1+$B$4)^13)&gt;0,1+$B$3,1))</f>
        <v/>
      </c>
      <c r="Q71">
        <f>IF($B$1+14&gt;90,P71,(P71+IF($B$1+14&lt;=$B71,12*$B$7,-12*$B$6*(1+$B$4)^14))*IF(P71+IF($B$1+14&lt;=$B71,12*$B$7,-12*$B$6*(1+$B$4)^14)&gt;0,1+$B$3,1))</f>
        <v/>
      </c>
      <c r="R71">
        <f>IF($B$1+15&gt;90,Q71,(Q71+IF($B$1+15&lt;=$B71,12*$B$7,-12*$B$6*(1+$B$4)^15))*IF(Q71+IF($B$1+15&lt;=$B71,12*$B$7,-12*$B$6*(1+$B$4)^15)&gt;0,1+$B$3,1))</f>
        <v/>
      </c>
      <c r="S71">
        <f>IF($B$1+16&gt;90,R71,(R71+IF($B$1+16&lt;=$B71,12*$B$7,-12*$B$6*(1+$B$4)^16))*IF(R71+IF($B$1+16&lt;=$B71,12*$B$7,-12*$B$6*(1+$B$4)^16)&gt;0,1+$B$3,1))</f>
        <v/>
      </c>
      <c r="T71">
        <f>IF($B$1+17&gt;90,S71,(S71+IF($B$1+17&lt;=$B71,12*$B$7,-12*$B$6*(1+$B$4)^17))*IF(S71+IF($B$1+17&lt;=$B71,12*$B$7,-12*$B$6*(1+$B$4)^17)&gt;0,1+$B$3,1))</f>
        <v/>
      </c>
      <c r="U71">
        <f>IF($B$1+18&gt;90,T71,(T71+IF($B$1+18&lt;=$B71,12*$B$7,-12*$B$6*(1+$B$4)^18))*IF(T71+IF($B$1+18&lt;=$B71,12*$B$7,-12*$B$6*(1+$B$4)^18)&gt;0,1+$B$3,1))</f>
        <v/>
      </c>
      <c r="V71">
        <f>IF($B$1+19&gt;90,U71,(U71+IF($B$1+19&lt;=$B71,12*$B$7,-12*$B$6*(1+$B$4)^19))*IF(U71+IF($B$1+19&lt;=$B71,12*$B$7,-12*$B$6*(1+$B$4)^19)&gt;0,1+$B$3,1))</f>
        <v/>
      </c>
      <c r="W71">
        <f>IF($B$1+20&gt;90,V71,(V71+IF($B$1+20&lt;=$B71,12*$B$7,-12*$B$6*(1+$B$4)^20))*IF(V71+IF($B$1+20&lt;=$B71,12*$B$7,-12*$B$6*(1+$B$4)^20)&gt;0,1+$B$3,1))</f>
        <v/>
      </c>
      <c r="X71">
        <f>IF($B$1+21&gt;90,W71,(W71+IF($B$1+21&lt;=$B71,12*$B$7,-12*$B$6*(1+$B$4)^21))*IF(W71+IF($B$1+21&lt;=$B71,12*$B$7,-12*$B$6*(1+$B$4)^21)&gt;0,1+$B$3,1))</f>
        <v/>
      </c>
      <c r="Y71">
        <f>IF($B$1+22&gt;90,X71,(X71+IF($B$1+22&lt;=$B71,12*$B$7,-12*$B$6*(1+$B$4)^22))*IF(X71+IF($B$1+22&lt;=$B71,12*$B$7,-12*$B$6*(1+$B$4)^22)&gt;0,1+$B$3,1))</f>
        <v/>
      </c>
      <c r="Z71">
        <f>IF($B$1+23&gt;90,Y71,(Y71+IF($B$1+23&lt;=$B71,12*$B$7,-12*$B$6*(1+$B$4)^23))*IF(Y71+IF($B$1+23&lt;=$B71,12*$B$7,-12*$B$6*(1+$B$4)^23)&gt;0,1+$B$3,1))</f>
        <v/>
      </c>
      <c r="AA71">
        <f>IF($B$1+24&gt;90,Z71,(Z71+IF($B$1+24&lt;=$B71,12*$B$7,-12*$B$6*(1+$B$4)^24))*IF(Z71+IF($B$1+24&lt;=$B71,12*$B$7,-12*$B$6*(1+$B$4)^24)&gt;0,1+$B$3,1))</f>
        <v/>
      </c>
      <c r="AB71">
        <f>IF($B$1+25&gt;90,AA71,(AA71+IF($B$1+25&lt;=$B71,12*$B$7,-12*$B$6*(1+$B$4)^25))*IF(AA71+IF($B$1+25&lt;=$B71,12*$B$7,-12*$B$6*(1+$B$4)^25)&gt;0,1+$B$3,1))</f>
        <v/>
      </c>
      <c r="AC71">
        <f>IF($B$1+26&gt;90,AB71,(AB71+IF($B$1+26&lt;=$B71,12*$B$7,-12*$B$6*(1+$B$4)^26))*IF(AB71+IF($B$1+26&lt;=$B71,12*$B$7,-12*$B$6*(1+$B$4)^26)&gt;0,1+$B$3,1))</f>
        <v/>
      </c>
      <c r="AD71">
        <f>IF($B$1+27&gt;90,AC71,(AC71+IF($B$1+27&lt;=$B71,12*$B$7,-12*$B$6*(1+$B$4)^27))*IF(AC71+IF($B$1+27&lt;=$B71,12*$B$7,-12*$B$6*(1+$B$4)^27)&gt;0,1+$B$3,1))</f>
        <v/>
      </c>
      <c r="AE71">
        <f>IF($B$1+28&gt;90,AD71,(AD71+IF($B$1+28&lt;=$B71,12*$B$7,-12*$B$6*(1+$B$4)^28))*IF(AD71+IF($B$1+28&lt;=$B71,12*$B$7,-12*$B$6*(1+$B$4)^28)&gt;0,1+$B$3,1))</f>
        <v/>
      </c>
      <c r="AF71">
        <f>IF($B$1+29&gt;90,AE71,(AE71+IF($B$1+29&lt;=$B71,12*$B$7,-12*$B$6*(1+$B$4)^29))*IF(AE71+IF($B$1+29&lt;=$B71,12*$B$7,-12*$B$6*(1+$B$4)^29)&gt;0,1+$B$3,1))</f>
        <v/>
      </c>
      <c r="AG71">
        <f>IF($B$1+30&gt;90,AF71,(AF71+IF($B$1+30&lt;=$B71,12*$B$7,-12*$B$6*(1+$B$4)^30))*IF(AF71+IF($B$1+30&lt;=$B71,12*$B$7,-12*$B$6*(1+$B$4)^30)&gt;0,1+$B$3,1))</f>
        <v/>
      </c>
      <c r="AH71">
        <f>IF($B$1+31&gt;90,AG71,(AG71+IF($B$1+31&lt;=$B71,12*$B$7,-12*$B$6*(1+$B$4)^31))*IF(AG71+IF($B$1+31&lt;=$B71,12*$B$7,-12*$B$6*(1+$B$4)^31)&gt;0,1+$B$3,1))</f>
        <v/>
      </c>
      <c r="AI71">
        <f>IF($B$1+32&gt;90,AH71,(AH71+IF($B$1+32&lt;=$B71,12*$B$7,-12*$B$6*(1+$B$4)^32))*IF(AH71+IF($B$1+32&lt;=$B71,12*$B$7,-12*$B$6*(1+$B$4)^32)&gt;0,1+$B$3,1))</f>
        <v/>
      </c>
      <c r="AJ71">
        <f>IF($B$1+33&gt;90,AI71,(AI71+IF($B$1+33&lt;=$B71,12*$B$7,-12*$B$6*(1+$B$4)^33))*IF(AI71+IF($B$1+33&lt;=$B71,12*$B$7,-12*$B$6*(1+$B$4)^33)&gt;0,1+$B$3,1))</f>
        <v/>
      </c>
      <c r="AK71">
        <f>IF($B$1+34&gt;90,AJ71,(AJ71+IF($B$1+34&lt;=$B71,12*$B$7,-12*$B$6*(1+$B$4)^34))*IF(AJ71+IF($B$1+34&lt;=$B71,12*$B$7,-12*$B$6*(1+$B$4)^34)&gt;0,1+$B$3,1))</f>
        <v/>
      </c>
      <c r="AL71">
        <f>IF($B$1+35&gt;90,AK71,(AK71+IF($B$1+35&lt;=$B71,12*$B$7,-12*$B$6*(1+$B$4)^35))*IF(AK71+IF($B$1+35&lt;=$B71,12*$B$7,-12*$B$6*(1+$B$4)^35)&gt;0,1+$B$3,1))</f>
        <v/>
      </c>
      <c r="AM71">
        <f>IF($B$1+36&gt;90,AL71,(AL71+IF($B$1+36&lt;=$B71,12*$B$7,-12*$B$6*(1+$B$4)^36))*IF(AL71+IF($B$1+36&lt;=$B71,12*$B$7,-12*$B$6*(1+$B$4)^36)&gt;0,1+$B$3,1))</f>
        <v/>
      </c>
      <c r="AN71">
        <f>IF($B$1+37&gt;90,AM71,(AM71+IF($B$1+37&lt;=$B71,12*$B$7,-12*$B$6*(1+$B$4)^37))*IF(AM71+IF($B$1+37&lt;=$B71,12*$B$7,-12*$B$6*(1+$B$4)^37)&gt;0,1+$B$3,1))</f>
        <v/>
      </c>
      <c r="AO71">
        <f>IF($B$1+38&gt;90,AN71,(AN71+IF($B$1+38&lt;=$B71,12*$B$7,-12*$B$6*(1+$B$4)^38))*IF(AN71+IF($B$1+38&lt;=$B71,12*$B$7,-12*$B$6*(1+$B$4)^38)&gt;0,1+$B$3,1))</f>
        <v/>
      </c>
      <c r="AP71">
        <f>IF($B$1+39&gt;90,AO71,(AO71+IF($B$1+39&lt;=$B71,12*$B$7,-12*$B$6*(1+$B$4)^39))*IF(AO71+IF($B$1+39&lt;=$B71,12*$B$7,-12*$B$6*(1+$B$4)^39)&gt;0,1+$B$3,1))</f>
        <v/>
      </c>
      <c r="AQ71">
        <f>IF($B$1+40&gt;90,AP71,(AP71+IF($B$1+40&lt;=$B71,12*$B$7,-12*$B$6*(1+$B$4)^40))*IF(AP71+IF($B$1+40&lt;=$B71,12*$B$7,-12*$B$6*(1+$B$4)^40)&gt;0,1+$B$3,1))</f>
        <v/>
      </c>
      <c r="AR71">
        <f>IF($B$1+41&gt;90,AQ71,(AQ71+IF($B$1+41&lt;=$B71,12*$B$7,-12*$B$6*(1+$B$4)^41))*IF(AQ71+IF($B$1+41&lt;=$B71,12*$B$7,-12*$B$6*(1+$B$4)^41)&gt;0,1+$B$3,1))</f>
        <v/>
      </c>
      <c r="AS71">
        <f>IF($B$1+42&gt;90,AR71,(AR71+IF($B$1+42&lt;=$B71,12*$B$7,-12*$B$6*(1+$B$4)^42))*IF(AR71+IF($B$1+42&lt;=$B71,12*$B$7,-12*$B$6*(1+$B$4)^42)&gt;0,1+$B$3,1))</f>
        <v/>
      </c>
      <c r="AT71">
        <f>IF($B$1+43&gt;90,AS71,(AS71+IF($B$1+43&lt;=$B71,12*$B$7,-12*$B$6*(1+$B$4)^43))*IF(AS71+IF($B$1+43&lt;=$B71,12*$B$7,-12*$B$6*(1+$B$4)^43)&gt;0,1+$B$3,1))</f>
        <v/>
      </c>
      <c r="AU71">
        <f>IF($B$1+44&gt;90,AT71,(AT71+IF($B$1+44&lt;=$B71,12*$B$7,-12*$B$6*(1+$B$4)^44))*IF(AT71+IF($B$1+44&lt;=$B71,12*$B$7,-12*$B$6*(1+$B$4)^44)&gt;0,1+$B$3,1))</f>
        <v/>
      </c>
      <c r="AV71">
        <f>IF($B$1+45&gt;90,AU71,(AU71+IF($B$1+45&lt;=$B71,12*$B$7,-12*$B$6*(1+$B$4)^45))*IF(AU71+IF($B$1+45&lt;=$B71,12*$B$7,-12*$B$6*(1+$B$4)^45)&gt;0,1+$B$3,1))</f>
        <v/>
      </c>
      <c r="AW71">
        <f>IF($B$1+46&gt;90,AV71,(AV71+IF($B$1+46&lt;=$B71,12*$B$7,-12*$B$6*(1+$B$4)^46))*IF(AV71+IF($B$1+46&lt;=$B71,12*$B$7,-12*$B$6*(1+$B$4)^46)&gt;0,1+$B$3,1))</f>
        <v/>
      </c>
      <c r="AX71">
        <f>IF($B$1+47&gt;90,AW71,(AW71+IF($B$1+47&lt;=$B71,12*$B$7,-12*$B$6*(1+$B$4)^47))*IF(AW71+IF($B$1+47&lt;=$B71,12*$B$7,-12*$B$6*(1+$B$4)^47)&gt;0,1+$B$3,1))</f>
        <v/>
      </c>
      <c r="AY71">
        <f>IF($B$1+48&gt;90,AX71,(AX71+IF($B$1+48&lt;=$B71,12*$B$7,-12*$B$6*(1+$B$4)^48))*IF(AX71+IF($B$1+48&lt;=$B71,12*$B$7,-12*$B$6*(1+$B$4)^48)&gt;0,1+$B$3,1))</f>
        <v/>
      </c>
      <c r="AZ71">
        <f>IF($B$1+49&gt;90,AY71,(AY71+IF($B$1+49&lt;=$B71,12*$B$7,-12*$B$6*(1+$B$4)^49))*IF(AY71+IF($B$1+49&lt;=$B71,12*$B$7,-12*$B$6*(1+$B$4)^49)&gt;0,1+$B$3,1))</f>
        <v/>
      </c>
      <c r="BA71">
        <f>IF($B$1+50&gt;90,AZ71,(AZ71+IF($B$1+50&lt;=$B71,12*$B$7,-12*$B$6*(1+$B$4)^50))*IF(AZ71+IF($B$1+50&lt;=$B71,12*$B$7,-12*$B$6*(1+$B$4)^50)&gt;0,1+$B$3,1))</f>
        <v/>
      </c>
      <c r="BB71">
        <f>IF($B$1+51&gt;90,BA71,(BA71+IF($B$1+51&lt;=$B71,12*$B$7,-12*$B$6*(1+$B$4)^51))*IF(BA71+IF($B$1+51&lt;=$B71,12*$B$7,-12*$B$6*(1+$B$4)^51)&gt;0,1+$B$3,1))</f>
        <v/>
      </c>
      <c r="BC71">
        <f>IF($B$1+52&gt;90,BB71,(BB71+IF($B$1+52&lt;=$B71,12*$B$7,-12*$B$6*(1+$B$4)^52))*IF(BB71+IF($B$1+52&lt;=$B71,12*$B$7,-12*$B$6*(1+$B$4)^52)&gt;0,1+$B$3,1))</f>
        <v/>
      </c>
      <c r="BD71">
        <f>IF($B$1+53&gt;90,BC71,(BC71+IF($B$1+53&lt;=$B71,12*$B$7,-12*$B$6*(1+$B$4)^53))*IF(BC71+IF($B$1+53&lt;=$B71,12*$B$7,-12*$B$6*(1+$B$4)^53)&gt;0,1+$B$3,1))</f>
        <v/>
      </c>
      <c r="BE71">
        <f>IF($B$1+54&gt;90,BD71,(BD71+IF($B$1+54&lt;=$B71,12*$B$7,-12*$B$6*(1+$B$4)^54))*IF(BD71+IF($B$1+54&lt;=$B71,12*$B$7,-12*$B$6*(1+$B$4)^54)&gt;0,1+$B$3,1))</f>
        <v/>
      </c>
      <c r="BF71">
        <f>IF($B$1+55&gt;90,BE71,(BE71+IF($B$1+55&lt;=$B71,12*$B$7,-12*$B$6*(1+$B$4)^55))*IF(BE71+IF($B$1+55&lt;=$B71,12*$B$7,-12*$B$6*(1+$B$4)^55)&gt;0,1+$B$3,1))</f>
        <v/>
      </c>
      <c r="BG71">
        <f>IF($B$1+56&gt;90,BF71,(BF71+IF($B$1+56&lt;=$B71,12*$B$7,-12*$B$6*(1+$B$4)^56))*IF(BF71+IF($B$1+56&lt;=$B71,12*$B$7,-12*$B$6*(1+$B$4)^56)&gt;0,1+$B$3,1))</f>
        <v/>
      </c>
      <c r="BH71">
        <f>IF($B$1+57&gt;90,BG71,(BG71+IF($B$1+57&lt;=$B71,12*$B$7,-12*$B$6*(1+$B$4)^57))*IF(BG71+IF($B$1+57&lt;=$B71,12*$B$7,-12*$B$6*(1+$B$4)^57)&gt;0,1+$B$3,1))</f>
        <v/>
      </c>
      <c r="BI71">
        <f>IF($B$1+58&gt;90,BH71,(BH71+IF($B$1+58&lt;=$B71,12*$B$7,-12*$B$6*(1+$B$4)^58))*IF(BH71+IF($B$1+58&lt;=$B71,12*$B$7,-12*$B$6*(1+$B$4)^58)&gt;0,1+$B$3,1))</f>
        <v/>
      </c>
      <c r="BJ71">
        <f>IF($B$1+59&gt;90,BI71,(BI71+IF($B$1+59&lt;=$B71,12*$B$7,-12*$B$6*(1+$B$4)^59))*IF(BI71+IF($B$1+59&lt;=$B71,12*$B$7,-12*$B$6*(1+$B$4)^59)&gt;0,1+$B$3,1))</f>
        <v/>
      </c>
      <c r="BK71">
        <f>IF($B$1+60&gt;90,BJ71,(BJ71+IF($B$1+60&lt;=$B71,12*$B$7,-12*$B$6*(1+$B$4)^60))*IF(BJ71+IF($B$1+60&lt;=$B71,12*$B$7,-12*$B$6*(1+$B$4)^60)&gt;0,1+$B$3,1))</f>
        <v/>
      </c>
      <c r="BL71">
        <f>IF($B$1+61&gt;90,BK71,(BK71+IF($B$1+61&lt;=$B71,12*$B$7,-12*$B$6*(1+$B$4)^61))*IF(BK71+IF($B$1+61&lt;=$B71,12*$B$7,-12*$B$6*(1+$B$4)^61)&gt;0,1+$B$3,1))</f>
        <v/>
      </c>
      <c r="BM71">
        <f>IF($B$1+62&gt;90,BL71,(BL71+IF($B$1+62&lt;=$B71,12*$B$7,-12*$B$6*(1+$B$4)^62))*IF(BL71+IF($B$1+62&lt;=$B71,12*$B$7,-12*$B$6*(1+$B$4)^62)&gt;0,1+$B$3,1))</f>
        <v/>
      </c>
      <c r="BN71">
        <f>IF($B$1+63&gt;90,BM71,(BM71+IF($B$1+63&lt;=$B71,12*$B$7,-12*$B$6*(1+$B$4)^63))*IF(BM71+IF($B$1+63&lt;=$B71,12*$B$7,-12*$B$6*(1+$B$4)^63)&gt;0,1+$B$3,1))</f>
        <v/>
      </c>
      <c r="BO71">
        <f>IF($B$1+64&gt;90,BN71,(BN71+IF($B$1+64&lt;=$B71,12*$B$7,-12*$B$6*(1+$B$4)^64))*IF(BN71+IF($B$1+64&lt;=$B71,12*$B$7,-12*$B$6*(1+$B$4)^64)&gt;0,1+$B$3,1))</f>
        <v/>
      </c>
      <c r="BP71">
        <f>IF($B$1+65&gt;90,BO71,(BO71+IF($B$1+65&lt;=$B71,12*$B$7,-12*$B$6*(1+$B$4)^65))*IF(BO71+IF($B$1+65&lt;=$B71,12*$B$7,-12*$B$6*(1+$B$4)^65)&gt;0,1+$B$3,1))</f>
        <v/>
      </c>
      <c r="BQ71">
        <f>IF($B$1+66&gt;90,BP71,(BP71+IF($B$1+66&lt;=$B71,12*$B$7,-12*$B$6*(1+$B$4)^66))*IF(BP71+IF($B$1+66&lt;=$B71,12*$B$7,-12*$B$6*(1+$B$4)^66)&gt;0,1+$B$3,1))</f>
        <v/>
      </c>
      <c r="BR71">
        <f>IF($B$1+67&gt;90,BQ71,(BQ71+IF($B$1+67&lt;=$B71,12*$B$7,-12*$B$6*(1+$B$4)^67))*IF(BQ71+IF($B$1+67&lt;=$B71,12*$B$7,-12*$B$6*(1+$B$4)^67)&gt;0,1+$B$3,1))</f>
        <v/>
      </c>
      <c r="BS71">
        <f>IF($B$1+68&gt;90,BR71,(BR71+IF($B$1+68&lt;=$B71,12*$B$7,-12*$B$6*(1+$B$4)^68))*IF(BR71+IF($B$1+68&lt;=$B71,12*$B$7,-12*$B$6*(1+$B$4)^68)&gt;0,1+$B$3,1))</f>
        <v/>
      </c>
      <c r="BT71">
        <f>IF($B$1+69&gt;90,BS71,(BS71+IF($B$1+69&lt;=$B71,12*$B$7,-12*$B$6*(1+$B$4)^69))*IF(BS71+IF($B$1+69&lt;=$B71,12*$B$7,-12*$B$6*(1+$B$4)^69)&gt;0,1+$B$3,1))</f>
        <v/>
      </c>
      <c r="BU71">
        <f>IF($B$1+70&gt;90,BT71,(BT71+IF($B$1+70&lt;=$B71,12*$B$7,-12*$B$6*(1+$B$4)^70))*IF(BT71+IF($B$1+70&lt;=$B71,12*$B$7,-12*$B$6*(1+$B$4)^70)&gt;0,1+$B$3,1))</f>
        <v/>
      </c>
      <c r="BV71">
        <f>BU71</f>
        <v/>
      </c>
      <c r="BW71">
        <f>IF(AND($B71&lt;=70,BV71&gt;0),$B71,999)</f>
        <v/>
      </c>
      <c r="CB71" t="n">
        <v>70</v>
      </c>
      <c r="CC71">
        <f>IF($B$1+CB71&gt;90,0,12*$B$6*(1+$B$4)^CB71/(1+$B$3)^(CB71-1))</f>
        <v/>
      </c>
      <c r="CE71">
        <f>IF($B$1+69&gt;90,NA(),$B$1+69)</f>
        <v/>
      </c>
      <c r="CF71">
        <f>IF(OR($B$21="",$B$1+69&gt;90),NA(),INDEX($C$40:$BU$90,$B$21-$B$1+1,70))</f>
        <v/>
      </c>
    </row>
    <row r="72">
      <c r="A72" t="n">
        <v>32</v>
      </c>
      <c r="B72">
        <f>$B$1+32</f>
        <v/>
      </c>
      <c r="C72">
        <f>$B$2</f>
        <v/>
      </c>
      <c r="D72">
        <f>IF($B$1+1&gt;90,C72,(C72+IF($B$1+1&lt;=$B72,12*$B$7,-12*$B$6*(1+$B$4)^1))*IF(C72+IF($B$1+1&lt;=$B72,12*$B$7,-12*$B$6*(1+$B$4)^1)&gt;0,1+$B$3,1))</f>
        <v/>
      </c>
      <c r="E72">
        <f>IF($B$1+2&gt;90,D72,(D72+IF($B$1+2&lt;=$B72,12*$B$7,-12*$B$6*(1+$B$4)^2))*IF(D72+IF($B$1+2&lt;=$B72,12*$B$7,-12*$B$6*(1+$B$4)^2)&gt;0,1+$B$3,1))</f>
        <v/>
      </c>
      <c r="F72">
        <f>IF($B$1+3&gt;90,E72,(E72+IF($B$1+3&lt;=$B72,12*$B$7,-12*$B$6*(1+$B$4)^3))*IF(E72+IF($B$1+3&lt;=$B72,12*$B$7,-12*$B$6*(1+$B$4)^3)&gt;0,1+$B$3,1))</f>
        <v/>
      </c>
      <c r="G72">
        <f>IF($B$1+4&gt;90,F72,(F72+IF($B$1+4&lt;=$B72,12*$B$7,-12*$B$6*(1+$B$4)^4))*IF(F72+IF($B$1+4&lt;=$B72,12*$B$7,-12*$B$6*(1+$B$4)^4)&gt;0,1+$B$3,1))</f>
        <v/>
      </c>
      <c r="H72">
        <f>IF($B$1+5&gt;90,G72,(G72+IF($B$1+5&lt;=$B72,12*$B$7,-12*$B$6*(1+$B$4)^5))*IF(G72+IF($B$1+5&lt;=$B72,12*$B$7,-12*$B$6*(1+$B$4)^5)&gt;0,1+$B$3,1))</f>
        <v/>
      </c>
      <c r="I72">
        <f>IF($B$1+6&gt;90,H72,(H72+IF($B$1+6&lt;=$B72,12*$B$7,-12*$B$6*(1+$B$4)^6))*IF(H72+IF($B$1+6&lt;=$B72,12*$B$7,-12*$B$6*(1+$B$4)^6)&gt;0,1+$B$3,1))</f>
        <v/>
      </c>
      <c r="J72">
        <f>IF($B$1+7&gt;90,I72,(I72+IF($B$1+7&lt;=$B72,12*$B$7,-12*$B$6*(1+$B$4)^7))*IF(I72+IF($B$1+7&lt;=$B72,12*$B$7,-12*$B$6*(1+$B$4)^7)&gt;0,1+$B$3,1))</f>
        <v/>
      </c>
      <c r="K72">
        <f>IF($B$1+8&gt;90,J72,(J72+IF($B$1+8&lt;=$B72,12*$B$7,-12*$B$6*(1+$B$4)^8))*IF(J72+IF($B$1+8&lt;=$B72,12*$B$7,-12*$B$6*(1+$B$4)^8)&gt;0,1+$B$3,1))</f>
        <v/>
      </c>
      <c r="L72">
        <f>IF($B$1+9&gt;90,K72,(K72+IF($B$1+9&lt;=$B72,12*$B$7,-12*$B$6*(1+$B$4)^9))*IF(K72+IF($B$1+9&lt;=$B72,12*$B$7,-12*$B$6*(1+$B$4)^9)&gt;0,1+$B$3,1))</f>
        <v/>
      </c>
      <c r="M72">
        <f>IF($B$1+10&gt;90,L72,(L72+IF($B$1+10&lt;=$B72,12*$B$7,-12*$B$6*(1+$B$4)^10))*IF(L72+IF($B$1+10&lt;=$B72,12*$B$7,-12*$B$6*(1+$B$4)^10)&gt;0,1+$B$3,1))</f>
        <v/>
      </c>
      <c r="N72">
        <f>IF($B$1+11&gt;90,M72,(M72+IF($B$1+11&lt;=$B72,12*$B$7,-12*$B$6*(1+$B$4)^11))*IF(M72+IF($B$1+11&lt;=$B72,12*$B$7,-12*$B$6*(1+$B$4)^11)&gt;0,1+$B$3,1))</f>
        <v/>
      </c>
      <c r="O72">
        <f>IF($B$1+12&gt;90,N72,(N72+IF($B$1+12&lt;=$B72,12*$B$7,-12*$B$6*(1+$B$4)^12))*IF(N72+IF($B$1+12&lt;=$B72,12*$B$7,-12*$B$6*(1+$B$4)^12)&gt;0,1+$B$3,1))</f>
        <v/>
      </c>
      <c r="P72">
        <f>IF($B$1+13&gt;90,O72,(O72+IF($B$1+13&lt;=$B72,12*$B$7,-12*$B$6*(1+$B$4)^13))*IF(O72+IF($B$1+13&lt;=$B72,12*$B$7,-12*$B$6*(1+$B$4)^13)&gt;0,1+$B$3,1))</f>
        <v/>
      </c>
      <c r="Q72">
        <f>IF($B$1+14&gt;90,P72,(P72+IF($B$1+14&lt;=$B72,12*$B$7,-12*$B$6*(1+$B$4)^14))*IF(P72+IF($B$1+14&lt;=$B72,12*$B$7,-12*$B$6*(1+$B$4)^14)&gt;0,1+$B$3,1))</f>
        <v/>
      </c>
      <c r="R72">
        <f>IF($B$1+15&gt;90,Q72,(Q72+IF($B$1+15&lt;=$B72,12*$B$7,-12*$B$6*(1+$B$4)^15))*IF(Q72+IF($B$1+15&lt;=$B72,12*$B$7,-12*$B$6*(1+$B$4)^15)&gt;0,1+$B$3,1))</f>
        <v/>
      </c>
      <c r="S72">
        <f>IF($B$1+16&gt;90,R72,(R72+IF($B$1+16&lt;=$B72,12*$B$7,-12*$B$6*(1+$B$4)^16))*IF(R72+IF($B$1+16&lt;=$B72,12*$B$7,-12*$B$6*(1+$B$4)^16)&gt;0,1+$B$3,1))</f>
        <v/>
      </c>
      <c r="T72">
        <f>IF($B$1+17&gt;90,S72,(S72+IF($B$1+17&lt;=$B72,12*$B$7,-12*$B$6*(1+$B$4)^17))*IF(S72+IF($B$1+17&lt;=$B72,12*$B$7,-12*$B$6*(1+$B$4)^17)&gt;0,1+$B$3,1))</f>
        <v/>
      </c>
      <c r="U72">
        <f>IF($B$1+18&gt;90,T72,(T72+IF($B$1+18&lt;=$B72,12*$B$7,-12*$B$6*(1+$B$4)^18))*IF(T72+IF($B$1+18&lt;=$B72,12*$B$7,-12*$B$6*(1+$B$4)^18)&gt;0,1+$B$3,1))</f>
        <v/>
      </c>
      <c r="V72">
        <f>IF($B$1+19&gt;90,U72,(U72+IF($B$1+19&lt;=$B72,12*$B$7,-12*$B$6*(1+$B$4)^19))*IF(U72+IF($B$1+19&lt;=$B72,12*$B$7,-12*$B$6*(1+$B$4)^19)&gt;0,1+$B$3,1))</f>
        <v/>
      </c>
      <c r="W72">
        <f>IF($B$1+20&gt;90,V72,(V72+IF($B$1+20&lt;=$B72,12*$B$7,-12*$B$6*(1+$B$4)^20))*IF(V72+IF($B$1+20&lt;=$B72,12*$B$7,-12*$B$6*(1+$B$4)^20)&gt;0,1+$B$3,1))</f>
        <v/>
      </c>
      <c r="X72">
        <f>IF($B$1+21&gt;90,W72,(W72+IF($B$1+21&lt;=$B72,12*$B$7,-12*$B$6*(1+$B$4)^21))*IF(W72+IF($B$1+21&lt;=$B72,12*$B$7,-12*$B$6*(1+$B$4)^21)&gt;0,1+$B$3,1))</f>
        <v/>
      </c>
      <c r="Y72">
        <f>IF($B$1+22&gt;90,X72,(X72+IF($B$1+22&lt;=$B72,12*$B$7,-12*$B$6*(1+$B$4)^22))*IF(X72+IF($B$1+22&lt;=$B72,12*$B$7,-12*$B$6*(1+$B$4)^22)&gt;0,1+$B$3,1))</f>
        <v/>
      </c>
      <c r="Z72">
        <f>IF($B$1+23&gt;90,Y72,(Y72+IF($B$1+23&lt;=$B72,12*$B$7,-12*$B$6*(1+$B$4)^23))*IF(Y72+IF($B$1+23&lt;=$B72,12*$B$7,-12*$B$6*(1+$B$4)^23)&gt;0,1+$B$3,1))</f>
        <v/>
      </c>
      <c r="AA72">
        <f>IF($B$1+24&gt;90,Z72,(Z72+IF($B$1+24&lt;=$B72,12*$B$7,-12*$B$6*(1+$B$4)^24))*IF(Z72+IF($B$1+24&lt;=$B72,12*$B$7,-12*$B$6*(1+$B$4)^24)&gt;0,1+$B$3,1))</f>
        <v/>
      </c>
      <c r="AB72">
        <f>IF($B$1+25&gt;90,AA72,(AA72+IF($B$1+25&lt;=$B72,12*$B$7,-12*$B$6*(1+$B$4)^25))*IF(AA72+IF($B$1+25&lt;=$B72,12*$B$7,-12*$B$6*(1+$B$4)^25)&gt;0,1+$B$3,1))</f>
        <v/>
      </c>
      <c r="AC72">
        <f>IF($B$1+26&gt;90,AB72,(AB72+IF($B$1+26&lt;=$B72,12*$B$7,-12*$B$6*(1+$B$4)^26))*IF(AB72+IF($B$1+26&lt;=$B72,12*$B$7,-12*$B$6*(1+$B$4)^26)&gt;0,1+$B$3,1))</f>
        <v/>
      </c>
      <c r="AD72">
        <f>IF($B$1+27&gt;90,AC72,(AC72+IF($B$1+27&lt;=$B72,12*$B$7,-12*$B$6*(1+$B$4)^27))*IF(AC72+IF($B$1+27&lt;=$B72,12*$B$7,-12*$B$6*(1+$B$4)^27)&gt;0,1+$B$3,1))</f>
        <v/>
      </c>
      <c r="AE72">
        <f>IF($B$1+28&gt;90,AD72,(AD72+IF($B$1+28&lt;=$B72,12*$B$7,-12*$B$6*(1+$B$4)^28))*IF(AD72+IF($B$1+28&lt;=$B72,12*$B$7,-12*$B$6*(1+$B$4)^28)&gt;0,1+$B$3,1))</f>
        <v/>
      </c>
      <c r="AF72">
        <f>IF($B$1+29&gt;90,AE72,(AE72+IF($B$1+29&lt;=$B72,12*$B$7,-12*$B$6*(1+$B$4)^29))*IF(AE72+IF($B$1+29&lt;=$B72,12*$B$7,-12*$B$6*(1+$B$4)^29)&gt;0,1+$B$3,1))</f>
        <v/>
      </c>
      <c r="AG72">
        <f>IF($B$1+30&gt;90,AF72,(AF72+IF($B$1+30&lt;=$B72,12*$B$7,-12*$B$6*(1+$B$4)^30))*IF(AF72+IF($B$1+30&lt;=$B72,12*$B$7,-12*$B$6*(1+$B$4)^30)&gt;0,1+$B$3,1))</f>
        <v/>
      </c>
      <c r="AH72">
        <f>IF($B$1+31&gt;90,AG72,(AG72+IF($B$1+31&lt;=$B72,12*$B$7,-12*$B$6*(1+$B$4)^31))*IF(AG72+IF($B$1+31&lt;=$B72,12*$B$7,-12*$B$6*(1+$B$4)^31)&gt;0,1+$B$3,1))</f>
        <v/>
      </c>
      <c r="AI72">
        <f>IF($B$1+32&gt;90,AH72,(AH72+IF($B$1+32&lt;=$B72,12*$B$7,-12*$B$6*(1+$B$4)^32))*IF(AH72+IF($B$1+32&lt;=$B72,12*$B$7,-12*$B$6*(1+$B$4)^32)&gt;0,1+$B$3,1))</f>
        <v/>
      </c>
      <c r="AJ72">
        <f>IF($B$1+33&gt;90,AI72,(AI72+IF($B$1+33&lt;=$B72,12*$B$7,-12*$B$6*(1+$B$4)^33))*IF(AI72+IF($B$1+33&lt;=$B72,12*$B$7,-12*$B$6*(1+$B$4)^33)&gt;0,1+$B$3,1))</f>
        <v/>
      </c>
      <c r="AK72">
        <f>IF($B$1+34&gt;90,AJ72,(AJ72+IF($B$1+34&lt;=$B72,12*$B$7,-12*$B$6*(1+$B$4)^34))*IF(AJ72+IF($B$1+34&lt;=$B72,12*$B$7,-12*$B$6*(1+$B$4)^34)&gt;0,1+$B$3,1))</f>
        <v/>
      </c>
      <c r="AL72">
        <f>IF($B$1+35&gt;90,AK72,(AK72+IF($B$1+35&lt;=$B72,12*$B$7,-12*$B$6*(1+$B$4)^35))*IF(AK72+IF($B$1+35&lt;=$B72,12*$B$7,-12*$B$6*(1+$B$4)^35)&gt;0,1+$B$3,1))</f>
        <v/>
      </c>
      <c r="AM72">
        <f>IF($B$1+36&gt;90,AL72,(AL72+IF($B$1+36&lt;=$B72,12*$B$7,-12*$B$6*(1+$B$4)^36))*IF(AL72+IF($B$1+36&lt;=$B72,12*$B$7,-12*$B$6*(1+$B$4)^36)&gt;0,1+$B$3,1))</f>
        <v/>
      </c>
      <c r="AN72">
        <f>IF($B$1+37&gt;90,AM72,(AM72+IF($B$1+37&lt;=$B72,12*$B$7,-12*$B$6*(1+$B$4)^37))*IF(AM72+IF($B$1+37&lt;=$B72,12*$B$7,-12*$B$6*(1+$B$4)^37)&gt;0,1+$B$3,1))</f>
        <v/>
      </c>
      <c r="AO72">
        <f>IF($B$1+38&gt;90,AN72,(AN72+IF($B$1+38&lt;=$B72,12*$B$7,-12*$B$6*(1+$B$4)^38))*IF(AN72+IF($B$1+38&lt;=$B72,12*$B$7,-12*$B$6*(1+$B$4)^38)&gt;0,1+$B$3,1))</f>
        <v/>
      </c>
      <c r="AP72">
        <f>IF($B$1+39&gt;90,AO72,(AO72+IF($B$1+39&lt;=$B72,12*$B$7,-12*$B$6*(1+$B$4)^39))*IF(AO72+IF($B$1+39&lt;=$B72,12*$B$7,-12*$B$6*(1+$B$4)^39)&gt;0,1+$B$3,1))</f>
        <v/>
      </c>
      <c r="AQ72">
        <f>IF($B$1+40&gt;90,AP72,(AP72+IF($B$1+40&lt;=$B72,12*$B$7,-12*$B$6*(1+$B$4)^40))*IF(AP72+IF($B$1+40&lt;=$B72,12*$B$7,-12*$B$6*(1+$B$4)^40)&gt;0,1+$B$3,1))</f>
        <v/>
      </c>
      <c r="AR72">
        <f>IF($B$1+41&gt;90,AQ72,(AQ72+IF($B$1+41&lt;=$B72,12*$B$7,-12*$B$6*(1+$B$4)^41))*IF(AQ72+IF($B$1+41&lt;=$B72,12*$B$7,-12*$B$6*(1+$B$4)^41)&gt;0,1+$B$3,1))</f>
        <v/>
      </c>
      <c r="AS72">
        <f>IF($B$1+42&gt;90,AR72,(AR72+IF($B$1+42&lt;=$B72,12*$B$7,-12*$B$6*(1+$B$4)^42))*IF(AR72+IF($B$1+42&lt;=$B72,12*$B$7,-12*$B$6*(1+$B$4)^42)&gt;0,1+$B$3,1))</f>
        <v/>
      </c>
      <c r="AT72">
        <f>IF($B$1+43&gt;90,AS72,(AS72+IF($B$1+43&lt;=$B72,12*$B$7,-12*$B$6*(1+$B$4)^43))*IF(AS72+IF($B$1+43&lt;=$B72,12*$B$7,-12*$B$6*(1+$B$4)^43)&gt;0,1+$B$3,1))</f>
        <v/>
      </c>
      <c r="AU72">
        <f>IF($B$1+44&gt;90,AT72,(AT72+IF($B$1+44&lt;=$B72,12*$B$7,-12*$B$6*(1+$B$4)^44))*IF(AT72+IF($B$1+44&lt;=$B72,12*$B$7,-12*$B$6*(1+$B$4)^44)&gt;0,1+$B$3,1))</f>
        <v/>
      </c>
      <c r="AV72">
        <f>IF($B$1+45&gt;90,AU72,(AU72+IF($B$1+45&lt;=$B72,12*$B$7,-12*$B$6*(1+$B$4)^45))*IF(AU72+IF($B$1+45&lt;=$B72,12*$B$7,-12*$B$6*(1+$B$4)^45)&gt;0,1+$B$3,1))</f>
        <v/>
      </c>
      <c r="AW72">
        <f>IF($B$1+46&gt;90,AV72,(AV72+IF($B$1+46&lt;=$B72,12*$B$7,-12*$B$6*(1+$B$4)^46))*IF(AV72+IF($B$1+46&lt;=$B72,12*$B$7,-12*$B$6*(1+$B$4)^46)&gt;0,1+$B$3,1))</f>
        <v/>
      </c>
      <c r="AX72">
        <f>IF($B$1+47&gt;90,AW72,(AW72+IF($B$1+47&lt;=$B72,12*$B$7,-12*$B$6*(1+$B$4)^47))*IF(AW72+IF($B$1+47&lt;=$B72,12*$B$7,-12*$B$6*(1+$B$4)^47)&gt;0,1+$B$3,1))</f>
        <v/>
      </c>
      <c r="AY72">
        <f>IF($B$1+48&gt;90,AX72,(AX72+IF($B$1+48&lt;=$B72,12*$B$7,-12*$B$6*(1+$B$4)^48))*IF(AX72+IF($B$1+48&lt;=$B72,12*$B$7,-12*$B$6*(1+$B$4)^48)&gt;0,1+$B$3,1))</f>
        <v/>
      </c>
      <c r="AZ72">
        <f>IF($B$1+49&gt;90,AY72,(AY72+IF($B$1+49&lt;=$B72,12*$B$7,-12*$B$6*(1+$B$4)^49))*IF(AY72+IF($B$1+49&lt;=$B72,12*$B$7,-12*$B$6*(1+$B$4)^49)&gt;0,1+$B$3,1))</f>
        <v/>
      </c>
      <c r="BA72">
        <f>IF($B$1+50&gt;90,AZ72,(AZ72+IF($B$1+50&lt;=$B72,12*$B$7,-12*$B$6*(1+$B$4)^50))*IF(AZ72+IF($B$1+50&lt;=$B72,12*$B$7,-12*$B$6*(1+$B$4)^50)&gt;0,1+$B$3,1))</f>
        <v/>
      </c>
      <c r="BB72">
        <f>IF($B$1+51&gt;90,BA72,(BA72+IF($B$1+51&lt;=$B72,12*$B$7,-12*$B$6*(1+$B$4)^51))*IF(BA72+IF($B$1+51&lt;=$B72,12*$B$7,-12*$B$6*(1+$B$4)^51)&gt;0,1+$B$3,1))</f>
        <v/>
      </c>
      <c r="BC72">
        <f>IF($B$1+52&gt;90,BB72,(BB72+IF($B$1+52&lt;=$B72,12*$B$7,-12*$B$6*(1+$B$4)^52))*IF(BB72+IF($B$1+52&lt;=$B72,12*$B$7,-12*$B$6*(1+$B$4)^52)&gt;0,1+$B$3,1))</f>
        <v/>
      </c>
      <c r="BD72">
        <f>IF($B$1+53&gt;90,BC72,(BC72+IF($B$1+53&lt;=$B72,12*$B$7,-12*$B$6*(1+$B$4)^53))*IF(BC72+IF($B$1+53&lt;=$B72,12*$B$7,-12*$B$6*(1+$B$4)^53)&gt;0,1+$B$3,1))</f>
        <v/>
      </c>
      <c r="BE72">
        <f>IF($B$1+54&gt;90,BD72,(BD72+IF($B$1+54&lt;=$B72,12*$B$7,-12*$B$6*(1+$B$4)^54))*IF(BD72+IF($B$1+54&lt;=$B72,12*$B$7,-12*$B$6*(1+$B$4)^54)&gt;0,1+$B$3,1))</f>
        <v/>
      </c>
      <c r="BF72">
        <f>IF($B$1+55&gt;90,BE72,(BE72+IF($B$1+55&lt;=$B72,12*$B$7,-12*$B$6*(1+$B$4)^55))*IF(BE72+IF($B$1+55&lt;=$B72,12*$B$7,-12*$B$6*(1+$B$4)^55)&gt;0,1+$B$3,1))</f>
        <v/>
      </c>
      <c r="BG72">
        <f>IF($B$1+56&gt;90,BF72,(BF72+IF($B$1+56&lt;=$B72,12*$B$7,-12*$B$6*(1+$B$4)^56))*IF(BF72+IF($B$1+56&lt;=$B72,12*$B$7,-12*$B$6*(1+$B$4)^56)&gt;0,1+$B$3,1))</f>
        <v/>
      </c>
      <c r="BH72">
        <f>IF($B$1+57&gt;90,BG72,(BG72+IF($B$1+57&lt;=$B72,12*$B$7,-12*$B$6*(1+$B$4)^57))*IF(BG72+IF($B$1+57&lt;=$B72,12*$B$7,-12*$B$6*(1+$B$4)^57)&gt;0,1+$B$3,1))</f>
        <v/>
      </c>
      <c r="BI72">
        <f>IF($B$1+58&gt;90,BH72,(BH72+IF($B$1+58&lt;=$B72,12*$B$7,-12*$B$6*(1+$B$4)^58))*IF(BH72+IF($B$1+58&lt;=$B72,12*$B$7,-12*$B$6*(1+$B$4)^58)&gt;0,1+$B$3,1))</f>
        <v/>
      </c>
      <c r="BJ72">
        <f>IF($B$1+59&gt;90,BI72,(BI72+IF($B$1+59&lt;=$B72,12*$B$7,-12*$B$6*(1+$B$4)^59))*IF(BI72+IF($B$1+59&lt;=$B72,12*$B$7,-12*$B$6*(1+$B$4)^59)&gt;0,1+$B$3,1))</f>
        <v/>
      </c>
      <c r="BK72">
        <f>IF($B$1+60&gt;90,BJ72,(BJ72+IF($B$1+60&lt;=$B72,12*$B$7,-12*$B$6*(1+$B$4)^60))*IF(BJ72+IF($B$1+60&lt;=$B72,12*$B$7,-12*$B$6*(1+$B$4)^60)&gt;0,1+$B$3,1))</f>
        <v/>
      </c>
      <c r="BL72">
        <f>IF($B$1+61&gt;90,BK72,(BK72+IF($B$1+61&lt;=$B72,12*$B$7,-12*$B$6*(1+$B$4)^61))*IF(BK72+IF($B$1+61&lt;=$B72,12*$B$7,-12*$B$6*(1+$B$4)^61)&gt;0,1+$B$3,1))</f>
        <v/>
      </c>
      <c r="BM72">
        <f>IF($B$1+62&gt;90,BL72,(BL72+IF($B$1+62&lt;=$B72,12*$B$7,-12*$B$6*(1+$B$4)^62))*IF(BL72+IF($B$1+62&lt;=$B72,12*$B$7,-12*$B$6*(1+$B$4)^62)&gt;0,1+$B$3,1))</f>
        <v/>
      </c>
      <c r="BN72">
        <f>IF($B$1+63&gt;90,BM72,(BM72+IF($B$1+63&lt;=$B72,12*$B$7,-12*$B$6*(1+$B$4)^63))*IF(BM72+IF($B$1+63&lt;=$B72,12*$B$7,-12*$B$6*(1+$B$4)^63)&gt;0,1+$B$3,1))</f>
        <v/>
      </c>
      <c r="BO72">
        <f>IF($B$1+64&gt;90,BN72,(BN72+IF($B$1+64&lt;=$B72,12*$B$7,-12*$B$6*(1+$B$4)^64))*IF(BN72+IF($B$1+64&lt;=$B72,12*$B$7,-12*$B$6*(1+$B$4)^64)&gt;0,1+$B$3,1))</f>
        <v/>
      </c>
      <c r="BP72">
        <f>IF($B$1+65&gt;90,BO72,(BO72+IF($B$1+65&lt;=$B72,12*$B$7,-12*$B$6*(1+$B$4)^65))*IF(BO72+IF($B$1+65&lt;=$B72,12*$B$7,-12*$B$6*(1+$B$4)^65)&gt;0,1+$B$3,1))</f>
        <v/>
      </c>
      <c r="BQ72">
        <f>IF($B$1+66&gt;90,BP72,(BP72+IF($B$1+66&lt;=$B72,12*$B$7,-12*$B$6*(1+$B$4)^66))*IF(BP72+IF($B$1+66&lt;=$B72,12*$B$7,-12*$B$6*(1+$B$4)^66)&gt;0,1+$B$3,1))</f>
        <v/>
      </c>
      <c r="BR72">
        <f>IF($B$1+67&gt;90,BQ72,(BQ72+IF($B$1+67&lt;=$B72,12*$B$7,-12*$B$6*(1+$B$4)^67))*IF(BQ72+IF($B$1+67&lt;=$B72,12*$B$7,-12*$B$6*(1+$B$4)^67)&gt;0,1+$B$3,1))</f>
        <v/>
      </c>
      <c r="BS72">
        <f>IF($B$1+68&gt;90,BR72,(BR72+IF($B$1+68&lt;=$B72,12*$B$7,-12*$B$6*(1+$B$4)^68))*IF(BR72+IF($B$1+68&lt;=$B72,12*$B$7,-12*$B$6*(1+$B$4)^68)&gt;0,1+$B$3,1))</f>
        <v/>
      </c>
      <c r="BT72">
        <f>IF($B$1+69&gt;90,BS72,(BS72+IF($B$1+69&lt;=$B72,12*$B$7,-12*$B$6*(1+$B$4)^69))*IF(BS72+IF($B$1+69&lt;=$B72,12*$B$7,-12*$B$6*(1+$B$4)^69)&gt;0,1+$B$3,1))</f>
        <v/>
      </c>
      <c r="BU72">
        <f>IF($B$1+70&gt;90,BT72,(BT72+IF($B$1+70&lt;=$B72,12*$B$7,-12*$B$6*(1+$B$4)^70))*IF(BT72+IF($B$1+70&lt;=$B72,12*$B$7,-12*$B$6*(1+$B$4)^70)&gt;0,1+$B$3,1))</f>
        <v/>
      </c>
      <c r="BV72">
        <f>BU72</f>
        <v/>
      </c>
      <c r="BW72">
        <f>IF(AND($B72&lt;=70,BV72&gt;0),$B72,999)</f>
        <v/>
      </c>
      <c r="CE72">
        <f>IF($B$1+70&gt;90,NA(),$B$1+70)</f>
        <v/>
      </c>
      <c r="CF72">
        <f>IF(OR($B$21="",$B$1+70&gt;90),NA(),INDEX($C$40:$BU$90,$B$21-$B$1+1,71))</f>
        <v/>
      </c>
    </row>
    <row r="73">
      <c r="A73" t="n">
        <v>33</v>
      </c>
      <c r="B73">
        <f>$B$1+33</f>
        <v/>
      </c>
      <c r="C73">
        <f>$B$2</f>
        <v/>
      </c>
      <c r="D73">
        <f>IF($B$1+1&gt;90,C73,(C73+IF($B$1+1&lt;=$B73,12*$B$7,-12*$B$6*(1+$B$4)^1))*IF(C73+IF($B$1+1&lt;=$B73,12*$B$7,-12*$B$6*(1+$B$4)^1)&gt;0,1+$B$3,1))</f>
        <v/>
      </c>
      <c r="E73">
        <f>IF($B$1+2&gt;90,D73,(D73+IF($B$1+2&lt;=$B73,12*$B$7,-12*$B$6*(1+$B$4)^2))*IF(D73+IF($B$1+2&lt;=$B73,12*$B$7,-12*$B$6*(1+$B$4)^2)&gt;0,1+$B$3,1))</f>
        <v/>
      </c>
      <c r="F73">
        <f>IF($B$1+3&gt;90,E73,(E73+IF($B$1+3&lt;=$B73,12*$B$7,-12*$B$6*(1+$B$4)^3))*IF(E73+IF($B$1+3&lt;=$B73,12*$B$7,-12*$B$6*(1+$B$4)^3)&gt;0,1+$B$3,1))</f>
        <v/>
      </c>
      <c r="G73">
        <f>IF($B$1+4&gt;90,F73,(F73+IF($B$1+4&lt;=$B73,12*$B$7,-12*$B$6*(1+$B$4)^4))*IF(F73+IF($B$1+4&lt;=$B73,12*$B$7,-12*$B$6*(1+$B$4)^4)&gt;0,1+$B$3,1))</f>
        <v/>
      </c>
      <c r="H73">
        <f>IF($B$1+5&gt;90,G73,(G73+IF($B$1+5&lt;=$B73,12*$B$7,-12*$B$6*(1+$B$4)^5))*IF(G73+IF($B$1+5&lt;=$B73,12*$B$7,-12*$B$6*(1+$B$4)^5)&gt;0,1+$B$3,1))</f>
        <v/>
      </c>
      <c r="I73">
        <f>IF($B$1+6&gt;90,H73,(H73+IF($B$1+6&lt;=$B73,12*$B$7,-12*$B$6*(1+$B$4)^6))*IF(H73+IF($B$1+6&lt;=$B73,12*$B$7,-12*$B$6*(1+$B$4)^6)&gt;0,1+$B$3,1))</f>
        <v/>
      </c>
      <c r="J73">
        <f>IF($B$1+7&gt;90,I73,(I73+IF($B$1+7&lt;=$B73,12*$B$7,-12*$B$6*(1+$B$4)^7))*IF(I73+IF($B$1+7&lt;=$B73,12*$B$7,-12*$B$6*(1+$B$4)^7)&gt;0,1+$B$3,1))</f>
        <v/>
      </c>
      <c r="K73">
        <f>IF($B$1+8&gt;90,J73,(J73+IF($B$1+8&lt;=$B73,12*$B$7,-12*$B$6*(1+$B$4)^8))*IF(J73+IF($B$1+8&lt;=$B73,12*$B$7,-12*$B$6*(1+$B$4)^8)&gt;0,1+$B$3,1))</f>
        <v/>
      </c>
      <c r="L73">
        <f>IF($B$1+9&gt;90,K73,(K73+IF($B$1+9&lt;=$B73,12*$B$7,-12*$B$6*(1+$B$4)^9))*IF(K73+IF($B$1+9&lt;=$B73,12*$B$7,-12*$B$6*(1+$B$4)^9)&gt;0,1+$B$3,1))</f>
        <v/>
      </c>
      <c r="M73">
        <f>IF($B$1+10&gt;90,L73,(L73+IF($B$1+10&lt;=$B73,12*$B$7,-12*$B$6*(1+$B$4)^10))*IF(L73+IF($B$1+10&lt;=$B73,12*$B$7,-12*$B$6*(1+$B$4)^10)&gt;0,1+$B$3,1))</f>
        <v/>
      </c>
      <c r="N73">
        <f>IF($B$1+11&gt;90,M73,(M73+IF($B$1+11&lt;=$B73,12*$B$7,-12*$B$6*(1+$B$4)^11))*IF(M73+IF($B$1+11&lt;=$B73,12*$B$7,-12*$B$6*(1+$B$4)^11)&gt;0,1+$B$3,1))</f>
        <v/>
      </c>
      <c r="O73">
        <f>IF($B$1+12&gt;90,N73,(N73+IF($B$1+12&lt;=$B73,12*$B$7,-12*$B$6*(1+$B$4)^12))*IF(N73+IF($B$1+12&lt;=$B73,12*$B$7,-12*$B$6*(1+$B$4)^12)&gt;0,1+$B$3,1))</f>
        <v/>
      </c>
      <c r="P73">
        <f>IF($B$1+13&gt;90,O73,(O73+IF($B$1+13&lt;=$B73,12*$B$7,-12*$B$6*(1+$B$4)^13))*IF(O73+IF($B$1+13&lt;=$B73,12*$B$7,-12*$B$6*(1+$B$4)^13)&gt;0,1+$B$3,1))</f>
        <v/>
      </c>
      <c r="Q73">
        <f>IF($B$1+14&gt;90,P73,(P73+IF($B$1+14&lt;=$B73,12*$B$7,-12*$B$6*(1+$B$4)^14))*IF(P73+IF($B$1+14&lt;=$B73,12*$B$7,-12*$B$6*(1+$B$4)^14)&gt;0,1+$B$3,1))</f>
        <v/>
      </c>
      <c r="R73">
        <f>IF($B$1+15&gt;90,Q73,(Q73+IF($B$1+15&lt;=$B73,12*$B$7,-12*$B$6*(1+$B$4)^15))*IF(Q73+IF($B$1+15&lt;=$B73,12*$B$7,-12*$B$6*(1+$B$4)^15)&gt;0,1+$B$3,1))</f>
        <v/>
      </c>
      <c r="S73">
        <f>IF($B$1+16&gt;90,R73,(R73+IF($B$1+16&lt;=$B73,12*$B$7,-12*$B$6*(1+$B$4)^16))*IF(R73+IF($B$1+16&lt;=$B73,12*$B$7,-12*$B$6*(1+$B$4)^16)&gt;0,1+$B$3,1))</f>
        <v/>
      </c>
      <c r="T73">
        <f>IF($B$1+17&gt;90,S73,(S73+IF($B$1+17&lt;=$B73,12*$B$7,-12*$B$6*(1+$B$4)^17))*IF(S73+IF($B$1+17&lt;=$B73,12*$B$7,-12*$B$6*(1+$B$4)^17)&gt;0,1+$B$3,1))</f>
        <v/>
      </c>
      <c r="U73">
        <f>IF($B$1+18&gt;90,T73,(T73+IF($B$1+18&lt;=$B73,12*$B$7,-12*$B$6*(1+$B$4)^18))*IF(T73+IF($B$1+18&lt;=$B73,12*$B$7,-12*$B$6*(1+$B$4)^18)&gt;0,1+$B$3,1))</f>
        <v/>
      </c>
      <c r="V73">
        <f>IF($B$1+19&gt;90,U73,(U73+IF($B$1+19&lt;=$B73,12*$B$7,-12*$B$6*(1+$B$4)^19))*IF(U73+IF($B$1+19&lt;=$B73,12*$B$7,-12*$B$6*(1+$B$4)^19)&gt;0,1+$B$3,1))</f>
        <v/>
      </c>
      <c r="W73">
        <f>IF($B$1+20&gt;90,V73,(V73+IF($B$1+20&lt;=$B73,12*$B$7,-12*$B$6*(1+$B$4)^20))*IF(V73+IF($B$1+20&lt;=$B73,12*$B$7,-12*$B$6*(1+$B$4)^20)&gt;0,1+$B$3,1))</f>
        <v/>
      </c>
      <c r="X73">
        <f>IF($B$1+21&gt;90,W73,(W73+IF($B$1+21&lt;=$B73,12*$B$7,-12*$B$6*(1+$B$4)^21))*IF(W73+IF($B$1+21&lt;=$B73,12*$B$7,-12*$B$6*(1+$B$4)^21)&gt;0,1+$B$3,1))</f>
        <v/>
      </c>
      <c r="Y73">
        <f>IF($B$1+22&gt;90,X73,(X73+IF($B$1+22&lt;=$B73,12*$B$7,-12*$B$6*(1+$B$4)^22))*IF(X73+IF($B$1+22&lt;=$B73,12*$B$7,-12*$B$6*(1+$B$4)^22)&gt;0,1+$B$3,1))</f>
        <v/>
      </c>
      <c r="Z73">
        <f>IF($B$1+23&gt;90,Y73,(Y73+IF($B$1+23&lt;=$B73,12*$B$7,-12*$B$6*(1+$B$4)^23))*IF(Y73+IF($B$1+23&lt;=$B73,12*$B$7,-12*$B$6*(1+$B$4)^23)&gt;0,1+$B$3,1))</f>
        <v/>
      </c>
      <c r="AA73">
        <f>IF($B$1+24&gt;90,Z73,(Z73+IF($B$1+24&lt;=$B73,12*$B$7,-12*$B$6*(1+$B$4)^24))*IF(Z73+IF($B$1+24&lt;=$B73,12*$B$7,-12*$B$6*(1+$B$4)^24)&gt;0,1+$B$3,1))</f>
        <v/>
      </c>
      <c r="AB73">
        <f>IF($B$1+25&gt;90,AA73,(AA73+IF($B$1+25&lt;=$B73,12*$B$7,-12*$B$6*(1+$B$4)^25))*IF(AA73+IF($B$1+25&lt;=$B73,12*$B$7,-12*$B$6*(1+$B$4)^25)&gt;0,1+$B$3,1))</f>
        <v/>
      </c>
      <c r="AC73">
        <f>IF($B$1+26&gt;90,AB73,(AB73+IF($B$1+26&lt;=$B73,12*$B$7,-12*$B$6*(1+$B$4)^26))*IF(AB73+IF($B$1+26&lt;=$B73,12*$B$7,-12*$B$6*(1+$B$4)^26)&gt;0,1+$B$3,1))</f>
        <v/>
      </c>
      <c r="AD73">
        <f>IF($B$1+27&gt;90,AC73,(AC73+IF($B$1+27&lt;=$B73,12*$B$7,-12*$B$6*(1+$B$4)^27))*IF(AC73+IF($B$1+27&lt;=$B73,12*$B$7,-12*$B$6*(1+$B$4)^27)&gt;0,1+$B$3,1))</f>
        <v/>
      </c>
      <c r="AE73">
        <f>IF($B$1+28&gt;90,AD73,(AD73+IF($B$1+28&lt;=$B73,12*$B$7,-12*$B$6*(1+$B$4)^28))*IF(AD73+IF($B$1+28&lt;=$B73,12*$B$7,-12*$B$6*(1+$B$4)^28)&gt;0,1+$B$3,1))</f>
        <v/>
      </c>
      <c r="AF73">
        <f>IF($B$1+29&gt;90,AE73,(AE73+IF($B$1+29&lt;=$B73,12*$B$7,-12*$B$6*(1+$B$4)^29))*IF(AE73+IF($B$1+29&lt;=$B73,12*$B$7,-12*$B$6*(1+$B$4)^29)&gt;0,1+$B$3,1))</f>
        <v/>
      </c>
      <c r="AG73">
        <f>IF($B$1+30&gt;90,AF73,(AF73+IF($B$1+30&lt;=$B73,12*$B$7,-12*$B$6*(1+$B$4)^30))*IF(AF73+IF($B$1+30&lt;=$B73,12*$B$7,-12*$B$6*(1+$B$4)^30)&gt;0,1+$B$3,1))</f>
        <v/>
      </c>
      <c r="AH73">
        <f>IF($B$1+31&gt;90,AG73,(AG73+IF($B$1+31&lt;=$B73,12*$B$7,-12*$B$6*(1+$B$4)^31))*IF(AG73+IF($B$1+31&lt;=$B73,12*$B$7,-12*$B$6*(1+$B$4)^31)&gt;0,1+$B$3,1))</f>
        <v/>
      </c>
      <c r="AI73">
        <f>IF($B$1+32&gt;90,AH73,(AH73+IF($B$1+32&lt;=$B73,12*$B$7,-12*$B$6*(1+$B$4)^32))*IF(AH73+IF($B$1+32&lt;=$B73,12*$B$7,-12*$B$6*(1+$B$4)^32)&gt;0,1+$B$3,1))</f>
        <v/>
      </c>
      <c r="AJ73">
        <f>IF($B$1+33&gt;90,AI73,(AI73+IF($B$1+33&lt;=$B73,12*$B$7,-12*$B$6*(1+$B$4)^33))*IF(AI73+IF($B$1+33&lt;=$B73,12*$B$7,-12*$B$6*(1+$B$4)^33)&gt;0,1+$B$3,1))</f>
        <v/>
      </c>
      <c r="AK73">
        <f>IF($B$1+34&gt;90,AJ73,(AJ73+IF($B$1+34&lt;=$B73,12*$B$7,-12*$B$6*(1+$B$4)^34))*IF(AJ73+IF($B$1+34&lt;=$B73,12*$B$7,-12*$B$6*(1+$B$4)^34)&gt;0,1+$B$3,1))</f>
        <v/>
      </c>
      <c r="AL73">
        <f>IF($B$1+35&gt;90,AK73,(AK73+IF($B$1+35&lt;=$B73,12*$B$7,-12*$B$6*(1+$B$4)^35))*IF(AK73+IF($B$1+35&lt;=$B73,12*$B$7,-12*$B$6*(1+$B$4)^35)&gt;0,1+$B$3,1))</f>
        <v/>
      </c>
      <c r="AM73">
        <f>IF($B$1+36&gt;90,AL73,(AL73+IF($B$1+36&lt;=$B73,12*$B$7,-12*$B$6*(1+$B$4)^36))*IF(AL73+IF($B$1+36&lt;=$B73,12*$B$7,-12*$B$6*(1+$B$4)^36)&gt;0,1+$B$3,1))</f>
        <v/>
      </c>
      <c r="AN73">
        <f>IF($B$1+37&gt;90,AM73,(AM73+IF($B$1+37&lt;=$B73,12*$B$7,-12*$B$6*(1+$B$4)^37))*IF(AM73+IF($B$1+37&lt;=$B73,12*$B$7,-12*$B$6*(1+$B$4)^37)&gt;0,1+$B$3,1))</f>
        <v/>
      </c>
      <c r="AO73">
        <f>IF($B$1+38&gt;90,AN73,(AN73+IF($B$1+38&lt;=$B73,12*$B$7,-12*$B$6*(1+$B$4)^38))*IF(AN73+IF($B$1+38&lt;=$B73,12*$B$7,-12*$B$6*(1+$B$4)^38)&gt;0,1+$B$3,1))</f>
        <v/>
      </c>
      <c r="AP73">
        <f>IF($B$1+39&gt;90,AO73,(AO73+IF($B$1+39&lt;=$B73,12*$B$7,-12*$B$6*(1+$B$4)^39))*IF(AO73+IF($B$1+39&lt;=$B73,12*$B$7,-12*$B$6*(1+$B$4)^39)&gt;0,1+$B$3,1))</f>
        <v/>
      </c>
      <c r="AQ73">
        <f>IF($B$1+40&gt;90,AP73,(AP73+IF($B$1+40&lt;=$B73,12*$B$7,-12*$B$6*(1+$B$4)^40))*IF(AP73+IF($B$1+40&lt;=$B73,12*$B$7,-12*$B$6*(1+$B$4)^40)&gt;0,1+$B$3,1))</f>
        <v/>
      </c>
      <c r="AR73">
        <f>IF($B$1+41&gt;90,AQ73,(AQ73+IF($B$1+41&lt;=$B73,12*$B$7,-12*$B$6*(1+$B$4)^41))*IF(AQ73+IF($B$1+41&lt;=$B73,12*$B$7,-12*$B$6*(1+$B$4)^41)&gt;0,1+$B$3,1))</f>
        <v/>
      </c>
      <c r="AS73">
        <f>IF($B$1+42&gt;90,AR73,(AR73+IF($B$1+42&lt;=$B73,12*$B$7,-12*$B$6*(1+$B$4)^42))*IF(AR73+IF($B$1+42&lt;=$B73,12*$B$7,-12*$B$6*(1+$B$4)^42)&gt;0,1+$B$3,1))</f>
        <v/>
      </c>
      <c r="AT73">
        <f>IF($B$1+43&gt;90,AS73,(AS73+IF($B$1+43&lt;=$B73,12*$B$7,-12*$B$6*(1+$B$4)^43))*IF(AS73+IF($B$1+43&lt;=$B73,12*$B$7,-12*$B$6*(1+$B$4)^43)&gt;0,1+$B$3,1))</f>
        <v/>
      </c>
      <c r="AU73">
        <f>IF($B$1+44&gt;90,AT73,(AT73+IF($B$1+44&lt;=$B73,12*$B$7,-12*$B$6*(1+$B$4)^44))*IF(AT73+IF($B$1+44&lt;=$B73,12*$B$7,-12*$B$6*(1+$B$4)^44)&gt;0,1+$B$3,1))</f>
        <v/>
      </c>
      <c r="AV73">
        <f>IF($B$1+45&gt;90,AU73,(AU73+IF($B$1+45&lt;=$B73,12*$B$7,-12*$B$6*(1+$B$4)^45))*IF(AU73+IF($B$1+45&lt;=$B73,12*$B$7,-12*$B$6*(1+$B$4)^45)&gt;0,1+$B$3,1))</f>
        <v/>
      </c>
      <c r="AW73">
        <f>IF($B$1+46&gt;90,AV73,(AV73+IF($B$1+46&lt;=$B73,12*$B$7,-12*$B$6*(1+$B$4)^46))*IF(AV73+IF($B$1+46&lt;=$B73,12*$B$7,-12*$B$6*(1+$B$4)^46)&gt;0,1+$B$3,1))</f>
        <v/>
      </c>
      <c r="AX73">
        <f>IF($B$1+47&gt;90,AW73,(AW73+IF($B$1+47&lt;=$B73,12*$B$7,-12*$B$6*(1+$B$4)^47))*IF(AW73+IF($B$1+47&lt;=$B73,12*$B$7,-12*$B$6*(1+$B$4)^47)&gt;0,1+$B$3,1))</f>
        <v/>
      </c>
      <c r="AY73">
        <f>IF($B$1+48&gt;90,AX73,(AX73+IF($B$1+48&lt;=$B73,12*$B$7,-12*$B$6*(1+$B$4)^48))*IF(AX73+IF($B$1+48&lt;=$B73,12*$B$7,-12*$B$6*(1+$B$4)^48)&gt;0,1+$B$3,1))</f>
        <v/>
      </c>
      <c r="AZ73">
        <f>IF($B$1+49&gt;90,AY73,(AY73+IF($B$1+49&lt;=$B73,12*$B$7,-12*$B$6*(1+$B$4)^49))*IF(AY73+IF($B$1+49&lt;=$B73,12*$B$7,-12*$B$6*(1+$B$4)^49)&gt;0,1+$B$3,1))</f>
        <v/>
      </c>
      <c r="BA73">
        <f>IF($B$1+50&gt;90,AZ73,(AZ73+IF($B$1+50&lt;=$B73,12*$B$7,-12*$B$6*(1+$B$4)^50))*IF(AZ73+IF($B$1+50&lt;=$B73,12*$B$7,-12*$B$6*(1+$B$4)^50)&gt;0,1+$B$3,1))</f>
        <v/>
      </c>
      <c r="BB73">
        <f>IF($B$1+51&gt;90,BA73,(BA73+IF($B$1+51&lt;=$B73,12*$B$7,-12*$B$6*(1+$B$4)^51))*IF(BA73+IF($B$1+51&lt;=$B73,12*$B$7,-12*$B$6*(1+$B$4)^51)&gt;0,1+$B$3,1))</f>
        <v/>
      </c>
      <c r="BC73">
        <f>IF($B$1+52&gt;90,BB73,(BB73+IF($B$1+52&lt;=$B73,12*$B$7,-12*$B$6*(1+$B$4)^52))*IF(BB73+IF($B$1+52&lt;=$B73,12*$B$7,-12*$B$6*(1+$B$4)^52)&gt;0,1+$B$3,1))</f>
        <v/>
      </c>
      <c r="BD73">
        <f>IF($B$1+53&gt;90,BC73,(BC73+IF($B$1+53&lt;=$B73,12*$B$7,-12*$B$6*(1+$B$4)^53))*IF(BC73+IF($B$1+53&lt;=$B73,12*$B$7,-12*$B$6*(1+$B$4)^53)&gt;0,1+$B$3,1))</f>
        <v/>
      </c>
      <c r="BE73">
        <f>IF($B$1+54&gt;90,BD73,(BD73+IF($B$1+54&lt;=$B73,12*$B$7,-12*$B$6*(1+$B$4)^54))*IF(BD73+IF($B$1+54&lt;=$B73,12*$B$7,-12*$B$6*(1+$B$4)^54)&gt;0,1+$B$3,1))</f>
        <v/>
      </c>
      <c r="BF73">
        <f>IF($B$1+55&gt;90,BE73,(BE73+IF($B$1+55&lt;=$B73,12*$B$7,-12*$B$6*(1+$B$4)^55))*IF(BE73+IF($B$1+55&lt;=$B73,12*$B$7,-12*$B$6*(1+$B$4)^55)&gt;0,1+$B$3,1))</f>
        <v/>
      </c>
      <c r="BG73">
        <f>IF($B$1+56&gt;90,BF73,(BF73+IF($B$1+56&lt;=$B73,12*$B$7,-12*$B$6*(1+$B$4)^56))*IF(BF73+IF($B$1+56&lt;=$B73,12*$B$7,-12*$B$6*(1+$B$4)^56)&gt;0,1+$B$3,1))</f>
        <v/>
      </c>
      <c r="BH73">
        <f>IF($B$1+57&gt;90,BG73,(BG73+IF($B$1+57&lt;=$B73,12*$B$7,-12*$B$6*(1+$B$4)^57))*IF(BG73+IF($B$1+57&lt;=$B73,12*$B$7,-12*$B$6*(1+$B$4)^57)&gt;0,1+$B$3,1))</f>
        <v/>
      </c>
      <c r="BI73">
        <f>IF($B$1+58&gt;90,BH73,(BH73+IF($B$1+58&lt;=$B73,12*$B$7,-12*$B$6*(1+$B$4)^58))*IF(BH73+IF($B$1+58&lt;=$B73,12*$B$7,-12*$B$6*(1+$B$4)^58)&gt;0,1+$B$3,1))</f>
        <v/>
      </c>
      <c r="BJ73">
        <f>IF($B$1+59&gt;90,BI73,(BI73+IF($B$1+59&lt;=$B73,12*$B$7,-12*$B$6*(1+$B$4)^59))*IF(BI73+IF($B$1+59&lt;=$B73,12*$B$7,-12*$B$6*(1+$B$4)^59)&gt;0,1+$B$3,1))</f>
        <v/>
      </c>
      <c r="BK73">
        <f>IF($B$1+60&gt;90,BJ73,(BJ73+IF($B$1+60&lt;=$B73,12*$B$7,-12*$B$6*(1+$B$4)^60))*IF(BJ73+IF($B$1+60&lt;=$B73,12*$B$7,-12*$B$6*(1+$B$4)^60)&gt;0,1+$B$3,1))</f>
        <v/>
      </c>
      <c r="BL73">
        <f>IF($B$1+61&gt;90,BK73,(BK73+IF($B$1+61&lt;=$B73,12*$B$7,-12*$B$6*(1+$B$4)^61))*IF(BK73+IF($B$1+61&lt;=$B73,12*$B$7,-12*$B$6*(1+$B$4)^61)&gt;0,1+$B$3,1))</f>
        <v/>
      </c>
      <c r="BM73">
        <f>IF($B$1+62&gt;90,BL73,(BL73+IF($B$1+62&lt;=$B73,12*$B$7,-12*$B$6*(1+$B$4)^62))*IF(BL73+IF($B$1+62&lt;=$B73,12*$B$7,-12*$B$6*(1+$B$4)^62)&gt;0,1+$B$3,1))</f>
        <v/>
      </c>
      <c r="BN73">
        <f>IF($B$1+63&gt;90,BM73,(BM73+IF($B$1+63&lt;=$B73,12*$B$7,-12*$B$6*(1+$B$4)^63))*IF(BM73+IF($B$1+63&lt;=$B73,12*$B$7,-12*$B$6*(1+$B$4)^63)&gt;0,1+$B$3,1))</f>
        <v/>
      </c>
      <c r="BO73">
        <f>IF($B$1+64&gt;90,BN73,(BN73+IF($B$1+64&lt;=$B73,12*$B$7,-12*$B$6*(1+$B$4)^64))*IF(BN73+IF($B$1+64&lt;=$B73,12*$B$7,-12*$B$6*(1+$B$4)^64)&gt;0,1+$B$3,1))</f>
        <v/>
      </c>
      <c r="BP73">
        <f>IF($B$1+65&gt;90,BO73,(BO73+IF($B$1+65&lt;=$B73,12*$B$7,-12*$B$6*(1+$B$4)^65))*IF(BO73+IF($B$1+65&lt;=$B73,12*$B$7,-12*$B$6*(1+$B$4)^65)&gt;0,1+$B$3,1))</f>
        <v/>
      </c>
      <c r="BQ73">
        <f>IF($B$1+66&gt;90,BP73,(BP73+IF($B$1+66&lt;=$B73,12*$B$7,-12*$B$6*(1+$B$4)^66))*IF(BP73+IF($B$1+66&lt;=$B73,12*$B$7,-12*$B$6*(1+$B$4)^66)&gt;0,1+$B$3,1))</f>
        <v/>
      </c>
      <c r="BR73">
        <f>IF($B$1+67&gt;90,BQ73,(BQ73+IF($B$1+67&lt;=$B73,12*$B$7,-12*$B$6*(1+$B$4)^67))*IF(BQ73+IF($B$1+67&lt;=$B73,12*$B$7,-12*$B$6*(1+$B$4)^67)&gt;0,1+$B$3,1))</f>
        <v/>
      </c>
      <c r="BS73">
        <f>IF($B$1+68&gt;90,BR73,(BR73+IF($B$1+68&lt;=$B73,12*$B$7,-12*$B$6*(1+$B$4)^68))*IF(BR73+IF($B$1+68&lt;=$B73,12*$B$7,-12*$B$6*(1+$B$4)^68)&gt;0,1+$B$3,1))</f>
        <v/>
      </c>
      <c r="BT73">
        <f>IF($B$1+69&gt;90,BS73,(BS73+IF($B$1+69&lt;=$B73,12*$B$7,-12*$B$6*(1+$B$4)^69))*IF(BS73+IF($B$1+69&lt;=$B73,12*$B$7,-12*$B$6*(1+$B$4)^69)&gt;0,1+$B$3,1))</f>
        <v/>
      </c>
      <c r="BU73">
        <f>IF($B$1+70&gt;90,BT73,(BT73+IF($B$1+70&lt;=$B73,12*$B$7,-12*$B$6*(1+$B$4)^70))*IF(BT73+IF($B$1+70&lt;=$B73,12*$B$7,-12*$B$6*(1+$B$4)^70)&gt;0,1+$B$3,1))</f>
        <v/>
      </c>
      <c r="BV73">
        <f>BU73</f>
        <v/>
      </c>
      <c r="BW73">
        <f>IF(AND($B73&lt;=70,BV73&gt;0),$B73,999)</f>
        <v/>
      </c>
    </row>
    <row r="74">
      <c r="A74" t="n">
        <v>34</v>
      </c>
      <c r="B74">
        <f>$B$1+34</f>
        <v/>
      </c>
      <c r="C74">
        <f>$B$2</f>
        <v/>
      </c>
      <c r="D74">
        <f>IF($B$1+1&gt;90,C74,(C74+IF($B$1+1&lt;=$B74,12*$B$7,-12*$B$6*(1+$B$4)^1))*IF(C74+IF($B$1+1&lt;=$B74,12*$B$7,-12*$B$6*(1+$B$4)^1)&gt;0,1+$B$3,1))</f>
        <v/>
      </c>
      <c r="E74">
        <f>IF($B$1+2&gt;90,D74,(D74+IF($B$1+2&lt;=$B74,12*$B$7,-12*$B$6*(1+$B$4)^2))*IF(D74+IF($B$1+2&lt;=$B74,12*$B$7,-12*$B$6*(1+$B$4)^2)&gt;0,1+$B$3,1))</f>
        <v/>
      </c>
      <c r="F74">
        <f>IF($B$1+3&gt;90,E74,(E74+IF($B$1+3&lt;=$B74,12*$B$7,-12*$B$6*(1+$B$4)^3))*IF(E74+IF($B$1+3&lt;=$B74,12*$B$7,-12*$B$6*(1+$B$4)^3)&gt;0,1+$B$3,1))</f>
        <v/>
      </c>
      <c r="G74">
        <f>IF($B$1+4&gt;90,F74,(F74+IF($B$1+4&lt;=$B74,12*$B$7,-12*$B$6*(1+$B$4)^4))*IF(F74+IF($B$1+4&lt;=$B74,12*$B$7,-12*$B$6*(1+$B$4)^4)&gt;0,1+$B$3,1))</f>
        <v/>
      </c>
      <c r="H74">
        <f>IF($B$1+5&gt;90,G74,(G74+IF($B$1+5&lt;=$B74,12*$B$7,-12*$B$6*(1+$B$4)^5))*IF(G74+IF($B$1+5&lt;=$B74,12*$B$7,-12*$B$6*(1+$B$4)^5)&gt;0,1+$B$3,1))</f>
        <v/>
      </c>
      <c r="I74">
        <f>IF($B$1+6&gt;90,H74,(H74+IF($B$1+6&lt;=$B74,12*$B$7,-12*$B$6*(1+$B$4)^6))*IF(H74+IF($B$1+6&lt;=$B74,12*$B$7,-12*$B$6*(1+$B$4)^6)&gt;0,1+$B$3,1))</f>
        <v/>
      </c>
      <c r="J74">
        <f>IF($B$1+7&gt;90,I74,(I74+IF($B$1+7&lt;=$B74,12*$B$7,-12*$B$6*(1+$B$4)^7))*IF(I74+IF($B$1+7&lt;=$B74,12*$B$7,-12*$B$6*(1+$B$4)^7)&gt;0,1+$B$3,1))</f>
        <v/>
      </c>
      <c r="K74">
        <f>IF($B$1+8&gt;90,J74,(J74+IF($B$1+8&lt;=$B74,12*$B$7,-12*$B$6*(1+$B$4)^8))*IF(J74+IF($B$1+8&lt;=$B74,12*$B$7,-12*$B$6*(1+$B$4)^8)&gt;0,1+$B$3,1))</f>
        <v/>
      </c>
      <c r="L74">
        <f>IF($B$1+9&gt;90,K74,(K74+IF($B$1+9&lt;=$B74,12*$B$7,-12*$B$6*(1+$B$4)^9))*IF(K74+IF($B$1+9&lt;=$B74,12*$B$7,-12*$B$6*(1+$B$4)^9)&gt;0,1+$B$3,1))</f>
        <v/>
      </c>
      <c r="M74">
        <f>IF($B$1+10&gt;90,L74,(L74+IF($B$1+10&lt;=$B74,12*$B$7,-12*$B$6*(1+$B$4)^10))*IF(L74+IF($B$1+10&lt;=$B74,12*$B$7,-12*$B$6*(1+$B$4)^10)&gt;0,1+$B$3,1))</f>
        <v/>
      </c>
      <c r="N74">
        <f>IF($B$1+11&gt;90,M74,(M74+IF($B$1+11&lt;=$B74,12*$B$7,-12*$B$6*(1+$B$4)^11))*IF(M74+IF($B$1+11&lt;=$B74,12*$B$7,-12*$B$6*(1+$B$4)^11)&gt;0,1+$B$3,1))</f>
        <v/>
      </c>
      <c r="O74">
        <f>IF($B$1+12&gt;90,N74,(N74+IF($B$1+12&lt;=$B74,12*$B$7,-12*$B$6*(1+$B$4)^12))*IF(N74+IF($B$1+12&lt;=$B74,12*$B$7,-12*$B$6*(1+$B$4)^12)&gt;0,1+$B$3,1))</f>
        <v/>
      </c>
      <c r="P74">
        <f>IF($B$1+13&gt;90,O74,(O74+IF($B$1+13&lt;=$B74,12*$B$7,-12*$B$6*(1+$B$4)^13))*IF(O74+IF($B$1+13&lt;=$B74,12*$B$7,-12*$B$6*(1+$B$4)^13)&gt;0,1+$B$3,1))</f>
        <v/>
      </c>
      <c r="Q74">
        <f>IF($B$1+14&gt;90,P74,(P74+IF($B$1+14&lt;=$B74,12*$B$7,-12*$B$6*(1+$B$4)^14))*IF(P74+IF($B$1+14&lt;=$B74,12*$B$7,-12*$B$6*(1+$B$4)^14)&gt;0,1+$B$3,1))</f>
        <v/>
      </c>
      <c r="R74">
        <f>IF($B$1+15&gt;90,Q74,(Q74+IF($B$1+15&lt;=$B74,12*$B$7,-12*$B$6*(1+$B$4)^15))*IF(Q74+IF($B$1+15&lt;=$B74,12*$B$7,-12*$B$6*(1+$B$4)^15)&gt;0,1+$B$3,1))</f>
        <v/>
      </c>
      <c r="S74">
        <f>IF($B$1+16&gt;90,R74,(R74+IF($B$1+16&lt;=$B74,12*$B$7,-12*$B$6*(1+$B$4)^16))*IF(R74+IF($B$1+16&lt;=$B74,12*$B$7,-12*$B$6*(1+$B$4)^16)&gt;0,1+$B$3,1))</f>
        <v/>
      </c>
      <c r="T74">
        <f>IF($B$1+17&gt;90,S74,(S74+IF($B$1+17&lt;=$B74,12*$B$7,-12*$B$6*(1+$B$4)^17))*IF(S74+IF($B$1+17&lt;=$B74,12*$B$7,-12*$B$6*(1+$B$4)^17)&gt;0,1+$B$3,1))</f>
        <v/>
      </c>
      <c r="U74">
        <f>IF($B$1+18&gt;90,T74,(T74+IF($B$1+18&lt;=$B74,12*$B$7,-12*$B$6*(1+$B$4)^18))*IF(T74+IF($B$1+18&lt;=$B74,12*$B$7,-12*$B$6*(1+$B$4)^18)&gt;0,1+$B$3,1))</f>
        <v/>
      </c>
      <c r="V74">
        <f>IF($B$1+19&gt;90,U74,(U74+IF($B$1+19&lt;=$B74,12*$B$7,-12*$B$6*(1+$B$4)^19))*IF(U74+IF($B$1+19&lt;=$B74,12*$B$7,-12*$B$6*(1+$B$4)^19)&gt;0,1+$B$3,1))</f>
        <v/>
      </c>
      <c r="W74">
        <f>IF($B$1+20&gt;90,V74,(V74+IF($B$1+20&lt;=$B74,12*$B$7,-12*$B$6*(1+$B$4)^20))*IF(V74+IF($B$1+20&lt;=$B74,12*$B$7,-12*$B$6*(1+$B$4)^20)&gt;0,1+$B$3,1))</f>
        <v/>
      </c>
      <c r="X74">
        <f>IF($B$1+21&gt;90,W74,(W74+IF($B$1+21&lt;=$B74,12*$B$7,-12*$B$6*(1+$B$4)^21))*IF(W74+IF($B$1+21&lt;=$B74,12*$B$7,-12*$B$6*(1+$B$4)^21)&gt;0,1+$B$3,1))</f>
        <v/>
      </c>
      <c r="Y74">
        <f>IF($B$1+22&gt;90,X74,(X74+IF($B$1+22&lt;=$B74,12*$B$7,-12*$B$6*(1+$B$4)^22))*IF(X74+IF($B$1+22&lt;=$B74,12*$B$7,-12*$B$6*(1+$B$4)^22)&gt;0,1+$B$3,1))</f>
        <v/>
      </c>
      <c r="Z74">
        <f>IF($B$1+23&gt;90,Y74,(Y74+IF($B$1+23&lt;=$B74,12*$B$7,-12*$B$6*(1+$B$4)^23))*IF(Y74+IF($B$1+23&lt;=$B74,12*$B$7,-12*$B$6*(1+$B$4)^23)&gt;0,1+$B$3,1))</f>
        <v/>
      </c>
      <c r="AA74">
        <f>IF($B$1+24&gt;90,Z74,(Z74+IF($B$1+24&lt;=$B74,12*$B$7,-12*$B$6*(1+$B$4)^24))*IF(Z74+IF($B$1+24&lt;=$B74,12*$B$7,-12*$B$6*(1+$B$4)^24)&gt;0,1+$B$3,1))</f>
        <v/>
      </c>
      <c r="AB74">
        <f>IF($B$1+25&gt;90,AA74,(AA74+IF($B$1+25&lt;=$B74,12*$B$7,-12*$B$6*(1+$B$4)^25))*IF(AA74+IF($B$1+25&lt;=$B74,12*$B$7,-12*$B$6*(1+$B$4)^25)&gt;0,1+$B$3,1))</f>
        <v/>
      </c>
      <c r="AC74">
        <f>IF($B$1+26&gt;90,AB74,(AB74+IF($B$1+26&lt;=$B74,12*$B$7,-12*$B$6*(1+$B$4)^26))*IF(AB74+IF($B$1+26&lt;=$B74,12*$B$7,-12*$B$6*(1+$B$4)^26)&gt;0,1+$B$3,1))</f>
        <v/>
      </c>
      <c r="AD74">
        <f>IF($B$1+27&gt;90,AC74,(AC74+IF($B$1+27&lt;=$B74,12*$B$7,-12*$B$6*(1+$B$4)^27))*IF(AC74+IF($B$1+27&lt;=$B74,12*$B$7,-12*$B$6*(1+$B$4)^27)&gt;0,1+$B$3,1))</f>
        <v/>
      </c>
      <c r="AE74">
        <f>IF($B$1+28&gt;90,AD74,(AD74+IF($B$1+28&lt;=$B74,12*$B$7,-12*$B$6*(1+$B$4)^28))*IF(AD74+IF($B$1+28&lt;=$B74,12*$B$7,-12*$B$6*(1+$B$4)^28)&gt;0,1+$B$3,1))</f>
        <v/>
      </c>
      <c r="AF74">
        <f>IF($B$1+29&gt;90,AE74,(AE74+IF($B$1+29&lt;=$B74,12*$B$7,-12*$B$6*(1+$B$4)^29))*IF(AE74+IF($B$1+29&lt;=$B74,12*$B$7,-12*$B$6*(1+$B$4)^29)&gt;0,1+$B$3,1))</f>
        <v/>
      </c>
      <c r="AG74">
        <f>IF($B$1+30&gt;90,AF74,(AF74+IF($B$1+30&lt;=$B74,12*$B$7,-12*$B$6*(1+$B$4)^30))*IF(AF74+IF($B$1+30&lt;=$B74,12*$B$7,-12*$B$6*(1+$B$4)^30)&gt;0,1+$B$3,1))</f>
        <v/>
      </c>
      <c r="AH74">
        <f>IF($B$1+31&gt;90,AG74,(AG74+IF($B$1+31&lt;=$B74,12*$B$7,-12*$B$6*(1+$B$4)^31))*IF(AG74+IF($B$1+31&lt;=$B74,12*$B$7,-12*$B$6*(1+$B$4)^31)&gt;0,1+$B$3,1))</f>
        <v/>
      </c>
      <c r="AI74">
        <f>IF($B$1+32&gt;90,AH74,(AH74+IF($B$1+32&lt;=$B74,12*$B$7,-12*$B$6*(1+$B$4)^32))*IF(AH74+IF($B$1+32&lt;=$B74,12*$B$7,-12*$B$6*(1+$B$4)^32)&gt;0,1+$B$3,1))</f>
        <v/>
      </c>
      <c r="AJ74">
        <f>IF($B$1+33&gt;90,AI74,(AI74+IF($B$1+33&lt;=$B74,12*$B$7,-12*$B$6*(1+$B$4)^33))*IF(AI74+IF($B$1+33&lt;=$B74,12*$B$7,-12*$B$6*(1+$B$4)^33)&gt;0,1+$B$3,1))</f>
        <v/>
      </c>
      <c r="AK74">
        <f>IF($B$1+34&gt;90,AJ74,(AJ74+IF($B$1+34&lt;=$B74,12*$B$7,-12*$B$6*(1+$B$4)^34))*IF(AJ74+IF($B$1+34&lt;=$B74,12*$B$7,-12*$B$6*(1+$B$4)^34)&gt;0,1+$B$3,1))</f>
        <v/>
      </c>
      <c r="AL74">
        <f>IF($B$1+35&gt;90,AK74,(AK74+IF($B$1+35&lt;=$B74,12*$B$7,-12*$B$6*(1+$B$4)^35))*IF(AK74+IF($B$1+35&lt;=$B74,12*$B$7,-12*$B$6*(1+$B$4)^35)&gt;0,1+$B$3,1))</f>
        <v/>
      </c>
      <c r="AM74">
        <f>IF($B$1+36&gt;90,AL74,(AL74+IF($B$1+36&lt;=$B74,12*$B$7,-12*$B$6*(1+$B$4)^36))*IF(AL74+IF($B$1+36&lt;=$B74,12*$B$7,-12*$B$6*(1+$B$4)^36)&gt;0,1+$B$3,1))</f>
        <v/>
      </c>
      <c r="AN74">
        <f>IF($B$1+37&gt;90,AM74,(AM74+IF($B$1+37&lt;=$B74,12*$B$7,-12*$B$6*(1+$B$4)^37))*IF(AM74+IF($B$1+37&lt;=$B74,12*$B$7,-12*$B$6*(1+$B$4)^37)&gt;0,1+$B$3,1))</f>
        <v/>
      </c>
      <c r="AO74">
        <f>IF($B$1+38&gt;90,AN74,(AN74+IF($B$1+38&lt;=$B74,12*$B$7,-12*$B$6*(1+$B$4)^38))*IF(AN74+IF($B$1+38&lt;=$B74,12*$B$7,-12*$B$6*(1+$B$4)^38)&gt;0,1+$B$3,1))</f>
        <v/>
      </c>
      <c r="AP74">
        <f>IF($B$1+39&gt;90,AO74,(AO74+IF($B$1+39&lt;=$B74,12*$B$7,-12*$B$6*(1+$B$4)^39))*IF(AO74+IF($B$1+39&lt;=$B74,12*$B$7,-12*$B$6*(1+$B$4)^39)&gt;0,1+$B$3,1))</f>
        <v/>
      </c>
      <c r="AQ74">
        <f>IF($B$1+40&gt;90,AP74,(AP74+IF($B$1+40&lt;=$B74,12*$B$7,-12*$B$6*(1+$B$4)^40))*IF(AP74+IF($B$1+40&lt;=$B74,12*$B$7,-12*$B$6*(1+$B$4)^40)&gt;0,1+$B$3,1))</f>
        <v/>
      </c>
      <c r="AR74">
        <f>IF($B$1+41&gt;90,AQ74,(AQ74+IF($B$1+41&lt;=$B74,12*$B$7,-12*$B$6*(1+$B$4)^41))*IF(AQ74+IF($B$1+41&lt;=$B74,12*$B$7,-12*$B$6*(1+$B$4)^41)&gt;0,1+$B$3,1))</f>
        <v/>
      </c>
      <c r="AS74">
        <f>IF($B$1+42&gt;90,AR74,(AR74+IF($B$1+42&lt;=$B74,12*$B$7,-12*$B$6*(1+$B$4)^42))*IF(AR74+IF($B$1+42&lt;=$B74,12*$B$7,-12*$B$6*(1+$B$4)^42)&gt;0,1+$B$3,1))</f>
        <v/>
      </c>
      <c r="AT74">
        <f>IF($B$1+43&gt;90,AS74,(AS74+IF($B$1+43&lt;=$B74,12*$B$7,-12*$B$6*(1+$B$4)^43))*IF(AS74+IF($B$1+43&lt;=$B74,12*$B$7,-12*$B$6*(1+$B$4)^43)&gt;0,1+$B$3,1))</f>
        <v/>
      </c>
      <c r="AU74">
        <f>IF($B$1+44&gt;90,AT74,(AT74+IF($B$1+44&lt;=$B74,12*$B$7,-12*$B$6*(1+$B$4)^44))*IF(AT74+IF($B$1+44&lt;=$B74,12*$B$7,-12*$B$6*(1+$B$4)^44)&gt;0,1+$B$3,1))</f>
        <v/>
      </c>
      <c r="AV74">
        <f>IF($B$1+45&gt;90,AU74,(AU74+IF($B$1+45&lt;=$B74,12*$B$7,-12*$B$6*(1+$B$4)^45))*IF(AU74+IF($B$1+45&lt;=$B74,12*$B$7,-12*$B$6*(1+$B$4)^45)&gt;0,1+$B$3,1))</f>
        <v/>
      </c>
      <c r="AW74">
        <f>IF($B$1+46&gt;90,AV74,(AV74+IF($B$1+46&lt;=$B74,12*$B$7,-12*$B$6*(1+$B$4)^46))*IF(AV74+IF($B$1+46&lt;=$B74,12*$B$7,-12*$B$6*(1+$B$4)^46)&gt;0,1+$B$3,1))</f>
        <v/>
      </c>
      <c r="AX74">
        <f>IF($B$1+47&gt;90,AW74,(AW74+IF($B$1+47&lt;=$B74,12*$B$7,-12*$B$6*(1+$B$4)^47))*IF(AW74+IF($B$1+47&lt;=$B74,12*$B$7,-12*$B$6*(1+$B$4)^47)&gt;0,1+$B$3,1))</f>
        <v/>
      </c>
      <c r="AY74">
        <f>IF($B$1+48&gt;90,AX74,(AX74+IF($B$1+48&lt;=$B74,12*$B$7,-12*$B$6*(1+$B$4)^48))*IF(AX74+IF($B$1+48&lt;=$B74,12*$B$7,-12*$B$6*(1+$B$4)^48)&gt;0,1+$B$3,1))</f>
        <v/>
      </c>
      <c r="AZ74">
        <f>IF($B$1+49&gt;90,AY74,(AY74+IF($B$1+49&lt;=$B74,12*$B$7,-12*$B$6*(1+$B$4)^49))*IF(AY74+IF($B$1+49&lt;=$B74,12*$B$7,-12*$B$6*(1+$B$4)^49)&gt;0,1+$B$3,1))</f>
        <v/>
      </c>
      <c r="BA74">
        <f>IF($B$1+50&gt;90,AZ74,(AZ74+IF($B$1+50&lt;=$B74,12*$B$7,-12*$B$6*(1+$B$4)^50))*IF(AZ74+IF($B$1+50&lt;=$B74,12*$B$7,-12*$B$6*(1+$B$4)^50)&gt;0,1+$B$3,1))</f>
        <v/>
      </c>
      <c r="BB74">
        <f>IF($B$1+51&gt;90,BA74,(BA74+IF($B$1+51&lt;=$B74,12*$B$7,-12*$B$6*(1+$B$4)^51))*IF(BA74+IF($B$1+51&lt;=$B74,12*$B$7,-12*$B$6*(1+$B$4)^51)&gt;0,1+$B$3,1))</f>
        <v/>
      </c>
      <c r="BC74">
        <f>IF($B$1+52&gt;90,BB74,(BB74+IF($B$1+52&lt;=$B74,12*$B$7,-12*$B$6*(1+$B$4)^52))*IF(BB74+IF($B$1+52&lt;=$B74,12*$B$7,-12*$B$6*(1+$B$4)^52)&gt;0,1+$B$3,1))</f>
        <v/>
      </c>
      <c r="BD74">
        <f>IF($B$1+53&gt;90,BC74,(BC74+IF($B$1+53&lt;=$B74,12*$B$7,-12*$B$6*(1+$B$4)^53))*IF(BC74+IF($B$1+53&lt;=$B74,12*$B$7,-12*$B$6*(1+$B$4)^53)&gt;0,1+$B$3,1))</f>
        <v/>
      </c>
      <c r="BE74">
        <f>IF($B$1+54&gt;90,BD74,(BD74+IF($B$1+54&lt;=$B74,12*$B$7,-12*$B$6*(1+$B$4)^54))*IF(BD74+IF($B$1+54&lt;=$B74,12*$B$7,-12*$B$6*(1+$B$4)^54)&gt;0,1+$B$3,1))</f>
        <v/>
      </c>
      <c r="BF74">
        <f>IF($B$1+55&gt;90,BE74,(BE74+IF($B$1+55&lt;=$B74,12*$B$7,-12*$B$6*(1+$B$4)^55))*IF(BE74+IF($B$1+55&lt;=$B74,12*$B$7,-12*$B$6*(1+$B$4)^55)&gt;0,1+$B$3,1))</f>
        <v/>
      </c>
      <c r="BG74">
        <f>IF($B$1+56&gt;90,BF74,(BF74+IF($B$1+56&lt;=$B74,12*$B$7,-12*$B$6*(1+$B$4)^56))*IF(BF74+IF($B$1+56&lt;=$B74,12*$B$7,-12*$B$6*(1+$B$4)^56)&gt;0,1+$B$3,1))</f>
        <v/>
      </c>
      <c r="BH74">
        <f>IF($B$1+57&gt;90,BG74,(BG74+IF($B$1+57&lt;=$B74,12*$B$7,-12*$B$6*(1+$B$4)^57))*IF(BG74+IF($B$1+57&lt;=$B74,12*$B$7,-12*$B$6*(1+$B$4)^57)&gt;0,1+$B$3,1))</f>
        <v/>
      </c>
      <c r="BI74">
        <f>IF($B$1+58&gt;90,BH74,(BH74+IF($B$1+58&lt;=$B74,12*$B$7,-12*$B$6*(1+$B$4)^58))*IF(BH74+IF($B$1+58&lt;=$B74,12*$B$7,-12*$B$6*(1+$B$4)^58)&gt;0,1+$B$3,1))</f>
        <v/>
      </c>
      <c r="BJ74">
        <f>IF($B$1+59&gt;90,BI74,(BI74+IF($B$1+59&lt;=$B74,12*$B$7,-12*$B$6*(1+$B$4)^59))*IF(BI74+IF($B$1+59&lt;=$B74,12*$B$7,-12*$B$6*(1+$B$4)^59)&gt;0,1+$B$3,1))</f>
        <v/>
      </c>
      <c r="BK74">
        <f>IF($B$1+60&gt;90,BJ74,(BJ74+IF($B$1+60&lt;=$B74,12*$B$7,-12*$B$6*(1+$B$4)^60))*IF(BJ74+IF($B$1+60&lt;=$B74,12*$B$7,-12*$B$6*(1+$B$4)^60)&gt;0,1+$B$3,1))</f>
        <v/>
      </c>
      <c r="BL74">
        <f>IF($B$1+61&gt;90,BK74,(BK74+IF($B$1+61&lt;=$B74,12*$B$7,-12*$B$6*(1+$B$4)^61))*IF(BK74+IF($B$1+61&lt;=$B74,12*$B$7,-12*$B$6*(1+$B$4)^61)&gt;0,1+$B$3,1))</f>
        <v/>
      </c>
      <c r="BM74">
        <f>IF($B$1+62&gt;90,BL74,(BL74+IF($B$1+62&lt;=$B74,12*$B$7,-12*$B$6*(1+$B$4)^62))*IF(BL74+IF($B$1+62&lt;=$B74,12*$B$7,-12*$B$6*(1+$B$4)^62)&gt;0,1+$B$3,1))</f>
        <v/>
      </c>
      <c r="BN74">
        <f>IF($B$1+63&gt;90,BM74,(BM74+IF($B$1+63&lt;=$B74,12*$B$7,-12*$B$6*(1+$B$4)^63))*IF(BM74+IF($B$1+63&lt;=$B74,12*$B$7,-12*$B$6*(1+$B$4)^63)&gt;0,1+$B$3,1))</f>
        <v/>
      </c>
      <c r="BO74">
        <f>IF($B$1+64&gt;90,BN74,(BN74+IF($B$1+64&lt;=$B74,12*$B$7,-12*$B$6*(1+$B$4)^64))*IF(BN74+IF($B$1+64&lt;=$B74,12*$B$7,-12*$B$6*(1+$B$4)^64)&gt;0,1+$B$3,1))</f>
        <v/>
      </c>
      <c r="BP74">
        <f>IF($B$1+65&gt;90,BO74,(BO74+IF($B$1+65&lt;=$B74,12*$B$7,-12*$B$6*(1+$B$4)^65))*IF(BO74+IF($B$1+65&lt;=$B74,12*$B$7,-12*$B$6*(1+$B$4)^65)&gt;0,1+$B$3,1))</f>
        <v/>
      </c>
      <c r="BQ74">
        <f>IF($B$1+66&gt;90,BP74,(BP74+IF($B$1+66&lt;=$B74,12*$B$7,-12*$B$6*(1+$B$4)^66))*IF(BP74+IF($B$1+66&lt;=$B74,12*$B$7,-12*$B$6*(1+$B$4)^66)&gt;0,1+$B$3,1))</f>
        <v/>
      </c>
      <c r="BR74">
        <f>IF($B$1+67&gt;90,BQ74,(BQ74+IF($B$1+67&lt;=$B74,12*$B$7,-12*$B$6*(1+$B$4)^67))*IF(BQ74+IF($B$1+67&lt;=$B74,12*$B$7,-12*$B$6*(1+$B$4)^67)&gt;0,1+$B$3,1))</f>
        <v/>
      </c>
      <c r="BS74">
        <f>IF($B$1+68&gt;90,BR74,(BR74+IF($B$1+68&lt;=$B74,12*$B$7,-12*$B$6*(1+$B$4)^68))*IF(BR74+IF($B$1+68&lt;=$B74,12*$B$7,-12*$B$6*(1+$B$4)^68)&gt;0,1+$B$3,1))</f>
        <v/>
      </c>
      <c r="BT74">
        <f>IF($B$1+69&gt;90,BS74,(BS74+IF($B$1+69&lt;=$B74,12*$B$7,-12*$B$6*(1+$B$4)^69))*IF(BS74+IF($B$1+69&lt;=$B74,12*$B$7,-12*$B$6*(1+$B$4)^69)&gt;0,1+$B$3,1))</f>
        <v/>
      </c>
      <c r="BU74">
        <f>IF($B$1+70&gt;90,BT74,(BT74+IF($B$1+70&lt;=$B74,12*$B$7,-12*$B$6*(1+$B$4)^70))*IF(BT74+IF($B$1+70&lt;=$B74,12*$B$7,-12*$B$6*(1+$B$4)^70)&gt;0,1+$B$3,1))</f>
        <v/>
      </c>
      <c r="BV74">
        <f>BU74</f>
        <v/>
      </c>
      <c r="BW74">
        <f>IF(AND($B74&lt;=70,BV74&gt;0),$B74,999)</f>
        <v/>
      </c>
    </row>
    <row r="75">
      <c r="A75" t="n">
        <v>35</v>
      </c>
      <c r="B75">
        <f>$B$1+35</f>
        <v/>
      </c>
      <c r="C75">
        <f>$B$2</f>
        <v/>
      </c>
      <c r="D75">
        <f>IF($B$1+1&gt;90,C75,(C75+IF($B$1+1&lt;=$B75,12*$B$7,-12*$B$6*(1+$B$4)^1))*IF(C75+IF($B$1+1&lt;=$B75,12*$B$7,-12*$B$6*(1+$B$4)^1)&gt;0,1+$B$3,1))</f>
        <v/>
      </c>
      <c r="E75">
        <f>IF($B$1+2&gt;90,D75,(D75+IF($B$1+2&lt;=$B75,12*$B$7,-12*$B$6*(1+$B$4)^2))*IF(D75+IF($B$1+2&lt;=$B75,12*$B$7,-12*$B$6*(1+$B$4)^2)&gt;0,1+$B$3,1))</f>
        <v/>
      </c>
      <c r="F75">
        <f>IF($B$1+3&gt;90,E75,(E75+IF($B$1+3&lt;=$B75,12*$B$7,-12*$B$6*(1+$B$4)^3))*IF(E75+IF($B$1+3&lt;=$B75,12*$B$7,-12*$B$6*(1+$B$4)^3)&gt;0,1+$B$3,1))</f>
        <v/>
      </c>
      <c r="G75">
        <f>IF($B$1+4&gt;90,F75,(F75+IF($B$1+4&lt;=$B75,12*$B$7,-12*$B$6*(1+$B$4)^4))*IF(F75+IF($B$1+4&lt;=$B75,12*$B$7,-12*$B$6*(1+$B$4)^4)&gt;0,1+$B$3,1))</f>
        <v/>
      </c>
      <c r="H75">
        <f>IF($B$1+5&gt;90,G75,(G75+IF($B$1+5&lt;=$B75,12*$B$7,-12*$B$6*(1+$B$4)^5))*IF(G75+IF($B$1+5&lt;=$B75,12*$B$7,-12*$B$6*(1+$B$4)^5)&gt;0,1+$B$3,1))</f>
        <v/>
      </c>
      <c r="I75">
        <f>IF($B$1+6&gt;90,H75,(H75+IF($B$1+6&lt;=$B75,12*$B$7,-12*$B$6*(1+$B$4)^6))*IF(H75+IF($B$1+6&lt;=$B75,12*$B$7,-12*$B$6*(1+$B$4)^6)&gt;0,1+$B$3,1))</f>
        <v/>
      </c>
      <c r="J75">
        <f>IF($B$1+7&gt;90,I75,(I75+IF($B$1+7&lt;=$B75,12*$B$7,-12*$B$6*(1+$B$4)^7))*IF(I75+IF($B$1+7&lt;=$B75,12*$B$7,-12*$B$6*(1+$B$4)^7)&gt;0,1+$B$3,1))</f>
        <v/>
      </c>
      <c r="K75">
        <f>IF($B$1+8&gt;90,J75,(J75+IF($B$1+8&lt;=$B75,12*$B$7,-12*$B$6*(1+$B$4)^8))*IF(J75+IF($B$1+8&lt;=$B75,12*$B$7,-12*$B$6*(1+$B$4)^8)&gt;0,1+$B$3,1))</f>
        <v/>
      </c>
      <c r="L75">
        <f>IF($B$1+9&gt;90,K75,(K75+IF($B$1+9&lt;=$B75,12*$B$7,-12*$B$6*(1+$B$4)^9))*IF(K75+IF($B$1+9&lt;=$B75,12*$B$7,-12*$B$6*(1+$B$4)^9)&gt;0,1+$B$3,1))</f>
        <v/>
      </c>
      <c r="M75">
        <f>IF($B$1+10&gt;90,L75,(L75+IF($B$1+10&lt;=$B75,12*$B$7,-12*$B$6*(1+$B$4)^10))*IF(L75+IF($B$1+10&lt;=$B75,12*$B$7,-12*$B$6*(1+$B$4)^10)&gt;0,1+$B$3,1))</f>
        <v/>
      </c>
      <c r="N75">
        <f>IF($B$1+11&gt;90,M75,(M75+IF($B$1+11&lt;=$B75,12*$B$7,-12*$B$6*(1+$B$4)^11))*IF(M75+IF($B$1+11&lt;=$B75,12*$B$7,-12*$B$6*(1+$B$4)^11)&gt;0,1+$B$3,1))</f>
        <v/>
      </c>
      <c r="O75">
        <f>IF($B$1+12&gt;90,N75,(N75+IF($B$1+12&lt;=$B75,12*$B$7,-12*$B$6*(1+$B$4)^12))*IF(N75+IF($B$1+12&lt;=$B75,12*$B$7,-12*$B$6*(1+$B$4)^12)&gt;0,1+$B$3,1))</f>
        <v/>
      </c>
      <c r="P75">
        <f>IF($B$1+13&gt;90,O75,(O75+IF($B$1+13&lt;=$B75,12*$B$7,-12*$B$6*(1+$B$4)^13))*IF(O75+IF($B$1+13&lt;=$B75,12*$B$7,-12*$B$6*(1+$B$4)^13)&gt;0,1+$B$3,1))</f>
        <v/>
      </c>
      <c r="Q75">
        <f>IF($B$1+14&gt;90,P75,(P75+IF($B$1+14&lt;=$B75,12*$B$7,-12*$B$6*(1+$B$4)^14))*IF(P75+IF($B$1+14&lt;=$B75,12*$B$7,-12*$B$6*(1+$B$4)^14)&gt;0,1+$B$3,1))</f>
        <v/>
      </c>
      <c r="R75">
        <f>IF($B$1+15&gt;90,Q75,(Q75+IF($B$1+15&lt;=$B75,12*$B$7,-12*$B$6*(1+$B$4)^15))*IF(Q75+IF($B$1+15&lt;=$B75,12*$B$7,-12*$B$6*(1+$B$4)^15)&gt;0,1+$B$3,1))</f>
        <v/>
      </c>
      <c r="S75">
        <f>IF($B$1+16&gt;90,R75,(R75+IF($B$1+16&lt;=$B75,12*$B$7,-12*$B$6*(1+$B$4)^16))*IF(R75+IF($B$1+16&lt;=$B75,12*$B$7,-12*$B$6*(1+$B$4)^16)&gt;0,1+$B$3,1))</f>
        <v/>
      </c>
      <c r="T75">
        <f>IF($B$1+17&gt;90,S75,(S75+IF($B$1+17&lt;=$B75,12*$B$7,-12*$B$6*(1+$B$4)^17))*IF(S75+IF($B$1+17&lt;=$B75,12*$B$7,-12*$B$6*(1+$B$4)^17)&gt;0,1+$B$3,1))</f>
        <v/>
      </c>
      <c r="U75">
        <f>IF($B$1+18&gt;90,T75,(T75+IF($B$1+18&lt;=$B75,12*$B$7,-12*$B$6*(1+$B$4)^18))*IF(T75+IF($B$1+18&lt;=$B75,12*$B$7,-12*$B$6*(1+$B$4)^18)&gt;0,1+$B$3,1))</f>
        <v/>
      </c>
      <c r="V75">
        <f>IF($B$1+19&gt;90,U75,(U75+IF($B$1+19&lt;=$B75,12*$B$7,-12*$B$6*(1+$B$4)^19))*IF(U75+IF($B$1+19&lt;=$B75,12*$B$7,-12*$B$6*(1+$B$4)^19)&gt;0,1+$B$3,1))</f>
        <v/>
      </c>
      <c r="W75">
        <f>IF($B$1+20&gt;90,V75,(V75+IF($B$1+20&lt;=$B75,12*$B$7,-12*$B$6*(1+$B$4)^20))*IF(V75+IF($B$1+20&lt;=$B75,12*$B$7,-12*$B$6*(1+$B$4)^20)&gt;0,1+$B$3,1))</f>
        <v/>
      </c>
      <c r="X75">
        <f>IF($B$1+21&gt;90,W75,(W75+IF($B$1+21&lt;=$B75,12*$B$7,-12*$B$6*(1+$B$4)^21))*IF(W75+IF($B$1+21&lt;=$B75,12*$B$7,-12*$B$6*(1+$B$4)^21)&gt;0,1+$B$3,1))</f>
        <v/>
      </c>
      <c r="Y75">
        <f>IF($B$1+22&gt;90,X75,(X75+IF($B$1+22&lt;=$B75,12*$B$7,-12*$B$6*(1+$B$4)^22))*IF(X75+IF($B$1+22&lt;=$B75,12*$B$7,-12*$B$6*(1+$B$4)^22)&gt;0,1+$B$3,1))</f>
        <v/>
      </c>
      <c r="Z75">
        <f>IF($B$1+23&gt;90,Y75,(Y75+IF($B$1+23&lt;=$B75,12*$B$7,-12*$B$6*(1+$B$4)^23))*IF(Y75+IF($B$1+23&lt;=$B75,12*$B$7,-12*$B$6*(1+$B$4)^23)&gt;0,1+$B$3,1))</f>
        <v/>
      </c>
      <c r="AA75">
        <f>IF($B$1+24&gt;90,Z75,(Z75+IF($B$1+24&lt;=$B75,12*$B$7,-12*$B$6*(1+$B$4)^24))*IF(Z75+IF($B$1+24&lt;=$B75,12*$B$7,-12*$B$6*(1+$B$4)^24)&gt;0,1+$B$3,1))</f>
        <v/>
      </c>
      <c r="AB75">
        <f>IF($B$1+25&gt;90,AA75,(AA75+IF($B$1+25&lt;=$B75,12*$B$7,-12*$B$6*(1+$B$4)^25))*IF(AA75+IF($B$1+25&lt;=$B75,12*$B$7,-12*$B$6*(1+$B$4)^25)&gt;0,1+$B$3,1))</f>
        <v/>
      </c>
      <c r="AC75">
        <f>IF($B$1+26&gt;90,AB75,(AB75+IF($B$1+26&lt;=$B75,12*$B$7,-12*$B$6*(1+$B$4)^26))*IF(AB75+IF($B$1+26&lt;=$B75,12*$B$7,-12*$B$6*(1+$B$4)^26)&gt;0,1+$B$3,1))</f>
        <v/>
      </c>
      <c r="AD75">
        <f>IF($B$1+27&gt;90,AC75,(AC75+IF($B$1+27&lt;=$B75,12*$B$7,-12*$B$6*(1+$B$4)^27))*IF(AC75+IF($B$1+27&lt;=$B75,12*$B$7,-12*$B$6*(1+$B$4)^27)&gt;0,1+$B$3,1))</f>
        <v/>
      </c>
      <c r="AE75">
        <f>IF($B$1+28&gt;90,AD75,(AD75+IF($B$1+28&lt;=$B75,12*$B$7,-12*$B$6*(1+$B$4)^28))*IF(AD75+IF($B$1+28&lt;=$B75,12*$B$7,-12*$B$6*(1+$B$4)^28)&gt;0,1+$B$3,1))</f>
        <v/>
      </c>
      <c r="AF75">
        <f>IF($B$1+29&gt;90,AE75,(AE75+IF($B$1+29&lt;=$B75,12*$B$7,-12*$B$6*(1+$B$4)^29))*IF(AE75+IF($B$1+29&lt;=$B75,12*$B$7,-12*$B$6*(1+$B$4)^29)&gt;0,1+$B$3,1))</f>
        <v/>
      </c>
      <c r="AG75">
        <f>IF($B$1+30&gt;90,AF75,(AF75+IF($B$1+30&lt;=$B75,12*$B$7,-12*$B$6*(1+$B$4)^30))*IF(AF75+IF($B$1+30&lt;=$B75,12*$B$7,-12*$B$6*(1+$B$4)^30)&gt;0,1+$B$3,1))</f>
        <v/>
      </c>
      <c r="AH75">
        <f>IF($B$1+31&gt;90,AG75,(AG75+IF($B$1+31&lt;=$B75,12*$B$7,-12*$B$6*(1+$B$4)^31))*IF(AG75+IF($B$1+31&lt;=$B75,12*$B$7,-12*$B$6*(1+$B$4)^31)&gt;0,1+$B$3,1))</f>
        <v/>
      </c>
      <c r="AI75">
        <f>IF($B$1+32&gt;90,AH75,(AH75+IF($B$1+32&lt;=$B75,12*$B$7,-12*$B$6*(1+$B$4)^32))*IF(AH75+IF($B$1+32&lt;=$B75,12*$B$7,-12*$B$6*(1+$B$4)^32)&gt;0,1+$B$3,1))</f>
        <v/>
      </c>
      <c r="AJ75">
        <f>IF($B$1+33&gt;90,AI75,(AI75+IF($B$1+33&lt;=$B75,12*$B$7,-12*$B$6*(1+$B$4)^33))*IF(AI75+IF($B$1+33&lt;=$B75,12*$B$7,-12*$B$6*(1+$B$4)^33)&gt;0,1+$B$3,1))</f>
        <v/>
      </c>
      <c r="AK75">
        <f>IF($B$1+34&gt;90,AJ75,(AJ75+IF($B$1+34&lt;=$B75,12*$B$7,-12*$B$6*(1+$B$4)^34))*IF(AJ75+IF($B$1+34&lt;=$B75,12*$B$7,-12*$B$6*(1+$B$4)^34)&gt;0,1+$B$3,1))</f>
        <v/>
      </c>
      <c r="AL75">
        <f>IF($B$1+35&gt;90,AK75,(AK75+IF($B$1+35&lt;=$B75,12*$B$7,-12*$B$6*(1+$B$4)^35))*IF(AK75+IF($B$1+35&lt;=$B75,12*$B$7,-12*$B$6*(1+$B$4)^35)&gt;0,1+$B$3,1))</f>
        <v/>
      </c>
      <c r="AM75">
        <f>IF($B$1+36&gt;90,AL75,(AL75+IF($B$1+36&lt;=$B75,12*$B$7,-12*$B$6*(1+$B$4)^36))*IF(AL75+IF($B$1+36&lt;=$B75,12*$B$7,-12*$B$6*(1+$B$4)^36)&gt;0,1+$B$3,1))</f>
        <v/>
      </c>
      <c r="AN75">
        <f>IF($B$1+37&gt;90,AM75,(AM75+IF($B$1+37&lt;=$B75,12*$B$7,-12*$B$6*(1+$B$4)^37))*IF(AM75+IF($B$1+37&lt;=$B75,12*$B$7,-12*$B$6*(1+$B$4)^37)&gt;0,1+$B$3,1))</f>
        <v/>
      </c>
      <c r="AO75">
        <f>IF($B$1+38&gt;90,AN75,(AN75+IF($B$1+38&lt;=$B75,12*$B$7,-12*$B$6*(1+$B$4)^38))*IF(AN75+IF($B$1+38&lt;=$B75,12*$B$7,-12*$B$6*(1+$B$4)^38)&gt;0,1+$B$3,1))</f>
        <v/>
      </c>
      <c r="AP75">
        <f>IF($B$1+39&gt;90,AO75,(AO75+IF($B$1+39&lt;=$B75,12*$B$7,-12*$B$6*(1+$B$4)^39))*IF(AO75+IF($B$1+39&lt;=$B75,12*$B$7,-12*$B$6*(1+$B$4)^39)&gt;0,1+$B$3,1))</f>
        <v/>
      </c>
      <c r="AQ75">
        <f>IF($B$1+40&gt;90,AP75,(AP75+IF($B$1+40&lt;=$B75,12*$B$7,-12*$B$6*(1+$B$4)^40))*IF(AP75+IF($B$1+40&lt;=$B75,12*$B$7,-12*$B$6*(1+$B$4)^40)&gt;0,1+$B$3,1))</f>
        <v/>
      </c>
      <c r="AR75">
        <f>IF($B$1+41&gt;90,AQ75,(AQ75+IF($B$1+41&lt;=$B75,12*$B$7,-12*$B$6*(1+$B$4)^41))*IF(AQ75+IF($B$1+41&lt;=$B75,12*$B$7,-12*$B$6*(1+$B$4)^41)&gt;0,1+$B$3,1))</f>
        <v/>
      </c>
      <c r="AS75">
        <f>IF($B$1+42&gt;90,AR75,(AR75+IF($B$1+42&lt;=$B75,12*$B$7,-12*$B$6*(1+$B$4)^42))*IF(AR75+IF($B$1+42&lt;=$B75,12*$B$7,-12*$B$6*(1+$B$4)^42)&gt;0,1+$B$3,1))</f>
        <v/>
      </c>
      <c r="AT75">
        <f>IF($B$1+43&gt;90,AS75,(AS75+IF($B$1+43&lt;=$B75,12*$B$7,-12*$B$6*(1+$B$4)^43))*IF(AS75+IF($B$1+43&lt;=$B75,12*$B$7,-12*$B$6*(1+$B$4)^43)&gt;0,1+$B$3,1))</f>
        <v/>
      </c>
      <c r="AU75">
        <f>IF($B$1+44&gt;90,AT75,(AT75+IF($B$1+44&lt;=$B75,12*$B$7,-12*$B$6*(1+$B$4)^44))*IF(AT75+IF($B$1+44&lt;=$B75,12*$B$7,-12*$B$6*(1+$B$4)^44)&gt;0,1+$B$3,1))</f>
        <v/>
      </c>
      <c r="AV75">
        <f>IF($B$1+45&gt;90,AU75,(AU75+IF($B$1+45&lt;=$B75,12*$B$7,-12*$B$6*(1+$B$4)^45))*IF(AU75+IF($B$1+45&lt;=$B75,12*$B$7,-12*$B$6*(1+$B$4)^45)&gt;0,1+$B$3,1))</f>
        <v/>
      </c>
      <c r="AW75">
        <f>IF($B$1+46&gt;90,AV75,(AV75+IF($B$1+46&lt;=$B75,12*$B$7,-12*$B$6*(1+$B$4)^46))*IF(AV75+IF($B$1+46&lt;=$B75,12*$B$7,-12*$B$6*(1+$B$4)^46)&gt;0,1+$B$3,1))</f>
        <v/>
      </c>
      <c r="AX75">
        <f>IF($B$1+47&gt;90,AW75,(AW75+IF($B$1+47&lt;=$B75,12*$B$7,-12*$B$6*(1+$B$4)^47))*IF(AW75+IF($B$1+47&lt;=$B75,12*$B$7,-12*$B$6*(1+$B$4)^47)&gt;0,1+$B$3,1))</f>
        <v/>
      </c>
      <c r="AY75">
        <f>IF($B$1+48&gt;90,AX75,(AX75+IF($B$1+48&lt;=$B75,12*$B$7,-12*$B$6*(1+$B$4)^48))*IF(AX75+IF($B$1+48&lt;=$B75,12*$B$7,-12*$B$6*(1+$B$4)^48)&gt;0,1+$B$3,1))</f>
        <v/>
      </c>
      <c r="AZ75">
        <f>IF($B$1+49&gt;90,AY75,(AY75+IF($B$1+49&lt;=$B75,12*$B$7,-12*$B$6*(1+$B$4)^49))*IF(AY75+IF($B$1+49&lt;=$B75,12*$B$7,-12*$B$6*(1+$B$4)^49)&gt;0,1+$B$3,1))</f>
        <v/>
      </c>
      <c r="BA75">
        <f>IF($B$1+50&gt;90,AZ75,(AZ75+IF($B$1+50&lt;=$B75,12*$B$7,-12*$B$6*(1+$B$4)^50))*IF(AZ75+IF($B$1+50&lt;=$B75,12*$B$7,-12*$B$6*(1+$B$4)^50)&gt;0,1+$B$3,1))</f>
        <v/>
      </c>
      <c r="BB75">
        <f>IF($B$1+51&gt;90,BA75,(BA75+IF($B$1+51&lt;=$B75,12*$B$7,-12*$B$6*(1+$B$4)^51))*IF(BA75+IF($B$1+51&lt;=$B75,12*$B$7,-12*$B$6*(1+$B$4)^51)&gt;0,1+$B$3,1))</f>
        <v/>
      </c>
      <c r="BC75">
        <f>IF($B$1+52&gt;90,BB75,(BB75+IF($B$1+52&lt;=$B75,12*$B$7,-12*$B$6*(1+$B$4)^52))*IF(BB75+IF($B$1+52&lt;=$B75,12*$B$7,-12*$B$6*(1+$B$4)^52)&gt;0,1+$B$3,1))</f>
        <v/>
      </c>
      <c r="BD75">
        <f>IF($B$1+53&gt;90,BC75,(BC75+IF($B$1+53&lt;=$B75,12*$B$7,-12*$B$6*(1+$B$4)^53))*IF(BC75+IF($B$1+53&lt;=$B75,12*$B$7,-12*$B$6*(1+$B$4)^53)&gt;0,1+$B$3,1))</f>
        <v/>
      </c>
      <c r="BE75">
        <f>IF($B$1+54&gt;90,BD75,(BD75+IF($B$1+54&lt;=$B75,12*$B$7,-12*$B$6*(1+$B$4)^54))*IF(BD75+IF($B$1+54&lt;=$B75,12*$B$7,-12*$B$6*(1+$B$4)^54)&gt;0,1+$B$3,1))</f>
        <v/>
      </c>
      <c r="BF75">
        <f>IF($B$1+55&gt;90,BE75,(BE75+IF($B$1+55&lt;=$B75,12*$B$7,-12*$B$6*(1+$B$4)^55))*IF(BE75+IF($B$1+55&lt;=$B75,12*$B$7,-12*$B$6*(1+$B$4)^55)&gt;0,1+$B$3,1))</f>
        <v/>
      </c>
      <c r="BG75">
        <f>IF($B$1+56&gt;90,BF75,(BF75+IF($B$1+56&lt;=$B75,12*$B$7,-12*$B$6*(1+$B$4)^56))*IF(BF75+IF($B$1+56&lt;=$B75,12*$B$7,-12*$B$6*(1+$B$4)^56)&gt;0,1+$B$3,1))</f>
        <v/>
      </c>
      <c r="BH75">
        <f>IF($B$1+57&gt;90,BG75,(BG75+IF($B$1+57&lt;=$B75,12*$B$7,-12*$B$6*(1+$B$4)^57))*IF(BG75+IF($B$1+57&lt;=$B75,12*$B$7,-12*$B$6*(1+$B$4)^57)&gt;0,1+$B$3,1))</f>
        <v/>
      </c>
      <c r="BI75">
        <f>IF($B$1+58&gt;90,BH75,(BH75+IF($B$1+58&lt;=$B75,12*$B$7,-12*$B$6*(1+$B$4)^58))*IF(BH75+IF($B$1+58&lt;=$B75,12*$B$7,-12*$B$6*(1+$B$4)^58)&gt;0,1+$B$3,1))</f>
        <v/>
      </c>
      <c r="BJ75">
        <f>IF($B$1+59&gt;90,BI75,(BI75+IF($B$1+59&lt;=$B75,12*$B$7,-12*$B$6*(1+$B$4)^59))*IF(BI75+IF($B$1+59&lt;=$B75,12*$B$7,-12*$B$6*(1+$B$4)^59)&gt;0,1+$B$3,1))</f>
        <v/>
      </c>
      <c r="BK75">
        <f>IF($B$1+60&gt;90,BJ75,(BJ75+IF($B$1+60&lt;=$B75,12*$B$7,-12*$B$6*(1+$B$4)^60))*IF(BJ75+IF($B$1+60&lt;=$B75,12*$B$7,-12*$B$6*(1+$B$4)^60)&gt;0,1+$B$3,1))</f>
        <v/>
      </c>
      <c r="BL75">
        <f>IF($B$1+61&gt;90,BK75,(BK75+IF($B$1+61&lt;=$B75,12*$B$7,-12*$B$6*(1+$B$4)^61))*IF(BK75+IF($B$1+61&lt;=$B75,12*$B$7,-12*$B$6*(1+$B$4)^61)&gt;0,1+$B$3,1))</f>
        <v/>
      </c>
      <c r="BM75">
        <f>IF($B$1+62&gt;90,BL75,(BL75+IF($B$1+62&lt;=$B75,12*$B$7,-12*$B$6*(1+$B$4)^62))*IF(BL75+IF($B$1+62&lt;=$B75,12*$B$7,-12*$B$6*(1+$B$4)^62)&gt;0,1+$B$3,1))</f>
        <v/>
      </c>
      <c r="BN75">
        <f>IF($B$1+63&gt;90,BM75,(BM75+IF($B$1+63&lt;=$B75,12*$B$7,-12*$B$6*(1+$B$4)^63))*IF(BM75+IF($B$1+63&lt;=$B75,12*$B$7,-12*$B$6*(1+$B$4)^63)&gt;0,1+$B$3,1))</f>
        <v/>
      </c>
      <c r="BO75">
        <f>IF($B$1+64&gt;90,BN75,(BN75+IF($B$1+64&lt;=$B75,12*$B$7,-12*$B$6*(1+$B$4)^64))*IF(BN75+IF($B$1+64&lt;=$B75,12*$B$7,-12*$B$6*(1+$B$4)^64)&gt;0,1+$B$3,1))</f>
        <v/>
      </c>
      <c r="BP75">
        <f>IF($B$1+65&gt;90,BO75,(BO75+IF($B$1+65&lt;=$B75,12*$B$7,-12*$B$6*(1+$B$4)^65))*IF(BO75+IF($B$1+65&lt;=$B75,12*$B$7,-12*$B$6*(1+$B$4)^65)&gt;0,1+$B$3,1))</f>
        <v/>
      </c>
      <c r="BQ75">
        <f>IF($B$1+66&gt;90,BP75,(BP75+IF($B$1+66&lt;=$B75,12*$B$7,-12*$B$6*(1+$B$4)^66))*IF(BP75+IF($B$1+66&lt;=$B75,12*$B$7,-12*$B$6*(1+$B$4)^66)&gt;0,1+$B$3,1))</f>
        <v/>
      </c>
      <c r="BR75">
        <f>IF($B$1+67&gt;90,BQ75,(BQ75+IF($B$1+67&lt;=$B75,12*$B$7,-12*$B$6*(1+$B$4)^67))*IF(BQ75+IF($B$1+67&lt;=$B75,12*$B$7,-12*$B$6*(1+$B$4)^67)&gt;0,1+$B$3,1))</f>
        <v/>
      </c>
      <c r="BS75">
        <f>IF($B$1+68&gt;90,BR75,(BR75+IF($B$1+68&lt;=$B75,12*$B$7,-12*$B$6*(1+$B$4)^68))*IF(BR75+IF($B$1+68&lt;=$B75,12*$B$7,-12*$B$6*(1+$B$4)^68)&gt;0,1+$B$3,1))</f>
        <v/>
      </c>
      <c r="BT75">
        <f>IF($B$1+69&gt;90,BS75,(BS75+IF($B$1+69&lt;=$B75,12*$B$7,-12*$B$6*(1+$B$4)^69))*IF(BS75+IF($B$1+69&lt;=$B75,12*$B$7,-12*$B$6*(1+$B$4)^69)&gt;0,1+$B$3,1))</f>
        <v/>
      </c>
      <c r="BU75">
        <f>IF($B$1+70&gt;90,BT75,(BT75+IF($B$1+70&lt;=$B75,12*$B$7,-12*$B$6*(1+$B$4)^70))*IF(BT75+IF($B$1+70&lt;=$B75,12*$B$7,-12*$B$6*(1+$B$4)^70)&gt;0,1+$B$3,1))</f>
        <v/>
      </c>
      <c r="BV75">
        <f>BU75</f>
        <v/>
      </c>
      <c r="BW75">
        <f>IF(AND($B75&lt;=70,BV75&gt;0),$B75,999)</f>
        <v/>
      </c>
    </row>
    <row r="76">
      <c r="A76" t="n">
        <v>36</v>
      </c>
      <c r="B76">
        <f>$B$1+36</f>
        <v/>
      </c>
      <c r="C76">
        <f>$B$2</f>
        <v/>
      </c>
      <c r="D76">
        <f>IF($B$1+1&gt;90,C76,(C76+IF($B$1+1&lt;=$B76,12*$B$7,-12*$B$6*(1+$B$4)^1))*IF(C76+IF($B$1+1&lt;=$B76,12*$B$7,-12*$B$6*(1+$B$4)^1)&gt;0,1+$B$3,1))</f>
        <v/>
      </c>
      <c r="E76">
        <f>IF($B$1+2&gt;90,D76,(D76+IF($B$1+2&lt;=$B76,12*$B$7,-12*$B$6*(1+$B$4)^2))*IF(D76+IF($B$1+2&lt;=$B76,12*$B$7,-12*$B$6*(1+$B$4)^2)&gt;0,1+$B$3,1))</f>
        <v/>
      </c>
      <c r="F76">
        <f>IF($B$1+3&gt;90,E76,(E76+IF($B$1+3&lt;=$B76,12*$B$7,-12*$B$6*(1+$B$4)^3))*IF(E76+IF($B$1+3&lt;=$B76,12*$B$7,-12*$B$6*(1+$B$4)^3)&gt;0,1+$B$3,1))</f>
        <v/>
      </c>
      <c r="G76">
        <f>IF($B$1+4&gt;90,F76,(F76+IF($B$1+4&lt;=$B76,12*$B$7,-12*$B$6*(1+$B$4)^4))*IF(F76+IF($B$1+4&lt;=$B76,12*$B$7,-12*$B$6*(1+$B$4)^4)&gt;0,1+$B$3,1))</f>
        <v/>
      </c>
      <c r="H76">
        <f>IF($B$1+5&gt;90,G76,(G76+IF($B$1+5&lt;=$B76,12*$B$7,-12*$B$6*(1+$B$4)^5))*IF(G76+IF($B$1+5&lt;=$B76,12*$B$7,-12*$B$6*(1+$B$4)^5)&gt;0,1+$B$3,1))</f>
        <v/>
      </c>
      <c r="I76">
        <f>IF($B$1+6&gt;90,H76,(H76+IF($B$1+6&lt;=$B76,12*$B$7,-12*$B$6*(1+$B$4)^6))*IF(H76+IF($B$1+6&lt;=$B76,12*$B$7,-12*$B$6*(1+$B$4)^6)&gt;0,1+$B$3,1))</f>
        <v/>
      </c>
      <c r="J76">
        <f>IF($B$1+7&gt;90,I76,(I76+IF($B$1+7&lt;=$B76,12*$B$7,-12*$B$6*(1+$B$4)^7))*IF(I76+IF($B$1+7&lt;=$B76,12*$B$7,-12*$B$6*(1+$B$4)^7)&gt;0,1+$B$3,1))</f>
        <v/>
      </c>
      <c r="K76">
        <f>IF($B$1+8&gt;90,J76,(J76+IF($B$1+8&lt;=$B76,12*$B$7,-12*$B$6*(1+$B$4)^8))*IF(J76+IF($B$1+8&lt;=$B76,12*$B$7,-12*$B$6*(1+$B$4)^8)&gt;0,1+$B$3,1))</f>
        <v/>
      </c>
      <c r="L76">
        <f>IF($B$1+9&gt;90,K76,(K76+IF($B$1+9&lt;=$B76,12*$B$7,-12*$B$6*(1+$B$4)^9))*IF(K76+IF($B$1+9&lt;=$B76,12*$B$7,-12*$B$6*(1+$B$4)^9)&gt;0,1+$B$3,1))</f>
        <v/>
      </c>
      <c r="M76">
        <f>IF($B$1+10&gt;90,L76,(L76+IF($B$1+10&lt;=$B76,12*$B$7,-12*$B$6*(1+$B$4)^10))*IF(L76+IF($B$1+10&lt;=$B76,12*$B$7,-12*$B$6*(1+$B$4)^10)&gt;0,1+$B$3,1))</f>
        <v/>
      </c>
      <c r="N76">
        <f>IF($B$1+11&gt;90,M76,(M76+IF($B$1+11&lt;=$B76,12*$B$7,-12*$B$6*(1+$B$4)^11))*IF(M76+IF($B$1+11&lt;=$B76,12*$B$7,-12*$B$6*(1+$B$4)^11)&gt;0,1+$B$3,1))</f>
        <v/>
      </c>
      <c r="O76">
        <f>IF($B$1+12&gt;90,N76,(N76+IF($B$1+12&lt;=$B76,12*$B$7,-12*$B$6*(1+$B$4)^12))*IF(N76+IF($B$1+12&lt;=$B76,12*$B$7,-12*$B$6*(1+$B$4)^12)&gt;0,1+$B$3,1))</f>
        <v/>
      </c>
      <c r="P76">
        <f>IF($B$1+13&gt;90,O76,(O76+IF($B$1+13&lt;=$B76,12*$B$7,-12*$B$6*(1+$B$4)^13))*IF(O76+IF($B$1+13&lt;=$B76,12*$B$7,-12*$B$6*(1+$B$4)^13)&gt;0,1+$B$3,1))</f>
        <v/>
      </c>
      <c r="Q76">
        <f>IF($B$1+14&gt;90,P76,(P76+IF($B$1+14&lt;=$B76,12*$B$7,-12*$B$6*(1+$B$4)^14))*IF(P76+IF($B$1+14&lt;=$B76,12*$B$7,-12*$B$6*(1+$B$4)^14)&gt;0,1+$B$3,1))</f>
        <v/>
      </c>
      <c r="R76">
        <f>IF($B$1+15&gt;90,Q76,(Q76+IF($B$1+15&lt;=$B76,12*$B$7,-12*$B$6*(1+$B$4)^15))*IF(Q76+IF($B$1+15&lt;=$B76,12*$B$7,-12*$B$6*(1+$B$4)^15)&gt;0,1+$B$3,1))</f>
        <v/>
      </c>
      <c r="S76">
        <f>IF($B$1+16&gt;90,R76,(R76+IF($B$1+16&lt;=$B76,12*$B$7,-12*$B$6*(1+$B$4)^16))*IF(R76+IF($B$1+16&lt;=$B76,12*$B$7,-12*$B$6*(1+$B$4)^16)&gt;0,1+$B$3,1))</f>
        <v/>
      </c>
      <c r="T76">
        <f>IF($B$1+17&gt;90,S76,(S76+IF($B$1+17&lt;=$B76,12*$B$7,-12*$B$6*(1+$B$4)^17))*IF(S76+IF($B$1+17&lt;=$B76,12*$B$7,-12*$B$6*(1+$B$4)^17)&gt;0,1+$B$3,1))</f>
        <v/>
      </c>
      <c r="U76">
        <f>IF($B$1+18&gt;90,T76,(T76+IF($B$1+18&lt;=$B76,12*$B$7,-12*$B$6*(1+$B$4)^18))*IF(T76+IF($B$1+18&lt;=$B76,12*$B$7,-12*$B$6*(1+$B$4)^18)&gt;0,1+$B$3,1))</f>
        <v/>
      </c>
      <c r="V76">
        <f>IF($B$1+19&gt;90,U76,(U76+IF($B$1+19&lt;=$B76,12*$B$7,-12*$B$6*(1+$B$4)^19))*IF(U76+IF($B$1+19&lt;=$B76,12*$B$7,-12*$B$6*(1+$B$4)^19)&gt;0,1+$B$3,1))</f>
        <v/>
      </c>
      <c r="W76">
        <f>IF($B$1+20&gt;90,V76,(V76+IF($B$1+20&lt;=$B76,12*$B$7,-12*$B$6*(1+$B$4)^20))*IF(V76+IF($B$1+20&lt;=$B76,12*$B$7,-12*$B$6*(1+$B$4)^20)&gt;0,1+$B$3,1))</f>
        <v/>
      </c>
      <c r="X76">
        <f>IF($B$1+21&gt;90,W76,(W76+IF($B$1+21&lt;=$B76,12*$B$7,-12*$B$6*(1+$B$4)^21))*IF(W76+IF($B$1+21&lt;=$B76,12*$B$7,-12*$B$6*(1+$B$4)^21)&gt;0,1+$B$3,1))</f>
        <v/>
      </c>
      <c r="Y76">
        <f>IF($B$1+22&gt;90,X76,(X76+IF($B$1+22&lt;=$B76,12*$B$7,-12*$B$6*(1+$B$4)^22))*IF(X76+IF($B$1+22&lt;=$B76,12*$B$7,-12*$B$6*(1+$B$4)^22)&gt;0,1+$B$3,1))</f>
        <v/>
      </c>
      <c r="Z76">
        <f>IF($B$1+23&gt;90,Y76,(Y76+IF($B$1+23&lt;=$B76,12*$B$7,-12*$B$6*(1+$B$4)^23))*IF(Y76+IF($B$1+23&lt;=$B76,12*$B$7,-12*$B$6*(1+$B$4)^23)&gt;0,1+$B$3,1))</f>
        <v/>
      </c>
      <c r="AA76">
        <f>IF($B$1+24&gt;90,Z76,(Z76+IF($B$1+24&lt;=$B76,12*$B$7,-12*$B$6*(1+$B$4)^24))*IF(Z76+IF($B$1+24&lt;=$B76,12*$B$7,-12*$B$6*(1+$B$4)^24)&gt;0,1+$B$3,1))</f>
        <v/>
      </c>
      <c r="AB76">
        <f>IF($B$1+25&gt;90,AA76,(AA76+IF($B$1+25&lt;=$B76,12*$B$7,-12*$B$6*(1+$B$4)^25))*IF(AA76+IF($B$1+25&lt;=$B76,12*$B$7,-12*$B$6*(1+$B$4)^25)&gt;0,1+$B$3,1))</f>
        <v/>
      </c>
      <c r="AC76">
        <f>IF($B$1+26&gt;90,AB76,(AB76+IF($B$1+26&lt;=$B76,12*$B$7,-12*$B$6*(1+$B$4)^26))*IF(AB76+IF($B$1+26&lt;=$B76,12*$B$7,-12*$B$6*(1+$B$4)^26)&gt;0,1+$B$3,1))</f>
        <v/>
      </c>
      <c r="AD76">
        <f>IF($B$1+27&gt;90,AC76,(AC76+IF($B$1+27&lt;=$B76,12*$B$7,-12*$B$6*(1+$B$4)^27))*IF(AC76+IF($B$1+27&lt;=$B76,12*$B$7,-12*$B$6*(1+$B$4)^27)&gt;0,1+$B$3,1))</f>
        <v/>
      </c>
      <c r="AE76">
        <f>IF($B$1+28&gt;90,AD76,(AD76+IF($B$1+28&lt;=$B76,12*$B$7,-12*$B$6*(1+$B$4)^28))*IF(AD76+IF($B$1+28&lt;=$B76,12*$B$7,-12*$B$6*(1+$B$4)^28)&gt;0,1+$B$3,1))</f>
        <v/>
      </c>
      <c r="AF76">
        <f>IF($B$1+29&gt;90,AE76,(AE76+IF($B$1+29&lt;=$B76,12*$B$7,-12*$B$6*(1+$B$4)^29))*IF(AE76+IF($B$1+29&lt;=$B76,12*$B$7,-12*$B$6*(1+$B$4)^29)&gt;0,1+$B$3,1))</f>
        <v/>
      </c>
      <c r="AG76">
        <f>IF($B$1+30&gt;90,AF76,(AF76+IF($B$1+30&lt;=$B76,12*$B$7,-12*$B$6*(1+$B$4)^30))*IF(AF76+IF($B$1+30&lt;=$B76,12*$B$7,-12*$B$6*(1+$B$4)^30)&gt;0,1+$B$3,1))</f>
        <v/>
      </c>
      <c r="AH76">
        <f>IF($B$1+31&gt;90,AG76,(AG76+IF($B$1+31&lt;=$B76,12*$B$7,-12*$B$6*(1+$B$4)^31))*IF(AG76+IF($B$1+31&lt;=$B76,12*$B$7,-12*$B$6*(1+$B$4)^31)&gt;0,1+$B$3,1))</f>
        <v/>
      </c>
      <c r="AI76">
        <f>IF($B$1+32&gt;90,AH76,(AH76+IF($B$1+32&lt;=$B76,12*$B$7,-12*$B$6*(1+$B$4)^32))*IF(AH76+IF($B$1+32&lt;=$B76,12*$B$7,-12*$B$6*(1+$B$4)^32)&gt;0,1+$B$3,1))</f>
        <v/>
      </c>
      <c r="AJ76">
        <f>IF($B$1+33&gt;90,AI76,(AI76+IF($B$1+33&lt;=$B76,12*$B$7,-12*$B$6*(1+$B$4)^33))*IF(AI76+IF($B$1+33&lt;=$B76,12*$B$7,-12*$B$6*(1+$B$4)^33)&gt;0,1+$B$3,1))</f>
        <v/>
      </c>
      <c r="AK76">
        <f>IF($B$1+34&gt;90,AJ76,(AJ76+IF($B$1+34&lt;=$B76,12*$B$7,-12*$B$6*(1+$B$4)^34))*IF(AJ76+IF($B$1+34&lt;=$B76,12*$B$7,-12*$B$6*(1+$B$4)^34)&gt;0,1+$B$3,1))</f>
        <v/>
      </c>
      <c r="AL76">
        <f>IF($B$1+35&gt;90,AK76,(AK76+IF($B$1+35&lt;=$B76,12*$B$7,-12*$B$6*(1+$B$4)^35))*IF(AK76+IF($B$1+35&lt;=$B76,12*$B$7,-12*$B$6*(1+$B$4)^35)&gt;0,1+$B$3,1))</f>
        <v/>
      </c>
      <c r="AM76">
        <f>IF($B$1+36&gt;90,AL76,(AL76+IF($B$1+36&lt;=$B76,12*$B$7,-12*$B$6*(1+$B$4)^36))*IF(AL76+IF($B$1+36&lt;=$B76,12*$B$7,-12*$B$6*(1+$B$4)^36)&gt;0,1+$B$3,1))</f>
        <v/>
      </c>
      <c r="AN76">
        <f>IF($B$1+37&gt;90,AM76,(AM76+IF($B$1+37&lt;=$B76,12*$B$7,-12*$B$6*(1+$B$4)^37))*IF(AM76+IF($B$1+37&lt;=$B76,12*$B$7,-12*$B$6*(1+$B$4)^37)&gt;0,1+$B$3,1))</f>
        <v/>
      </c>
      <c r="AO76">
        <f>IF($B$1+38&gt;90,AN76,(AN76+IF($B$1+38&lt;=$B76,12*$B$7,-12*$B$6*(1+$B$4)^38))*IF(AN76+IF($B$1+38&lt;=$B76,12*$B$7,-12*$B$6*(1+$B$4)^38)&gt;0,1+$B$3,1))</f>
        <v/>
      </c>
      <c r="AP76">
        <f>IF($B$1+39&gt;90,AO76,(AO76+IF($B$1+39&lt;=$B76,12*$B$7,-12*$B$6*(1+$B$4)^39))*IF(AO76+IF($B$1+39&lt;=$B76,12*$B$7,-12*$B$6*(1+$B$4)^39)&gt;0,1+$B$3,1))</f>
        <v/>
      </c>
      <c r="AQ76">
        <f>IF($B$1+40&gt;90,AP76,(AP76+IF($B$1+40&lt;=$B76,12*$B$7,-12*$B$6*(1+$B$4)^40))*IF(AP76+IF($B$1+40&lt;=$B76,12*$B$7,-12*$B$6*(1+$B$4)^40)&gt;0,1+$B$3,1))</f>
        <v/>
      </c>
      <c r="AR76">
        <f>IF($B$1+41&gt;90,AQ76,(AQ76+IF($B$1+41&lt;=$B76,12*$B$7,-12*$B$6*(1+$B$4)^41))*IF(AQ76+IF($B$1+41&lt;=$B76,12*$B$7,-12*$B$6*(1+$B$4)^41)&gt;0,1+$B$3,1))</f>
        <v/>
      </c>
      <c r="AS76">
        <f>IF($B$1+42&gt;90,AR76,(AR76+IF($B$1+42&lt;=$B76,12*$B$7,-12*$B$6*(1+$B$4)^42))*IF(AR76+IF($B$1+42&lt;=$B76,12*$B$7,-12*$B$6*(1+$B$4)^42)&gt;0,1+$B$3,1))</f>
        <v/>
      </c>
      <c r="AT76">
        <f>IF($B$1+43&gt;90,AS76,(AS76+IF($B$1+43&lt;=$B76,12*$B$7,-12*$B$6*(1+$B$4)^43))*IF(AS76+IF($B$1+43&lt;=$B76,12*$B$7,-12*$B$6*(1+$B$4)^43)&gt;0,1+$B$3,1))</f>
        <v/>
      </c>
      <c r="AU76">
        <f>IF($B$1+44&gt;90,AT76,(AT76+IF($B$1+44&lt;=$B76,12*$B$7,-12*$B$6*(1+$B$4)^44))*IF(AT76+IF($B$1+44&lt;=$B76,12*$B$7,-12*$B$6*(1+$B$4)^44)&gt;0,1+$B$3,1))</f>
        <v/>
      </c>
      <c r="AV76">
        <f>IF($B$1+45&gt;90,AU76,(AU76+IF($B$1+45&lt;=$B76,12*$B$7,-12*$B$6*(1+$B$4)^45))*IF(AU76+IF($B$1+45&lt;=$B76,12*$B$7,-12*$B$6*(1+$B$4)^45)&gt;0,1+$B$3,1))</f>
        <v/>
      </c>
      <c r="AW76">
        <f>IF($B$1+46&gt;90,AV76,(AV76+IF($B$1+46&lt;=$B76,12*$B$7,-12*$B$6*(1+$B$4)^46))*IF(AV76+IF($B$1+46&lt;=$B76,12*$B$7,-12*$B$6*(1+$B$4)^46)&gt;0,1+$B$3,1))</f>
        <v/>
      </c>
      <c r="AX76">
        <f>IF($B$1+47&gt;90,AW76,(AW76+IF($B$1+47&lt;=$B76,12*$B$7,-12*$B$6*(1+$B$4)^47))*IF(AW76+IF($B$1+47&lt;=$B76,12*$B$7,-12*$B$6*(1+$B$4)^47)&gt;0,1+$B$3,1))</f>
        <v/>
      </c>
      <c r="AY76">
        <f>IF($B$1+48&gt;90,AX76,(AX76+IF($B$1+48&lt;=$B76,12*$B$7,-12*$B$6*(1+$B$4)^48))*IF(AX76+IF($B$1+48&lt;=$B76,12*$B$7,-12*$B$6*(1+$B$4)^48)&gt;0,1+$B$3,1))</f>
        <v/>
      </c>
      <c r="AZ76">
        <f>IF($B$1+49&gt;90,AY76,(AY76+IF($B$1+49&lt;=$B76,12*$B$7,-12*$B$6*(1+$B$4)^49))*IF(AY76+IF($B$1+49&lt;=$B76,12*$B$7,-12*$B$6*(1+$B$4)^49)&gt;0,1+$B$3,1))</f>
        <v/>
      </c>
      <c r="BA76">
        <f>IF($B$1+50&gt;90,AZ76,(AZ76+IF($B$1+50&lt;=$B76,12*$B$7,-12*$B$6*(1+$B$4)^50))*IF(AZ76+IF($B$1+50&lt;=$B76,12*$B$7,-12*$B$6*(1+$B$4)^50)&gt;0,1+$B$3,1))</f>
        <v/>
      </c>
      <c r="BB76">
        <f>IF($B$1+51&gt;90,BA76,(BA76+IF($B$1+51&lt;=$B76,12*$B$7,-12*$B$6*(1+$B$4)^51))*IF(BA76+IF($B$1+51&lt;=$B76,12*$B$7,-12*$B$6*(1+$B$4)^51)&gt;0,1+$B$3,1))</f>
        <v/>
      </c>
      <c r="BC76">
        <f>IF($B$1+52&gt;90,BB76,(BB76+IF($B$1+52&lt;=$B76,12*$B$7,-12*$B$6*(1+$B$4)^52))*IF(BB76+IF($B$1+52&lt;=$B76,12*$B$7,-12*$B$6*(1+$B$4)^52)&gt;0,1+$B$3,1))</f>
        <v/>
      </c>
      <c r="BD76">
        <f>IF($B$1+53&gt;90,BC76,(BC76+IF($B$1+53&lt;=$B76,12*$B$7,-12*$B$6*(1+$B$4)^53))*IF(BC76+IF($B$1+53&lt;=$B76,12*$B$7,-12*$B$6*(1+$B$4)^53)&gt;0,1+$B$3,1))</f>
        <v/>
      </c>
      <c r="BE76">
        <f>IF($B$1+54&gt;90,BD76,(BD76+IF($B$1+54&lt;=$B76,12*$B$7,-12*$B$6*(1+$B$4)^54))*IF(BD76+IF($B$1+54&lt;=$B76,12*$B$7,-12*$B$6*(1+$B$4)^54)&gt;0,1+$B$3,1))</f>
        <v/>
      </c>
      <c r="BF76">
        <f>IF($B$1+55&gt;90,BE76,(BE76+IF($B$1+55&lt;=$B76,12*$B$7,-12*$B$6*(1+$B$4)^55))*IF(BE76+IF($B$1+55&lt;=$B76,12*$B$7,-12*$B$6*(1+$B$4)^55)&gt;0,1+$B$3,1))</f>
        <v/>
      </c>
      <c r="BG76">
        <f>IF($B$1+56&gt;90,BF76,(BF76+IF($B$1+56&lt;=$B76,12*$B$7,-12*$B$6*(1+$B$4)^56))*IF(BF76+IF($B$1+56&lt;=$B76,12*$B$7,-12*$B$6*(1+$B$4)^56)&gt;0,1+$B$3,1))</f>
        <v/>
      </c>
      <c r="BH76">
        <f>IF($B$1+57&gt;90,BG76,(BG76+IF($B$1+57&lt;=$B76,12*$B$7,-12*$B$6*(1+$B$4)^57))*IF(BG76+IF($B$1+57&lt;=$B76,12*$B$7,-12*$B$6*(1+$B$4)^57)&gt;0,1+$B$3,1))</f>
        <v/>
      </c>
      <c r="BI76">
        <f>IF($B$1+58&gt;90,BH76,(BH76+IF($B$1+58&lt;=$B76,12*$B$7,-12*$B$6*(1+$B$4)^58))*IF(BH76+IF($B$1+58&lt;=$B76,12*$B$7,-12*$B$6*(1+$B$4)^58)&gt;0,1+$B$3,1))</f>
        <v/>
      </c>
      <c r="BJ76">
        <f>IF($B$1+59&gt;90,BI76,(BI76+IF($B$1+59&lt;=$B76,12*$B$7,-12*$B$6*(1+$B$4)^59))*IF(BI76+IF($B$1+59&lt;=$B76,12*$B$7,-12*$B$6*(1+$B$4)^59)&gt;0,1+$B$3,1))</f>
        <v/>
      </c>
      <c r="BK76">
        <f>IF($B$1+60&gt;90,BJ76,(BJ76+IF($B$1+60&lt;=$B76,12*$B$7,-12*$B$6*(1+$B$4)^60))*IF(BJ76+IF($B$1+60&lt;=$B76,12*$B$7,-12*$B$6*(1+$B$4)^60)&gt;0,1+$B$3,1))</f>
        <v/>
      </c>
      <c r="BL76">
        <f>IF($B$1+61&gt;90,BK76,(BK76+IF($B$1+61&lt;=$B76,12*$B$7,-12*$B$6*(1+$B$4)^61))*IF(BK76+IF($B$1+61&lt;=$B76,12*$B$7,-12*$B$6*(1+$B$4)^61)&gt;0,1+$B$3,1))</f>
        <v/>
      </c>
      <c r="BM76">
        <f>IF($B$1+62&gt;90,BL76,(BL76+IF($B$1+62&lt;=$B76,12*$B$7,-12*$B$6*(1+$B$4)^62))*IF(BL76+IF($B$1+62&lt;=$B76,12*$B$7,-12*$B$6*(1+$B$4)^62)&gt;0,1+$B$3,1))</f>
        <v/>
      </c>
      <c r="BN76">
        <f>IF($B$1+63&gt;90,BM76,(BM76+IF($B$1+63&lt;=$B76,12*$B$7,-12*$B$6*(1+$B$4)^63))*IF(BM76+IF($B$1+63&lt;=$B76,12*$B$7,-12*$B$6*(1+$B$4)^63)&gt;0,1+$B$3,1))</f>
        <v/>
      </c>
      <c r="BO76">
        <f>IF($B$1+64&gt;90,BN76,(BN76+IF($B$1+64&lt;=$B76,12*$B$7,-12*$B$6*(1+$B$4)^64))*IF(BN76+IF($B$1+64&lt;=$B76,12*$B$7,-12*$B$6*(1+$B$4)^64)&gt;0,1+$B$3,1))</f>
        <v/>
      </c>
      <c r="BP76">
        <f>IF($B$1+65&gt;90,BO76,(BO76+IF($B$1+65&lt;=$B76,12*$B$7,-12*$B$6*(1+$B$4)^65))*IF(BO76+IF($B$1+65&lt;=$B76,12*$B$7,-12*$B$6*(1+$B$4)^65)&gt;0,1+$B$3,1))</f>
        <v/>
      </c>
      <c r="BQ76">
        <f>IF($B$1+66&gt;90,BP76,(BP76+IF($B$1+66&lt;=$B76,12*$B$7,-12*$B$6*(1+$B$4)^66))*IF(BP76+IF($B$1+66&lt;=$B76,12*$B$7,-12*$B$6*(1+$B$4)^66)&gt;0,1+$B$3,1))</f>
        <v/>
      </c>
      <c r="BR76">
        <f>IF($B$1+67&gt;90,BQ76,(BQ76+IF($B$1+67&lt;=$B76,12*$B$7,-12*$B$6*(1+$B$4)^67))*IF(BQ76+IF($B$1+67&lt;=$B76,12*$B$7,-12*$B$6*(1+$B$4)^67)&gt;0,1+$B$3,1))</f>
        <v/>
      </c>
      <c r="BS76">
        <f>IF($B$1+68&gt;90,BR76,(BR76+IF($B$1+68&lt;=$B76,12*$B$7,-12*$B$6*(1+$B$4)^68))*IF(BR76+IF($B$1+68&lt;=$B76,12*$B$7,-12*$B$6*(1+$B$4)^68)&gt;0,1+$B$3,1))</f>
        <v/>
      </c>
      <c r="BT76">
        <f>IF($B$1+69&gt;90,BS76,(BS76+IF($B$1+69&lt;=$B76,12*$B$7,-12*$B$6*(1+$B$4)^69))*IF(BS76+IF($B$1+69&lt;=$B76,12*$B$7,-12*$B$6*(1+$B$4)^69)&gt;0,1+$B$3,1))</f>
        <v/>
      </c>
      <c r="BU76">
        <f>IF($B$1+70&gt;90,BT76,(BT76+IF($B$1+70&lt;=$B76,12*$B$7,-12*$B$6*(1+$B$4)^70))*IF(BT76+IF($B$1+70&lt;=$B76,12*$B$7,-12*$B$6*(1+$B$4)^70)&gt;0,1+$B$3,1))</f>
        <v/>
      </c>
      <c r="BV76">
        <f>BU76</f>
        <v/>
      </c>
      <c r="BW76">
        <f>IF(AND($B76&lt;=70,BV76&gt;0),$B76,999)</f>
        <v/>
      </c>
    </row>
    <row r="77">
      <c r="A77" t="n">
        <v>37</v>
      </c>
      <c r="B77">
        <f>$B$1+37</f>
        <v/>
      </c>
      <c r="C77">
        <f>$B$2</f>
        <v/>
      </c>
      <c r="D77">
        <f>IF($B$1+1&gt;90,C77,(C77+IF($B$1+1&lt;=$B77,12*$B$7,-12*$B$6*(1+$B$4)^1))*IF(C77+IF($B$1+1&lt;=$B77,12*$B$7,-12*$B$6*(1+$B$4)^1)&gt;0,1+$B$3,1))</f>
        <v/>
      </c>
      <c r="E77">
        <f>IF($B$1+2&gt;90,D77,(D77+IF($B$1+2&lt;=$B77,12*$B$7,-12*$B$6*(1+$B$4)^2))*IF(D77+IF($B$1+2&lt;=$B77,12*$B$7,-12*$B$6*(1+$B$4)^2)&gt;0,1+$B$3,1))</f>
        <v/>
      </c>
      <c r="F77">
        <f>IF($B$1+3&gt;90,E77,(E77+IF($B$1+3&lt;=$B77,12*$B$7,-12*$B$6*(1+$B$4)^3))*IF(E77+IF($B$1+3&lt;=$B77,12*$B$7,-12*$B$6*(1+$B$4)^3)&gt;0,1+$B$3,1))</f>
        <v/>
      </c>
      <c r="G77">
        <f>IF($B$1+4&gt;90,F77,(F77+IF($B$1+4&lt;=$B77,12*$B$7,-12*$B$6*(1+$B$4)^4))*IF(F77+IF($B$1+4&lt;=$B77,12*$B$7,-12*$B$6*(1+$B$4)^4)&gt;0,1+$B$3,1))</f>
        <v/>
      </c>
      <c r="H77">
        <f>IF($B$1+5&gt;90,G77,(G77+IF($B$1+5&lt;=$B77,12*$B$7,-12*$B$6*(1+$B$4)^5))*IF(G77+IF($B$1+5&lt;=$B77,12*$B$7,-12*$B$6*(1+$B$4)^5)&gt;0,1+$B$3,1))</f>
        <v/>
      </c>
      <c r="I77">
        <f>IF($B$1+6&gt;90,H77,(H77+IF($B$1+6&lt;=$B77,12*$B$7,-12*$B$6*(1+$B$4)^6))*IF(H77+IF($B$1+6&lt;=$B77,12*$B$7,-12*$B$6*(1+$B$4)^6)&gt;0,1+$B$3,1))</f>
        <v/>
      </c>
      <c r="J77">
        <f>IF($B$1+7&gt;90,I77,(I77+IF($B$1+7&lt;=$B77,12*$B$7,-12*$B$6*(1+$B$4)^7))*IF(I77+IF($B$1+7&lt;=$B77,12*$B$7,-12*$B$6*(1+$B$4)^7)&gt;0,1+$B$3,1))</f>
        <v/>
      </c>
      <c r="K77">
        <f>IF($B$1+8&gt;90,J77,(J77+IF($B$1+8&lt;=$B77,12*$B$7,-12*$B$6*(1+$B$4)^8))*IF(J77+IF($B$1+8&lt;=$B77,12*$B$7,-12*$B$6*(1+$B$4)^8)&gt;0,1+$B$3,1))</f>
        <v/>
      </c>
      <c r="L77">
        <f>IF($B$1+9&gt;90,K77,(K77+IF($B$1+9&lt;=$B77,12*$B$7,-12*$B$6*(1+$B$4)^9))*IF(K77+IF($B$1+9&lt;=$B77,12*$B$7,-12*$B$6*(1+$B$4)^9)&gt;0,1+$B$3,1))</f>
        <v/>
      </c>
      <c r="M77">
        <f>IF($B$1+10&gt;90,L77,(L77+IF($B$1+10&lt;=$B77,12*$B$7,-12*$B$6*(1+$B$4)^10))*IF(L77+IF($B$1+10&lt;=$B77,12*$B$7,-12*$B$6*(1+$B$4)^10)&gt;0,1+$B$3,1))</f>
        <v/>
      </c>
      <c r="N77">
        <f>IF($B$1+11&gt;90,M77,(M77+IF($B$1+11&lt;=$B77,12*$B$7,-12*$B$6*(1+$B$4)^11))*IF(M77+IF($B$1+11&lt;=$B77,12*$B$7,-12*$B$6*(1+$B$4)^11)&gt;0,1+$B$3,1))</f>
        <v/>
      </c>
      <c r="O77">
        <f>IF($B$1+12&gt;90,N77,(N77+IF($B$1+12&lt;=$B77,12*$B$7,-12*$B$6*(1+$B$4)^12))*IF(N77+IF($B$1+12&lt;=$B77,12*$B$7,-12*$B$6*(1+$B$4)^12)&gt;0,1+$B$3,1))</f>
        <v/>
      </c>
      <c r="P77">
        <f>IF($B$1+13&gt;90,O77,(O77+IF($B$1+13&lt;=$B77,12*$B$7,-12*$B$6*(1+$B$4)^13))*IF(O77+IF($B$1+13&lt;=$B77,12*$B$7,-12*$B$6*(1+$B$4)^13)&gt;0,1+$B$3,1))</f>
        <v/>
      </c>
      <c r="Q77">
        <f>IF($B$1+14&gt;90,P77,(P77+IF($B$1+14&lt;=$B77,12*$B$7,-12*$B$6*(1+$B$4)^14))*IF(P77+IF($B$1+14&lt;=$B77,12*$B$7,-12*$B$6*(1+$B$4)^14)&gt;0,1+$B$3,1))</f>
        <v/>
      </c>
      <c r="R77">
        <f>IF($B$1+15&gt;90,Q77,(Q77+IF($B$1+15&lt;=$B77,12*$B$7,-12*$B$6*(1+$B$4)^15))*IF(Q77+IF($B$1+15&lt;=$B77,12*$B$7,-12*$B$6*(1+$B$4)^15)&gt;0,1+$B$3,1))</f>
        <v/>
      </c>
      <c r="S77">
        <f>IF($B$1+16&gt;90,R77,(R77+IF($B$1+16&lt;=$B77,12*$B$7,-12*$B$6*(1+$B$4)^16))*IF(R77+IF($B$1+16&lt;=$B77,12*$B$7,-12*$B$6*(1+$B$4)^16)&gt;0,1+$B$3,1))</f>
        <v/>
      </c>
      <c r="T77">
        <f>IF($B$1+17&gt;90,S77,(S77+IF($B$1+17&lt;=$B77,12*$B$7,-12*$B$6*(1+$B$4)^17))*IF(S77+IF($B$1+17&lt;=$B77,12*$B$7,-12*$B$6*(1+$B$4)^17)&gt;0,1+$B$3,1))</f>
        <v/>
      </c>
      <c r="U77">
        <f>IF($B$1+18&gt;90,T77,(T77+IF($B$1+18&lt;=$B77,12*$B$7,-12*$B$6*(1+$B$4)^18))*IF(T77+IF($B$1+18&lt;=$B77,12*$B$7,-12*$B$6*(1+$B$4)^18)&gt;0,1+$B$3,1))</f>
        <v/>
      </c>
      <c r="V77">
        <f>IF($B$1+19&gt;90,U77,(U77+IF($B$1+19&lt;=$B77,12*$B$7,-12*$B$6*(1+$B$4)^19))*IF(U77+IF($B$1+19&lt;=$B77,12*$B$7,-12*$B$6*(1+$B$4)^19)&gt;0,1+$B$3,1))</f>
        <v/>
      </c>
      <c r="W77">
        <f>IF($B$1+20&gt;90,V77,(V77+IF($B$1+20&lt;=$B77,12*$B$7,-12*$B$6*(1+$B$4)^20))*IF(V77+IF($B$1+20&lt;=$B77,12*$B$7,-12*$B$6*(1+$B$4)^20)&gt;0,1+$B$3,1))</f>
        <v/>
      </c>
      <c r="X77">
        <f>IF($B$1+21&gt;90,W77,(W77+IF($B$1+21&lt;=$B77,12*$B$7,-12*$B$6*(1+$B$4)^21))*IF(W77+IF($B$1+21&lt;=$B77,12*$B$7,-12*$B$6*(1+$B$4)^21)&gt;0,1+$B$3,1))</f>
        <v/>
      </c>
      <c r="Y77">
        <f>IF($B$1+22&gt;90,X77,(X77+IF($B$1+22&lt;=$B77,12*$B$7,-12*$B$6*(1+$B$4)^22))*IF(X77+IF($B$1+22&lt;=$B77,12*$B$7,-12*$B$6*(1+$B$4)^22)&gt;0,1+$B$3,1))</f>
        <v/>
      </c>
      <c r="Z77">
        <f>IF($B$1+23&gt;90,Y77,(Y77+IF($B$1+23&lt;=$B77,12*$B$7,-12*$B$6*(1+$B$4)^23))*IF(Y77+IF($B$1+23&lt;=$B77,12*$B$7,-12*$B$6*(1+$B$4)^23)&gt;0,1+$B$3,1))</f>
        <v/>
      </c>
      <c r="AA77">
        <f>IF($B$1+24&gt;90,Z77,(Z77+IF($B$1+24&lt;=$B77,12*$B$7,-12*$B$6*(1+$B$4)^24))*IF(Z77+IF($B$1+24&lt;=$B77,12*$B$7,-12*$B$6*(1+$B$4)^24)&gt;0,1+$B$3,1))</f>
        <v/>
      </c>
      <c r="AB77">
        <f>IF($B$1+25&gt;90,AA77,(AA77+IF($B$1+25&lt;=$B77,12*$B$7,-12*$B$6*(1+$B$4)^25))*IF(AA77+IF($B$1+25&lt;=$B77,12*$B$7,-12*$B$6*(1+$B$4)^25)&gt;0,1+$B$3,1))</f>
        <v/>
      </c>
      <c r="AC77">
        <f>IF($B$1+26&gt;90,AB77,(AB77+IF($B$1+26&lt;=$B77,12*$B$7,-12*$B$6*(1+$B$4)^26))*IF(AB77+IF($B$1+26&lt;=$B77,12*$B$7,-12*$B$6*(1+$B$4)^26)&gt;0,1+$B$3,1))</f>
        <v/>
      </c>
      <c r="AD77">
        <f>IF($B$1+27&gt;90,AC77,(AC77+IF($B$1+27&lt;=$B77,12*$B$7,-12*$B$6*(1+$B$4)^27))*IF(AC77+IF($B$1+27&lt;=$B77,12*$B$7,-12*$B$6*(1+$B$4)^27)&gt;0,1+$B$3,1))</f>
        <v/>
      </c>
      <c r="AE77">
        <f>IF($B$1+28&gt;90,AD77,(AD77+IF($B$1+28&lt;=$B77,12*$B$7,-12*$B$6*(1+$B$4)^28))*IF(AD77+IF($B$1+28&lt;=$B77,12*$B$7,-12*$B$6*(1+$B$4)^28)&gt;0,1+$B$3,1))</f>
        <v/>
      </c>
      <c r="AF77">
        <f>IF($B$1+29&gt;90,AE77,(AE77+IF($B$1+29&lt;=$B77,12*$B$7,-12*$B$6*(1+$B$4)^29))*IF(AE77+IF($B$1+29&lt;=$B77,12*$B$7,-12*$B$6*(1+$B$4)^29)&gt;0,1+$B$3,1))</f>
        <v/>
      </c>
      <c r="AG77">
        <f>IF($B$1+30&gt;90,AF77,(AF77+IF($B$1+30&lt;=$B77,12*$B$7,-12*$B$6*(1+$B$4)^30))*IF(AF77+IF($B$1+30&lt;=$B77,12*$B$7,-12*$B$6*(1+$B$4)^30)&gt;0,1+$B$3,1))</f>
        <v/>
      </c>
      <c r="AH77">
        <f>IF($B$1+31&gt;90,AG77,(AG77+IF($B$1+31&lt;=$B77,12*$B$7,-12*$B$6*(1+$B$4)^31))*IF(AG77+IF($B$1+31&lt;=$B77,12*$B$7,-12*$B$6*(1+$B$4)^31)&gt;0,1+$B$3,1))</f>
        <v/>
      </c>
      <c r="AI77">
        <f>IF($B$1+32&gt;90,AH77,(AH77+IF($B$1+32&lt;=$B77,12*$B$7,-12*$B$6*(1+$B$4)^32))*IF(AH77+IF($B$1+32&lt;=$B77,12*$B$7,-12*$B$6*(1+$B$4)^32)&gt;0,1+$B$3,1))</f>
        <v/>
      </c>
      <c r="AJ77">
        <f>IF($B$1+33&gt;90,AI77,(AI77+IF($B$1+33&lt;=$B77,12*$B$7,-12*$B$6*(1+$B$4)^33))*IF(AI77+IF($B$1+33&lt;=$B77,12*$B$7,-12*$B$6*(1+$B$4)^33)&gt;0,1+$B$3,1))</f>
        <v/>
      </c>
      <c r="AK77">
        <f>IF($B$1+34&gt;90,AJ77,(AJ77+IF($B$1+34&lt;=$B77,12*$B$7,-12*$B$6*(1+$B$4)^34))*IF(AJ77+IF($B$1+34&lt;=$B77,12*$B$7,-12*$B$6*(1+$B$4)^34)&gt;0,1+$B$3,1))</f>
        <v/>
      </c>
      <c r="AL77">
        <f>IF($B$1+35&gt;90,AK77,(AK77+IF($B$1+35&lt;=$B77,12*$B$7,-12*$B$6*(1+$B$4)^35))*IF(AK77+IF($B$1+35&lt;=$B77,12*$B$7,-12*$B$6*(1+$B$4)^35)&gt;0,1+$B$3,1))</f>
        <v/>
      </c>
      <c r="AM77">
        <f>IF($B$1+36&gt;90,AL77,(AL77+IF($B$1+36&lt;=$B77,12*$B$7,-12*$B$6*(1+$B$4)^36))*IF(AL77+IF($B$1+36&lt;=$B77,12*$B$7,-12*$B$6*(1+$B$4)^36)&gt;0,1+$B$3,1))</f>
        <v/>
      </c>
      <c r="AN77">
        <f>IF($B$1+37&gt;90,AM77,(AM77+IF($B$1+37&lt;=$B77,12*$B$7,-12*$B$6*(1+$B$4)^37))*IF(AM77+IF($B$1+37&lt;=$B77,12*$B$7,-12*$B$6*(1+$B$4)^37)&gt;0,1+$B$3,1))</f>
        <v/>
      </c>
      <c r="AO77">
        <f>IF($B$1+38&gt;90,AN77,(AN77+IF($B$1+38&lt;=$B77,12*$B$7,-12*$B$6*(1+$B$4)^38))*IF(AN77+IF($B$1+38&lt;=$B77,12*$B$7,-12*$B$6*(1+$B$4)^38)&gt;0,1+$B$3,1))</f>
        <v/>
      </c>
      <c r="AP77">
        <f>IF($B$1+39&gt;90,AO77,(AO77+IF($B$1+39&lt;=$B77,12*$B$7,-12*$B$6*(1+$B$4)^39))*IF(AO77+IF($B$1+39&lt;=$B77,12*$B$7,-12*$B$6*(1+$B$4)^39)&gt;0,1+$B$3,1))</f>
        <v/>
      </c>
      <c r="AQ77">
        <f>IF($B$1+40&gt;90,AP77,(AP77+IF($B$1+40&lt;=$B77,12*$B$7,-12*$B$6*(1+$B$4)^40))*IF(AP77+IF($B$1+40&lt;=$B77,12*$B$7,-12*$B$6*(1+$B$4)^40)&gt;0,1+$B$3,1))</f>
        <v/>
      </c>
      <c r="AR77">
        <f>IF($B$1+41&gt;90,AQ77,(AQ77+IF($B$1+41&lt;=$B77,12*$B$7,-12*$B$6*(1+$B$4)^41))*IF(AQ77+IF($B$1+41&lt;=$B77,12*$B$7,-12*$B$6*(1+$B$4)^41)&gt;0,1+$B$3,1))</f>
        <v/>
      </c>
      <c r="AS77">
        <f>IF($B$1+42&gt;90,AR77,(AR77+IF($B$1+42&lt;=$B77,12*$B$7,-12*$B$6*(1+$B$4)^42))*IF(AR77+IF($B$1+42&lt;=$B77,12*$B$7,-12*$B$6*(1+$B$4)^42)&gt;0,1+$B$3,1))</f>
        <v/>
      </c>
      <c r="AT77">
        <f>IF($B$1+43&gt;90,AS77,(AS77+IF($B$1+43&lt;=$B77,12*$B$7,-12*$B$6*(1+$B$4)^43))*IF(AS77+IF($B$1+43&lt;=$B77,12*$B$7,-12*$B$6*(1+$B$4)^43)&gt;0,1+$B$3,1))</f>
        <v/>
      </c>
      <c r="AU77">
        <f>IF($B$1+44&gt;90,AT77,(AT77+IF($B$1+44&lt;=$B77,12*$B$7,-12*$B$6*(1+$B$4)^44))*IF(AT77+IF($B$1+44&lt;=$B77,12*$B$7,-12*$B$6*(1+$B$4)^44)&gt;0,1+$B$3,1))</f>
        <v/>
      </c>
      <c r="AV77">
        <f>IF($B$1+45&gt;90,AU77,(AU77+IF($B$1+45&lt;=$B77,12*$B$7,-12*$B$6*(1+$B$4)^45))*IF(AU77+IF($B$1+45&lt;=$B77,12*$B$7,-12*$B$6*(1+$B$4)^45)&gt;0,1+$B$3,1))</f>
        <v/>
      </c>
      <c r="AW77">
        <f>IF($B$1+46&gt;90,AV77,(AV77+IF($B$1+46&lt;=$B77,12*$B$7,-12*$B$6*(1+$B$4)^46))*IF(AV77+IF($B$1+46&lt;=$B77,12*$B$7,-12*$B$6*(1+$B$4)^46)&gt;0,1+$B$3,1))</f>
        <v/>
      </c>
      <c r="AX77">
        <f>IF($B$1+47&gt;90,AW77,(AW77+IF($B$1+47&lt;=$B77,12*$B$7,-12*$B$6*(1+$B$4)^47))*IF(AW77+IF($B$1+47&lt;=$B77,12*$B$7,-12*$B$6*(1+$B$4)^47)&gt;0,1+$B$3,1))</f>
        <v/>
      </c>
      <c r="AY77">
        <f>IF($B$1+48&gt;90,AX77,(AX77+IF($B$1+48&lt;=$B77,12*$B$7,-12*$B$6*(1+$B$4)^48))*IF(AX77+IF($B$1+48&lt;=$B77,12*$B$7,-12*$B$6*(1+$B$4)^48)&gt;0,1+$B$3,1))</f>
        <v/>
      </c>
      <c r="AZ77">
        <f>IF($B$1+49&gt;90,AY77,(AY77+IF($B$1+49&lt;=$B77,12*$B$7,-12*$B$6*(1+$B$4)^49))*IF(AY77+IF($B$1+49&lt;=$B77,12*$B$7,-12*$B$6*(1+$B$4)^49)&gt;0,1+$B$3,1))</f>
        <v/>
      </c>
      <c r="BA77">
        <f>IF($B$1+50&gt;90,AZ77,(AZ77+IF($B$1+50&lt;=$B77,12*$B$7,-12*$B$6*(1+$B$4)^50))*IF(AZ77+IF($B$1+50&lt;=$B77,12*$B$7,-12*$B$6*(1+$B$4)^50)&gt;0,1+$B$3,1))</f>
        <v/>
      </c>
      <c r="BB77">
        <f>IF($B$1+51&gt;90,BA77,(BA77+IF($B$1+51&lt;=$B77,12*$B$7,-12*$B$6*(1+$B$4)^51))*IF(BA77+IF($B$1+51&lt;=$B77,12*$B$7,-12*$B$6*(1+$B$4)^51)&gt;0,1+$B$3,1))</f>
        <v/>
      </c>
      <c r="BC77">
        <f>IF($B$1+52&gt;90,BB77,(BB77+IF($B$1+52&lt;=$B77,12*$B$7,-12*$B$6*(1+$B$4)^52))*IF(BB77+IF($B$1+52&lt;=$B77,12*$B$7,-12*$B$6*(1+$B$4)^52)&gt;0,1+$B$3,1))</f>
        <v/>
      </c>
      <c r="BD77">
        <f>IF($B$1+53&gt;90,BC77,(BC77+IF($B$1+53&lt;=$B77,12*$B$7,-12*$B$6*(1+$B$4)^53))*IF(BC77+IF($B$1+53&lt;=$B77,12*$B$7,-12*$B$6*(1+$B$4)^53)&gt;0,1+$B$3,1))</f>
        <v/>
      </c>
      <c r="BE77">
        <f>IF($B$1+54&gt;90,BD77,(BD77+IF($B$1+54&lt;=$B77,12*$B$7,-12*$B$6*(1+$B$4)^54))*IF(BD77+IF($B$1+54&lt;=$B77,12*$B$7,-12*$B$6*(1+$B$4)^54)&gt;0,1+$B$3,1))</f>
        <v/>
      </c>
      <c r="BF77">
        <f>IF($B$1+55&gt;90,BE77,(BE77+IF($B$1+55&lt;=$B77,12*$B$7,-12*$B$6*(1+$B$4)^55))*IF(BE77+IF($B$1+55&lt;=$B77,12*$B$7,-12*$B$6*(1+$B$4)^55)&gt;0,1+$B$3,1))</f>
        <v/>
      </c>
      <c r="BG77">
        <f>IF($B$1+56&gt;90,BF77,(BF77+IF($B$1+56&lt;=$B77,12*$B$7,-12*$B$6*(1+$B$4)^56))*IF(BF77+IF($B$1+56&lt;=$B77,12*$B$7,-12*$B$6*(1+$B$4)^56)&gt;0,1+$B$3,1))</f>
        <v/>
      </c>
      <c r="BH77">
        <f>IF($B$1+57&gt;90,BG77,(BG77+IF($B$1+57&lt;=$B77,12*$B$7,-12*$B$6*(1+$B$4)^57))*IF(BG77+IF($B$1+57&lt;=$B77,12*$B$7,-12*$B$6*(1+$B$4)^57)&gt;0,1+$B$3,1))</f>
        <v/>
      </c>
      <c r="BI77">
        <f>IF($B$1+58&gt;90,BH77,(BH77+IF($B$1+58&lt;=$B77,12*$B$7,-12*$B$6*(1+$B$4)^58))*IF(BH77+IF($B$1+58&lt;=$B77,12*$B$7,-12*$B$6*(1+$B$4)^58)&gt;0,1+$B$3,1))</f>
        <v/>
      </c>
      <c r="BJ77">
        <f>IF($B$1+59&gt;90,BI77,(BI77+IF($B$1+59&lt;=$B77,12*$B$7,-12*$B$6*(1+$B$4)^59))*IF(BI77+IF($B$1+59&lt;=$B77,12*$B$7,-12*$B$6*(1+$B$4)^59)&gt;0,1+$B$3,1))</f>
        <v/>
      </c>
      <c r="BK77">
        <f>IF($B$1+60&gt;90,BJ77,(BJ77+IF($B$1+60&lt;=$B77,12*$B$7,-12*$B$6*(1+$B$4)^60))*IF(BJ77+IF($B$1+60&lt;=$B77,12*$B$7,-12*$B$6*(1+$B$4)^60)&gt;0,1+$B$3,1))</f>
        <v/>
      </c>
      <c r="BL77">
        <f>IF($B$1+61&gt;90,BK77,(BK77+IF($B$1+61&lt;=$B77,12*$B$7,-12*$B$6*(1+$B$4)^61))*IF(BK77+IF($B$1+61&lt;=$B77,12*$B$7,-12*$B$6*(1+$B$4)^61)&gt;0,1+$B$3,1))</f>
        <v/>
      </c>
      <c r="BM77">
        <f>IF($B$1+62&gt;90,BL77,(BL77+IF($B$1+62&lt;=$B77,12*$B$7,-12*$B$6*(1+$B$4)^62))*IF(BL77+IF($B$1+62&lt;=$B77,12*$B$7,-12*$B$6*(1+$B$4)^62)&gt;0,1+$B$3,1))</f>
        <v/>
      </c>
      <c r="BN77">
        <f>IF($B$1+63&gt;90,BM77,(BM77+IF($B$1+63&lt;=$B77,12*$B$7,-12*$B$6*(1+$B$4)^63))*IF(BM77+IF($B$1+63&lt;=$B77,12*$B$7,-12*$B$6*(1+$B$4)^63)&gt;0,1+$B$3,1))</f>
        <v/>
      </c>
      <c r="BO77">
        <f>IF($B$1+64&gt;90,BN77,(BN77+IF($B$1+64&lt;=$B77,12*$B$7,-12*$B$6*(1+$B$4)^64))*IF(BN77+IF($B$1+64&lt;=$B77,12*$B$7,-12*$B$6*(1+$B$4)^64)&gt;0,1+$B$3,1))</f>
        <v/>
      </c>
      <c r="BP77">
        <f>IF($B$1+65&gt;90,BO77,(BO77+IF($B$1+65&lt;=$B77,12*$B$7,-12*$B$6*(1+$B$4)^65))*IF(BO77+IF($B$1+65&lt;=$B77,12*$B$7,-12*$B$6*(1+$B$4)^65)&gt;0,1+$B$3,1))</f>
        <v/>
      </c>
      <c r="BQ77">
        <f>IF($B$1+66&gt;90,BP77,(BP77+IF($B$1+66&lt;=$B77,12*$B$7,-12*$B$6*(1+$B$4)^66))*IF(BP77+IF($B$1+66&lt;=$B77,12*$B$7,-12*$B$6*(1+$B$4)^66)&gt;0,1+$B$3,1))</f>
        <v/>
      </c>
      <c r="BR77">
        <f>IF($B$1+67&gt;90,BQ77,(BQ77+IF($B$1+67&lt;=$B77,12*$B$7,-12*$B$6*(1+$B$4)^67))*IF(BQ77+IF($B$1+67&lt;=$B77,12*$B$7,-12*$B$6*(1+$B$4)^67)&gt;0,1+$B$3,1))</f>
        <v/>
      </c>
      <c r="BS77">
        <f>IF($B$1+68&gt;90,BR77,(BR77+IF($B$1+68&lt;=$B77,12*$B$7,-12*$B$6*(1+$B$4)^68))*IF(BR77+IF($B$1+68&lt;=$B77,12*$B$7,-12*$B$6*(1+$B$4)^68)&gt;0,1+$B$3,1))</f>
        <v/>
      </c>
      <c r="BT77">
        <f>IF($B$1+69&gt;90,BS77,(BS77+IF($B$1+69&lt;=$B77,12*$B$7,-12*$B$6*(1+$B$4)^69))*IF(BS77+IF($B$1+69&lt;=$B77,12*$B$7,-12*$B$6*(1+$B$4)^69)&gt;0,1+$B$3,1))</f>
        <v/>
      </c>
      <c r="BU77">
        <f>IF($B$1+70&gt;90,BT77,(BT77+IF($B$1+70&lt;=$B77,12*$B$7,-12*$B$6*(1+$B$4)^70))*IF(BT77+IF($B$1+70&lt;=$B77,12*$B$7,-12*$B$6*(1+$B$4)^70)&gt;0,1+$B$3,1))</f>
        <v/>
      </c>
      <c r="BV77">
        <f>BU77</f>
        <v/>
      </c>
      <c r="BW77">
        <f>IF(AND($B77&lt;=70,BV77&gt;0),$B77,999)</f>
        <v/>
      </c>
    </row>
    <row r="78">
      <c r="A78" t="n">
        <v>38</v>
      </c>
      <c r="B78">
        <f>$B$1+38</f>
        <v/>
      </c>
      <c r="C78">
        <f>$B$2</f>
        <v/>
      </c>
      <c r="D78">
        <f>IF($B$1+1&gt;90,C78,(C78+IF($B$1+1&lt;=$B78,12*$B$7,-12*$B$6*(1+$B$4)^1))*IF(C78+IF($B$1+1&lt;=$B78,12*$B$7,-12*$B$6*(1+$B$4)^1)&gt;0,1+$B$3,1))</f>
        <v/>
      </c>
      <c r="E78">
        <f>IF($B$1+2&gt;90,D78,(D78+IF($B$1+2&lt;=$B78,12*$B$7,-12*$B$6*(1+$B$4)^2))*IF(D78+IF($B$1+2&lt;=$B78,12*$B$7,-12*$B$6*(1+$B$4)^2)&gt;0,1+$B$3,1))</f>
        <v/>
      </c>
      <c r="F78">
        <f>IF($B$1+3&gt;90,E78,(E78+IF($B$1+3&lt;=$B78,12*$B$7,-12*$B$6*(1+$B$4)^3))*IF(E78+IF($B$1+3&lt;=$B78,12*$B$7,-12*$B$6*(1+$B$4)^3)&gt;0,1+$B$3,1))</f>
        <v/>
      </c>
      <c r="G78">
        <f>IF($B$1+4&gt;90,F78,(F78+IF($B$1+4&lt;=$B78,12*$B$7,-12*$B$6*(1+$B$4)^4))*IF(F78+IF($B$1+4&lt;=$B78,12*$B$7,-12*$B$6*(1+$B$4)^4)&gt;0,1+$B$3,1))</f>
        <v/>
      </c>
      <c r="H78">
        <f>IF($B$1+5&gt;90,G78,(G78+IF($B$1+5&lt;=$B78,12*$B$7,-12*$B$6*(1+$B$4)^5))*IF(G78+IF($B$1+5&lt;=$B78,12*$B$7,-12*$B$6*(1+$B$4)^5)&gt;0,1+$B$3,1))</f>
        <v/>
      </c>
      <c r="I78">
        <f>IF($B$1+6&gt;90,H78,(H78+IF($B$1+6&lt;=$B78,12*$B$7,-12*$B$6*(1+$B$4)^6))*IF(H78+IF($B$1+6&lt;=$B78,12*$B$7,-12*$B$6*(1+$B$4)^6)&gt;0,1+$B$3,1))</f>
        <v/>
      </c>
      <c r="J78">
        <f>IF($B$1+7&gt;90,I78,(I78+IF($B$1+7&lt;=$B78,12*$B$7,-12*$B$6*(1+$B$4)^7))*IF(I78+IF($B$1+7&lt;=$B78,12*$B$7,-12*$B$6*(1+$B$4)^7)&gt;0,1+$B$3,1))</f>
        <v/>
      </c>
      <c r="K78">
        <f>IF($B$1+8&gt;90,J78,(J78+IF($B$1+8&lt;=$B78,12*$B$7,-12*$B$6*(1+$B$4)^8))*IF(J78+IF($B$1+8&lt;=$B78,12*$B$7,-12*$B$6*(1+$B$4)^8)&gt;0,1+$B$3,1))</f>
        <v/>
      </c>
      <c r="L78">
        <f>IF($B$1+9&gt;90,K78,(K78+IF($B$1+9&lt;=$B78,12*$B$7,-12*$B$6*(1+$B$4)^9))*IF(K78+IF($B$1+9&lt;=$B78,12*$B$7,-12*$B$6*(1+$B$4)^9)&gt;0,1+$B$3,1))</f>
        <v/>
      </c>
      <c r="M78">
        <f>IF($B$1+10&gt;90,L78,(L78+IF($B$1+10&lt;=$B78,12*$B$7,-12*$B$6*(1+$B$4)^10))*IF(L78+IF($B$1+10&lt;=$B78,12*$B$7,-12*$B$6*(1+$B$4)^10)&gt;0,1+$B$3,1))</f>
        <v/>
      </c>
      <c r="N78">
        <f>IF($B$1+11&gt;90,M78,(M78+IF($B$1+11&lt;=$B78,12*$B$7,-12*$B$6*(1+$B$4)^11))*IF(M78+IF($B$1+11&lt;=$B78,12*$B$7,-12*$B$6*(1+$B$4)^11)&gt;0,1+$B$3,1))</f>
        <v/>
      </c>
      <c r="O78">
        <f>IF($B$1+12&gt;90,N78,(N78+IF($B$1+12&lt;=$B78,12*$B$7,-12*$B$6*(1+$B$4)^12))*IF(N78+IF($B$1+12&lt;=$B78,12*$B$7,-12*$B$6*(1+$B$4)^12)&gt;0,1+$B$3,1))</f>
        <v/>
      </c>
      <c r="P78">
        <f>IF($B$1+13&gt;90,O78,(O78+IF($B$1+13&lt;=$B78,12*$B$7,-12*$B$6*(1+$B$4)^13))*IF(O78+IF($B$1+13&lt;=$B78,12*$B$7,-12*$B$6*(1+$B$4)^13)&gt;0,1+$B$3,1))</f>
        <v/>
      </c>
      <c r="Q78">
        <f>IF($B$1+14&gt;90,P78,(P78+IF($B$1+14&lt;=$B78,12*$B$7,-12*$B$6*(1+$B$4)^14))*IF(P78+IF($B$1+14&lt;=$B78,12*$B$7,-12*$B$6*(1+$B$4)^14)&gt;0,1+$B$3,1))</f>
        <v/>
      </c>
      <c r="R78">
        <f>IF($B$1+15&gt;90,Q78,(Q78+IF($B$1+15&lt;=$B78,12*$B$7,-12*$B$6*(1+$B$4)^15))*IF(Q78+IF($B$1+15&lt;=$B78,12*$B$7,-12*$B$6*(1+$B$4)^15)&gt;0,1+$B$3,1))</f>
        <v/>
      </c>
      <c r="S78">
        <f>IF($B$1+16&gt;90,R78,(R78+IF($B$1+16&lt;=$B78,12*$B$7,-12*$B$6*(1+$B$4)^16))*IF(R78+IF($B$1+16&lt;=$B78,12*$B$7,-12*$B$6*(1+$B$4)^16)&gt;0,1+$B$3,1))</f>
        <v/>
      </c>
      <c r="T78">
        <f>IF($B$1+17&gt;90,S78,(S78+IF($B$1+17&lt;=$B78,12*$B$7,-12*$B$6*(1+$B$4)^17))*IF(S78+IF($B$1+17&lt;=$B78,12*$B$7,-12*$B$6*(1+$B$4)^17)&gt;0,1+$B$3,1))</f>
        <v/>
      </c>
      <c r="U78">
        <f>IF($B$1+18&gt;90,T78,(T78+IF($B$1+18&lt;=$B78,12*$B$7,-12*$B$6*(1+$B$4)^18))*IF(T78+IF($B$1+18&lt;=$B78,12*$B$7,-12*$B$6*(1+$B$4)^18)&gt;0,1+$B$3,1))</f>
        <v/>
      </c>
      <c r="V78">
        <f>IF($B$1+19&gt;90,U78,(U78+IF($B$1+19&lt;=$B78,12*$B$7,-12*$B$6*(1+$B$4)^19))*IF(U78+IF($B$1+19&lt;=$B78,12*$B$7,-12*$B$6*(1+$B$4)^19)&gt;0,1+$B$3,1))</f>
        <v/>
      </c>
      <c r="W78">
        <f>IF($B$1+20&gt;90,V78,(V78+IF($B$1+20&lt;=$B78,12*$B$7,-12*$B$6*(1+$B$4)^20))*IF(V78+IF($B$1+20&lt;=$B78,12*$B$7,-12*$B$6*(1+$B$4)^20)&gt;0,1+$B$3,1))</f>
        <v/>
      </c>
      <c r="X78">
        <f>IF($B$1+21&gt;90,W78,(W78+IF($B$1+21&lt;=$B78,12*$B$7,-12*$B$6*(1+$B$4)^21))*IF(W78+IF($B$1+21&lt;=$B78,12*$B$7,-12*$B$6*(1+$B$4)^21)&gt;0,1+$B$3,1))</f>
        <v/>
      </c>
      <c r="Y78">
        <f>IF($B$1+22&gt;90,X78,(X78+IF($B$1+22&lt;=$B78,12*$B$7,-12*$B$6*(1+$B$4)^22))*IF(X78+IF($B$1+22&lt;=$B78,12*$B$7,-12*$B$6*(1+$B$4)^22)&gt;0,1+$B$3,1))</f>
        <v/>
      </c>
      <c r="Z78">
        <f>IF($B$1+23&gt;90,Y78,(Y78+IF($B$1+23&lt;=$B78,12*$B$7,-12*$B$6*(1+$B$4)^23))*IF(Y78+IF($B$1+23&lt;=$B78,12*$B$7,-12*$B$6*(1+$B$4)^23)&gt;0,1+$B$3,1))</f>
        <v/>
      </c>
      <c r="AA78">
        <f>IF($B$1+24&gt;90,Z78,(Z78+IF($B$1+24&lt;=$B78,12*$B$7,-12*$B$6*(1+$B$4)^24))*IF(Z78+IF($B$1+24&lt;=$B78,12*$B$7,-12*$B$6*(1+$B$4)^24)&gt;0,1+$B$3,1))</f>
        <v/>
      </c>
      <c r="AB78">
        <f>IF($B$1+25&gt;90,AA78,(AA78+IF($B$1+25&lt;=$B78,12*$B$7,-12*$B$6*(1+$B$4)^25))*IF(AA78+IF($B$1+25&lt;=$B78,12*$B$7,-12*$B$6*(1+$B$4)^25)&gt;0,1+$B$3,1))</f>
        <v/>
      </c>
      <c r="AC78">
        <f>IF($B$1+26&gt;90,AB78,(AB78+IF($B$1+26&lt;=$B78,12*$B$7,-12*$B$6*(1+$B$4)^26))*IF(AB78+IF($B$1+26&lt;=$B78,12*$B$7,-12*$B$6*(1+$B$4)^26)&gt;0,1+$B$3,1))</f>
        <v/>
      </c>
      <c r="AD78">
        <f>IF($B$1+27&gt;90,AC78,(AC78+IF($B$1+27&lt;=$B78,12*$B$7,-12*$B$6*(1+$B$4)^27))*IF(AC78+IF($B$1+27&lt;=$B78,12*$B$7,-12*$B$6*(1+$B$4)^27)&gt;0,1+$B$3,1))</f>
        <v/>
      </c>
      <c r="AE78">
        <f>IF($B$1+28&gt;90,AD78,(AD78+IF($B$1+28&lt;=$B78,12*$B$7,-12*$B$6*(1+$B$4)^28))*IF(AD78+IF($B$1+28&lt;=$B78,12*$B$7,-12*$B$6*(1+$B$4)^28)&gt;0,1+$B$3,1))</f>
        <v/>
      </c>
      <c r="AF78">
        <f>IF($B$1+29&gt;90,AE78,(AE78+IF($B$1+29&lt;=$B78,12*$B$7,-12*$B$6*(1+$B$4)^29))*IF(AE78+IF($B$1+29&lt;=$B78,12*$B$7,-12*$B$6*(1+$B$4)^29)&gt;0,1+$B$3,1))</f>
        <v/>
      </c>
      <c r="AG78">
        <f>IF($B$1+30&gt;90,AF78,(AF78+IF($B$1+30&lt;=$B78,12*$B$7,-12*$B$6*(1+$B$4)^30))*IF(AF78+IF($B$1+30&lt;=$B78,12*$B$7,-12*$B$6*(1+$B$4)^30)&gt;0,1+$B$3,1))</f>
        <v/>
      </c>
      <c r="AH78">
        <f>IF($B$1+31&gt;90,AG78,(AG78+IF($B$1+31&lt;=$B78,12*$B$7,-12*$B$6*(1+$B$4)^31))*IF(AG78+IF($B$1+31&lt;=$B78,12*$B$7,-12*$B$6*(1+$B$4)^31)&gt;0,1+$B$3,1))</f>
        <v/>
      </c>
      <c r="AI78">
        <f>IF($B$1+32&gt;90,AH78,(AH78+IF($B$1+32&lt;=$B78,12*$B$7,-12*$B$6*(1+$B$4)^32))*IF(AH78+IF($B$1+32&lt;=$B78,12*$B$7,-12*$B$6*(1+$B$4)^32)&gt;0,1+$B$3,1))</f>
        <v/>
      </c>
      <c r="AJ78">
        <f>IF($B$1+33&gt;90,AI78,(AI78+IF($B$1+33&lt;=$B78,12*$B$7,-12*$B$6*(1+$B$4)^33))*IF(AI78+IF($B$1+33&lt;=$B78,12*$B$7,-12*$B$6*(1+$B$4)^33)&gt;0,1+$B$3,1))</f>
        <v/>
      </c>
      <c r="AK78">
        <f>IF($B$1+34&gt;90,AJ78,(AJ78+IF($B$1+34&lt;=$B78,12*$B$7,-12*$B$6*(1+$B$4)^34))*IF(AJ78+IF($B$1+34&lt;=$B78,12*$B$7,-12*$B$6*(1+$B$4)^34)&gt;0,1+$B$3,1))</f>
        <v/>
      </c>
      <c r="AL78">
        <f>IF($B$1+35&gt;90,AK78,(AK78+IF($B$1+35&lt;=$B78,12*$B$7,-12*$B$6*(1+$B$4)^35))*IF(AK78+IF($B$1+35&lt;=$B78,12*$B$7,-12*$B$6*(1+$B$4)^35)&gt;0,1+$B$3,1))</f>
        <v/>
      </c>
      <c r="AM78">
        <f>IF($B$1+36&gt;90,AL78,(AL78+IF($B$1+36&lt;=$B78,12*$B$7,-12*$B$6*(1+$B$4)^36))*IF(AL78+IF($B$1+36&lt;=$B78,12*$B$7,-12*$B$6*(1+$B$4)^36)&gt;0,1+$B$3,1))</f>
        <v/>
      </c>
      <c r="AN78">
        <f>IF($B$1+37&gt;90,AM78,(AM78+IF($B$1+37&lt;=$B78,12*$B$7,-12*$B$6*(1+$B$4)^37))*IF(AM78+IF($B$1+37&lt;=$B78,12*$B$7,-12*$B$6*(1+$B$4)^37)&gt;0,1+$B$3,1))</f>
        <v/>
      </c>
      <c r="AO78">
        <f>IF($B$1+38&gt;90,AN78,(AN78+IF($B$1+38&lt;=$B78,12*$B$7,-12*$B$6*(1+$B$4)^38))*IF(AN78+IF($B$1+38&lt;=$B78,12*$B$7,-12*$B$6*(1+$B$4)^38)&gt;0,1+$B$3,1))</f>
        <v/>
      </c>
      <c r="AP78">
        <f>IF($B$1+39&gt;90,AO78,(AO78+IF($B$1+39&lt;=$B78,12*$B$7,-12*$B$6*(1+$B$4)^39))*IF(AO78+IF($B$1+39&lt;=$B78,12*$B$7,-12*$B$6*(1+$B$4)^39)&gt;0,1+$B$3,1))</f>
        <v/>
      </c>
      <c r="AQ78">
        <f>IF($B$1+40&gt;90,AP78,(AP78+IF($B$1+40&lt;=$B78,12*$B$7,-12*$B$6*(1+$B$4)^40))*IF(AP78+IF($B$1+40&lt;=$B78,12*$B$7,-12*$B$6*(1+$B$4)^40)&gt;0,1+$B$3,1))</f>
        <v/>
      </c>
      <c r="AR78">
        <f>IF($B$1+41&gt;90,AQ78,(AQ78+IF($B$1+41&lt;=$B78,12*$B$7,-12*$B$6*(1+$B$4)^41))*IF(AQ78+IF($B$1+41&lt;=$B78,12*$B$7,-12*$B$6*(1+$B$4)^41)&gt;0,1+$B$3,1))</f>
        <v/>
      </c>
      <c r="AS78">
        <f>IF($B$1+42&gt;90,AR78,(AR78+IF($B$1+42&lt;=$B78,12*$B$7,-12*$B$6*(1+$B$4)^42))*IF(AR78+IF($B$1+42&lt;=$B78,12*$B$7,-12*$B$6*(1+$B$4)^42)&gt;0,1+$B$3,1))</f>
        <v/>
      </c>
      <c r="AT78">
        <f>IF($B$1+43&gt;90,AS78,(AS78+IF($B$1+43&lt;=$B78,12*$B$7,-12*$B$6*(1+$B$4)^43))*IF(AS78+IF($B$1+43&lt;=$B78,12*$B$7,-12*$B$6*(1+$B$4)^43)&gt;0,1+$B$3,1))</f>
        <v/>
      </c>
      <c r="AU78">
        <f>IF($B$1+44&gt;90,AT78,(AT78+IF($B$1+44&lt;=$B78,12*$B$7,-12*$B$6*(1+$B$4)^44))*IF(AT78+IF($B$1+44&lt;=$B78,12*$B$7,-12*$B$6*(1+$B$4)^44)&gt;0,1+$B$3,1))</f>
        <v/>
      </c>
      <c r="AV78">
        <f>IF($B$1+45&gt;90,AU78,(AU78+IF($B$1+45&lt;=$B78,12*$B$7,-12*$B$6*(1+$B$4)^45))*IF(AU78+IF($B$1+45&lt;=$B78,12*$B$7,-12*$B$6*(1+$B$4)^45)&gt;0,1+$B$3,1))</f>
        <v/>
      </c>
      <c r="AW78">
        <f>IF($B$1+46&gt;90,AV78,(AV78+IF($B$1+46&lt;=$B78,12*$B$7,-12*$B$6*(1+$B$4)^46))*IF(AV78+IF($B$1+46&lt;=$B78,12*$B$7,-12*$B$6*(1+$B$4)^46)&gt;0,1+$B$3,1))</f>
        <v/>
      </c>
      <c r="AX78">
        <f>IF($B$1+47&gt;90,AW78,(AW78+IF($B$1+47&lt;=$B78,12*$B$7,-12*$B$6*(1+$B$4)^47))*IF(AW78+IF($B$1+47&lt;=$B78,12*$B$7,-12*$B$6*(1+$B$4)^47)&gt;0,1+$B$3,1))</f>
        <v/>
      </c>
      <c r="AY78">
        <f>IF($B$1+48&gt;90,AX78,(AX78+IF($B$1+48&lt;=$B78,12*$B$7,-12*$B$6*(1+$B$4)^48))*IF(AX78+IF($B$1+48&lt;=$B78,12*$B$7,-12*$B$6*(1+$B$4)^48)&gt;0,1+$B$3,1))</f>
        <v/>
      </c>
      <c r="AZ78">
        <f>IF($B$1+49&gt;90,AY78,(AY78+IF($B$1+49&lt;=$B78,12*$B$7,-12*$B$6*(1+$B$4)^49))*IF(AY78+IF($B$1+49&lt;=$B78,12*$B$7,-12*$B$6*(1+$B$4)^49)&gt;0,1+$B$3,1))</f>
        <v/>
      </c>
      <c r="BA78">
        <f>IF($B$1+50&gt;90,AZ78,(AZ78+IF($B$1+50&lt;=$B78,12*$B$7,-12*$B$6*(1+$B$4)^50))*IF(AZ78+IF($B$1+50&lt;=$B78,12*$B$7,-12*$B$6*(1+$B$4)^50)&gt;0,1+$B$3,1))</f>
        <v/>
      </c>
      <c r="BB78">
        <f>IF($B$1+51&gt;90,BA78,(BA78+IF($B$1+51&lt;=$B78,12*$B$7,-12*$B$6*(1+$B$4)^51))*IF(BA78+IF($B$1+51&lt;=$B78,12*$B$7,-12*$B$6*(1+$B$4)^51)&gt;0,1+$B$3,1))</f>
        <v/>
      </c>
      <c r="BC78">
        <f>IF($B$1+52&gt;90,BB78,(BB78+IF($B$1+52&lt;=$B78,12*$B$7,-12*$B$6*(1+$B$4)^52))*IF(BB78+IF($B$1+52&lt;=$B78,12*$B$7,-12*$B$6*(1+$B$4)^52)&gt;0,1+$B$3,1))</f>
        <v/>
      </c>
      <c r="BD78">
        <f>IF($B$1+53&gt;90,BC78,(BC78+IF($B$1+53&lt;=$B78,12*$B$7,-12*$B$6*(1+$B$4)^53))*IF(BC78+IF($B$1+53&lt;=$B78,12*$B$7,-12*$B$6*(1+$B$4)^53)&gt;0,1+$B$3,1))</f>
        <v/>
      </c>
      <c r="BE78">
        <f>IF($B$1+54&gt;90,BD78,(BD78+IF($B$1+54&lt;=$B78,12*$B$7,-12*$B$6*(1+$B$4)^54))*IF(BD78+IF($B$1+54&lt;=$B78,12*$B$7,-12*$B$6*(1+$B$4)^54)&gt;0,1+$B$3,1))</f>
        <v/>
      </c>
      <c r="BF78">
        <f>IF($B$1+55&gt;90,BE78,(BE78+IF($B$1+55&lt;=$B78,12*$B$7,-12*$B$6*(1+$B$4)^55))*IF(BE78+IF($B$1+55&lt;=$B78,12*$B$7,-12*$B$6*(1+$B$4)^55)&gt;0,1+$B$3,1))</f>
        <v/>
      </c>
      <c r="BG78">
        <f>IF($B$1+56&gt;90,BF78,(BF78+IF($B$1+56&lt;=$B78,12*$B$7,-12*$B$6*(1+$B$4)^56))*IF(BF78+IF($B$1+56&lt;=$B78,12*$B$7,-12*$B$6*(1+$B$4)^56)&gt;0,1+$B$3,1))</f>
        <v/>
      </c>
      <c r="BH78">
        <f>IF($B$1+57&gt;90,BG78,(BG78+IF($B$1+57&lt;=$B78,12*$B$7,-12*$B$6*(1+$B$4)^57))*IF(BG78+IF($B$1+57&lt;=$B78,12*$B$7,-12*$B$6*(1+$B$4)^57)&gt;0,1+$B$3,1))</f>
        <v/>
      </c>
      <c r="BI78">
        <f>IF($B$1+58&gt;90,BH78,(BH78+IF($B$1+58&lt;=$B78,12*$B$7,-12*$B$6*(1+$B$4)^58))*IF(BH78+IF($B$1+58&lt;=$B78,12*$B$7,-12*$B$6*(1+$B$4)^58)&gt;0,1+$B$3,1))</f>
        <v/>
      </c>
      <c r="BJ78">
        <f>IF($B$1+59&gt;90,BI78,(BI78+IF($B$1+59&lt;=$B78,12*$B$7,-12*$B$6*(1+$B$4)^59))*IF(BI78+IF($B$1+59&lt;=$B78,12*$B$7,-12*$B$6*(1+$B$4)^59)&gt;0,1+$B$3,1))</f>
        <v/>
      </c>
      <c r="BK78">
        <f>IF($B$1+60&gt;90,BJ78,(BJ78+IF($B$1+60&lt;=$B78,12*$B$7,-12*$B$6*(1+$B$4)^60))*IF(BJ78+IF($B$1+60&lt;=$B78,12*$B$7,-12*$B$6*(1+$B$4)^60)&gt;0,1+$B$3,1))</f>
        <v/>
      </c>
      <c r="BL78">
        <f>IF($B$1+61&gt;90,BK78,(BK78+IF($B$1+61&lt;=$B78,12*$B$7,-12*$B$6*(1+$B$4)^61))*IF(BK78+IF($B$1+61&lt;=$B78,12*$B$7,-12*$B$6*(1+$B$4)^61)&gt;0,1+$B$3,1))</f>
        <v/>
      </c>
      <c r="BM78">
        <f>IF($B$1+62&gt;90,BL78,(BL78+IF($B$1+62&lt;=$B78,12*$B$7,-12*$B$6*(1+$B$4)^62))*IF(BL78+IF($B$1+62&lt;=$B78,12*$B$7,-12*$B$6*(1+$B$4)^62)&gt;0,1+$B$3,1))</f>
        <v/>
      </c>
      <c r="BN78">
        <f>IF($B$1+63&gt;90,BM78,(BM78+IF($B$1+63&lt;=$B78,12*$B$7,-12*$B$6*(1+$B$4)^63))*IF(BM78+IF($B$1+63&lt;=$B78,12*$B$7,-12*$B$6*(1+$B$4)^63)&gt;0,1+$B$3,1))</f>
        <v/>
      </c>
      <c r="BO78">
        <f>IF($B$1+64&gt;90,BN78,(BN78+IF($B$1+64&lt;=$B78,12*$B$7,-12*$B$6*(1+$B$4)^64))*IF(BN78+IF($B$1+64&lt;=$B78,12*$B$7,-12*$B$6*(1+$B$4)^64)&gt;0,1+$B$3,1))</f>
        <v/>
      </c>
      <c r="BP78">
        <f>IF($B$1+65&gt;90,BO78,(BO78+IF($B$1+65&lt;=$B78,12*$B$7,-12*$B$6*(1+$B$4)^65))*IF(BO78+IF($B$1+65&lt;=$B78,12*$B$7,-12*$B$6*(1+$B$4)^65)&gt;0,1+$B$3,1))</f>
        <v/>
      </c>
      <c r="BQ78">
        <f>IF($B$1+66&gt;90,BP78,(BP78+IF($B$1+66&lt;=$B78,12*$B$7,-12*$B$6*(1+$B$4)^66))*IF(BP78+IF($B$1+66&lt;=$B78,12*$B$7,-12*$B$6*(1+$B$4)^66)&gt;0,1+$B$3,1))</f>
        <v/>
      </c>
      <c r="BR78">
        <f>IF($B$1+67&gt;90,BQ78,(BQ78+IF($B$1+67&lt;=$B78,12*$B$7,-12*$B$6*(1+$B$4)^67))*IF(BQ78+IF($B$1+67&lt;=$B78,12*$B$7,-12*$B$6*(1+$B$4)^67)&gt;0,1+$B$3,1))</f>
        <v/>
      </c>
      <c r="BS78">
        <f>IF($B$1+68&gt;90,BR78,(BR78+IF($B$1+68&lt;=$B78,12*$B$7,-12*$B$6*(1+$B$4)^68))*IF(BR78+IF($B$1+68&lt;=$B78,12*$B$7,-12*$B$6*(1+$B$4)^68)&gt;0,1+$B$3,1))</f>
        <v/>
      </c>
      <c r="BT78">
        <f>IF($B$1+69&gt;90,BS78,(BS78+IF($B$1+69&lt;=$B78,12*$B$7,-12*$B$6*(1+$B$4)^69))*IF(BS78+IF($B$1+69&lt;=$B78,12*$B$7,-12*$B$6*(1+$B$4)^69)&gt;0,1+$B$3,1))</f>
        <v/>
      </c>
      <c r="BU78">
        <f>IF($B$1+70&gt;90,BT78,(BT78+IF($B$1+70&lt;=$B78,12*$B$7,-12*$B$6*(1+$B$4)^70))*IF(BT78+IF($B$1+70&lt;=$B78,12*$B$7,-12*$B$6*(1+$B$4)^70)&gt;0,1+$B$3,1))</f>
        <v/>
      </c>
      <c r="BV78">
        <f>BU78</f>
        <v/>
      </c>
      <c r="BW78">
        <f>IF(AND($B78&lt;=70,BV78&gt;0),$B78,999)</f>
        <v/>
      </c>
    </row>
    <row r="79">
      <c r="A79" t="n">
        <v>39</v>
      </c>
      <c r="B79">
        <f>$B$1+39</f>
        <v/>
      </c>
      <c r="C79">
        <f>$B$2</f>
        <v/>
      </c>
      <c r="D79">
        <f>IF($B$1+1&gt;90,C79,(C79+IF($B$1+1&lt;=$B79,12*$B$7,-12*$B$6*(1+$B$4)^1))*IF(C79+IF($B$1+1&lt;=$B79,12*$B$7,-12*$B$6*(1+$B$4)^1)&gt;0,1+$B$3,1))</f>
        <v/>
      </c>
      <c r="E79">
        <f>IF($B$1+2&gt;90,D79,(D79+IF($B$1+2&lt;=$B79,12*$B$7,-12*$B$6*(1+$B$4)^2))*IF(D79+IF($B$1+2&lt;=$B79,12*$B$7,-12*$B$6*(1+$B$4)^2)&gt;0,1+$B$3,1))</f>
        <v/>
      </c>
      <c r="F79">
        <f>IF($B$1+3&gt;90,E79,(E79+IF($B$1+3&lt;=$B79,12*$B$7,-12*$B$6*(1+$B$4)^3))*IF(E79+IF($B$1+3&lt;=$B79,12*$B$7,-12*$B$6*(1+$B$4)^3)&gt;0,1+$B$3,1))</f>
        <v/>
      </c>
      <c r="G79">
        <f>IF($B$1+4&gt;90,F79,(F79+IF($B$1+4&lt;=$B79,12*$B$7,-12*$B$6*(1+$B$4)^4))*IF(F79+IF($B$1+4&lt;=$B79,12*$B$7,-12*$B$6*(1+$B$4)^4)&gt;0,1+$B$3,1))</f>
        <v/>
      </c>
      <c r="H79">
        <f>IF($B$1+5&gt;90,G79,(G79+IF($B$1+5&lt;=$B79,12*$B$7,-12*$B$6*(1+$B$4)^5))*IF(G79+IF($B$1+5&lt;=$B79,12*$B$7,-12*$B$6*(1+$B$4)^5)&gt;0,1+$B$3,1))</f>
        <v/>
      </c>
      <c r="I79">
        <f>IF($B$1+6&gt;90,H79,(H79+IF($B$1+6&lt;=$B79,12*$B$7,-12*$B$6*(1+$B$4)^6))*IF(H79+IF($B$1+6&lt;=$B79,12*$B$7,-12*$B$6*(1+$B$4)^6)&gt;0,1+$B$3,1))</f>
        <v/>
      </c>
      <c r="J79">
        <f>IF($B$1+7&gt;90,I79,(I79+IF($B$1+7&lt;=$B79,12*$B$7,-12*$B$6*(1+$B$4)^7))*IF(I79+IF($B$1+7&lt;=$B79,12*$B$7,-12*$B$6*(1+$B$4)^7)&gt;0,1+$B$3,1))</f>
        <v/>
      </c>
      <c r="K79">
        <f>IF($B$1+8&gt;90,J79,(J79+IF($B$1+8&lt;=$B79,12*$B$7,-12*$B$6*(1+$B$4)^8))*IF(J79+IF($B$1+8&lt;=$B79,12*$B$7,-12*$B$6*(1+$B$4)^8)&gt;0,1+$B$3,1))</f>
        <v/>
      </c>
      <c r="L79">
        <f>IF($B$1+9&gt;90,K79,(K79+IF($B$1+9&lt;=$B79,12*$B$7,-12*$B$6*(1+$B$4)^9))*IF(K79+IF($B$1+9&lt;=$B79,12*$B$7,-12*$B$6*(1+$B$4)^9)&gt;0,1+$B$3,1))</f>
        <v/>
      </c>
      <c r="M79">
        <f>IF($B$1+10&gt;90,L79,(L79+IF($B$1+10&lt;=$B79,12*$B$7,-12*$B$6*(1+$B$4)^10))*IF(L79+IF($B$1+10&lt;=$B79,12*$B$7,-12*$B$6*(1+$B$4)^10)&gt;0,1+$B$3,1))</f>
        <v/>
      </c>
      <c r="N79">
        <f>IF($B$1+11&gt;90,M79,(M79+IF($B$1+11&lt;=$B79,12*$B$7,-12*$B$6*(1+$B$4)^11))*IF(M79+IF($B$1+11&lt;=$B79,12*$B$7,-12*$B$6*(1+$B$4)^11)&gt;0,1+$B$3,1))</f>
        <v/>
      </c>
      <c r="O79">
        <f>IF($B$1+12&gt;90,N79,(N79+IF($B$1+12&lt;=$B79,12*$B$7,-12*$B$6*(1+$B$4)^12))*IF(N79+IF($B$1+12&lt;=$B79,12*$B$7,-12*$B$6*(1+$B$4)^12)&gt;0,1+$B$3,1))</f>
        <v/>
      </c>
      <c r="P79">
        <f>IF($B$1+13&gt;90,O79,(O79+IF($B$1+13&lt;=$B79,12*$B$7,-12*$B$6*(1+$B$4)^13))*IF(O79+IF($B$1+13&lt;=$B79,12*$B$7,-12*$B$6*(1+$B$4)^13)&gt;0,1+$B$3,1))</f>
        <v/>
      </c>
      <c r="Q79">
        <f>IF($B$1+14&gt;90,P79,(P79+IF($B$1+14&lt;=$B79,12*$B$7,-12*$B$6*(1+$B$4)^14))*IF(P79+IF($B$1+14&lt;=$B79,12*$B$7,-12*$B$6*(1+$B$4)^14)&gt;0,1+$B$3,1))</f>
        <v/>
      </c>
      <c r="R79">
        <f>IF($B$1+15&gt;90,Q79,(Q79+IF($B$1+15&lt;=$B79,12*$B$7,-12*$B$6*(1+$B$4)^15))*IF(Q79+IF($B$1+15&lt;=$B79,12*$B$7,-12*$B$6*(1+$B$4)^15)&gt;0,1+$B$3,1))</f>
        <v/>
      </c>
      <c r="S79">
        <f>IF($B$1+16&gt;90,R79,(R79+IF($B$1+16&lt;=$B79,12*$B$7,-12*$B$6*(1+$B$4)^16))*IF(R79+IF($B$1+16&lt;=$B79,12*$B$7,-12*$B$6*(1+$B$4)^16)&gt;0,1+$B$3,1))</f>
        <v/>
      </c>
      <c r="T79">
        <f>IF($B$1+17&gt;90,S79,(S79+IF($B$1+17&lt;=$B79,12*$B$7,-12*$B$6*(1+$B$4)^17))*IF(S79+IF($B$1+17&lt;=$B79,12*$B$7,-12*$B$6*(1+$B$4)^17)&gt;0,1+$B$3,1))</f>
        <v/>
      </c>
      <c r="U79">
        <f>IF($B$1+18&gt;90,T79,(T79+IF($B$1+18&lt;=$B79,12*$B$7,-12*$B$6*(1+$B$4)^18))*IF(T79+IF($B$1+18&lt;=$B79,12*$B$7,-12*$B$6*(1+$B$4)^18)&gt;0,1+$B$3,1))</f>
        <v/>
      </c>
      <c r="V79">
        <f>IF($B$1+19&gt;90,U79,(U79+IF($B$1+19&lt;=$B79,12*$B$7,-12*$B$6*(1+$B$4)^19))*IF(U79+IF($B$1+19&lt;=$B79,12*$B$7,-12*$B$6*(1+$B$4)^19)&gt;0,1+$B$3,1))</f>
        <v/>
      </c>
      <c r="W79">
        <f>IF($B$1+20&gt;90,V79,(V79+IF($B$1+20&lt;=$B79,12*$B$7,-12*$B$6*(1+$B$4)^20))*IF(V79+IF($B$1+20&lt;=$B79,12*$B$7,-12*$B$6*(1+$B$4)^20)&gt;0,1+$B$3,1))</f>
        <v/>
      </c>
      <c r="X79">
        <f>IF($B$1+21&gt;90,W79,(W79+IF($B$1+21&lt;=$B79,12*$B$7,-12*$B$6*(1+$B$4)^21))*IF(W79+IF($B$1+21&lt;=$B79,12*$B$7,-12*$B$6*(1+$B$4)^21)&gt;0,1+$B$3,1))</f>
        <v/>
      </c>
      <c r="Y79">
        <f>IF($B$1+22&gt;90,X79,(X79+IF($B$1+22&lt;=$B79,12*$B$7,-12*$B$6*(1+$B$4)^22))*IF(X79+IF($B$1+22&lt;=$B79,12*$B$7,-12*$B$6*(1+$B$4)^22)&gt;0,1+$B$3,1))</f>
        <v/>
      </c>
      <c r="Z79">
        <f>IF($B$1+23&gt;90,Y79,(Y79+IF($B$1+23&lt;=$B79,12*$B$7,-12*$B$6*(1+$B$4)^23))*IF(Y79+IF($B$1+23&lt;=$B79,12*$B$7,-12*$B$6*(1+$B$4)^23)&gt;0,1+$B$3,1))</f>
        <v/>
      </c>
      <c r="AA79">
        <f>IF($B$1+24&gt;90,Z79,(Z79+IF($B$1+24&lt;=$B79,12*$B$7,-12*$B$6*(1+$B$4)^24))*IF(Z79+IF($B$1+24&lt;=$B79,12*$B$7,-12*$B$6*(1+$B$4)^24)&gt;0,1+$B$3,1))</f>
        <v/>
      </c>
      <c r="AB79">
        <f>IF($B$1+25&gt;90,AA79,(AA79+IF($B$1+25&lt;=$B79,12*$B$7,-12*$B$6*(1+$B$4)^25))*IF(AA79+IF($B$1+25&lt;=$B79,12*$B$7,-12*$B$6*(1+$B$4)^25)&gt;0,1+$B$3,1))</f>
        <v/>
      </c>
      <c r="AC79">
        <f>IF($B$1+26&gt;90,AB79,(AB79+IF($B$1+26&lt;=$B79,12*$B$7,-12*$B$6*(1+$B$4)^26))*IF(AB79+IF($B$1+26&lt;=$B79,12*$B$7,-12*$B$6*(1+$B$4)^26)&gt;0,1+$B$3,1))</f>
        <v/>
      </c>
      <c r="AD79">
        <f>IF($B$1+27&gt;90,AC79,(AC79+IF($B$1+27&lt;=$B79,12*$B$7,-12*$B$6*(1+$B$4)^27))*IF(AC79+IF($B$1+27&lt;=$B79,12*$B$7,-12*$B$6*(1+$B$4)^27)&gt;0,1+$B$3,1))</f>
        <v/>
      </c>
      <c r="AE79">
        <f>IF($B$1+28&gt;90,AD79,(AD79+IF($B$1+28&lt;=$B79,12*$B$7,-12*$B$6*(1+$B$4)^28))*IF(AD79+IF($B$1+28&lt;=$B79,12*$B$7,-12*$B$6*(1+$B$4)^28)&gt;0,1+$B$3,1))</f>
        <v/>
      </c>
      <c r="AF79">
        <f>IF($B$1+29&gt;90,AE79,(AE79+IF($B$1+29&lt;=$B79,12*$B$7,-12*$B$6*(1+$B$4)^29))*IF(AE79+IF($B$1+29&lt;=$B79,12*$B$7,-12*$B$6*(1+$B$4)^29)&gt;0,1+$B$3,1))</f>
        <v/>
      </c>
      <c r="AG79">
        <f>IF($B$1+30&gt;90,AF79,(AF79+IF($B$1+30&lt;=$B79,12*$B$7,-12*$B$6*(1+$B$4)^30))*IF(AF79+IF($B$1+30&lt;=$B79,12*$B$7,-12*$B$6*(1+$B$4)^30)&gt;0,1+$B$3,1))</f>
        <v/>
      </c>
      <c r="AH79">
        <f>IF($B$1+31&gt;90,AG79,(AG79+IF($B$1+31&lt;=$B79,12*$B$7,-12*$B$6*(1+$B$4)^31))*IF(AG79+IF($B$1+31&lt;=$B79,12*$B$7,-12*$B$6*(1+$B$4)^31)&gt;0,1+$B$3,1))</f>
        <v/>
      </c>
      <c r="AI79">
        <f>IF($B$1+32&gt;90,AH79,(AH79+IF($B$1+32&lt;=$B79,12*$B$7,-12*$B$6*(1+$B$4)^32))*IF(AH79+IF($B$1+32&lt;=$B79,12*$B$7,-12*$B$6*(1+$B$4)^32)&gt;0,1+$B$3,1))</f>
        <v/>
      </c>
      <c r="AJ79">
        <f>IF($B$1+33&gt;90,AI79,(AI79+IF($B$1+33&lt;=$B79,12*$B$7,-12*$B$6*(1+$B$4)^33))*IF(AI79+IF($B$1+33&lt;=$B79,12*$B$7,-12*$B$6*(1+$B$4)^33)&gt;0,1+$B$3,1))</f>
        <v/>
      </c>
      <c r="AK79">
        <f>IF($B$1+34&gt;90,AJ79,(AJ79+IF($B$1+34&lt;=$B79,12*$B$7,-12*$B$6*(1+$B$4)^34))*IF(AJ79+IF($B$1+34&lt;=$B79,12*$B$7,-12*$B$6*(1+$B$4)^34)&gt;0,1+$B$3,1))</f>
        <v/>
      </c>
      <c r="AL79">
        <f>IF($B$1+35&gt;90,AK79,(AK79+IF($B$1+35&lt;=$B79,12*$B$7,-12*$B$6*(1+$B$4)^35))*IF(AK79+IF($B$1+35&lt;=$B79,12*$B$7,-12*$B$6*(1+$B$4)^35)&gt;0,1+$B$3,1))</f>
        <v/>
      </c>
      <c r="AM79">
        <f>IF($B$1+36&gt;90,AL79,(AL79+IF($B$1+36&lt;=$B79,12*$B$7,-12*$B$6*(1+$B$4)^36))*IF(AL79+IF($B$1+36&lt;=$B79,12*$B$7,-12*$B$6*(1+$B$4)^36)&gt;0,1+$B$3,1))</f>
        <v/>
      </c>
      <c r="AN79">
        <f>IF($B$1+37&gt;90,AM79,(AM79+IF($B$1+37&lt;=$B79,12*$B$7,-12*$B$6*(1+$B$4)^37))*IF(AM79+IF($B$1+37&lt;=$B79,12*$B$7,-12*$B$6*(1+$B$4)^37)&gt;0,1+$B$3,1))</f>
        <v/>
      </c>
      <c r="AO79">
        <f>IF($B$1+38&gt;90,AN79,(AN79+IF($B$1+38&lt;=$B79,12*$B$7,-12*$B$6*(1+$B$4)^38))*IF(AN79+IF($B$1+38&lt;=$B79,12*$B$7,-12*$B$6*(1+$B$4)^38)&gt;0,1+$B$3,1))</f>
        <v/>
      </c>
      <c r="AP79">
        <f>IF($B$1+39&gt;90,AO79,(AO79+IF($B$1+39&lt;=$B79,12*$B$7,-12*$B$6*(1+$B$4)^39))*IF(AO79+IF($B$1+39&lt;=$B79,12*$B$7,-12*$B$6*(1+$B$4)^39)&gt;0,1+$B$3,1))</f>
        <v/>
      </c>
      <c r="AQ79">
        <f>IF($B$1+40&gt;90,AP79,(AP79+IF($B$1+40&lt;=$B79,12*$B$7,-12*$B$6*(1+$B$4)^40))*IF(AP79+IF($B$1+40&lt;=$B79,12*$B$7,-12*$B$6*(1+$B$4)^40)&gt;0,1+$B$3,1))</f>
        <v/>
      </c>
      <c r="AR79">
        <f>IF($B$1+41&gt;90,AQ79,(AQ79+IF($B$1+41&lt;=$B79,12*$B$7,-12*$B$6*(1+$B$4)^41))*IF(AQ79+IF($B$1+41&lt;=$B79,12*$B$7,-12*$B$6*(1+$B$4)^41)&gt;0,1+$B$3,1))</f>
        <v/>
      </c>
      <c r="AS79">
        <f>IF($B$1+42&gt;90,AR79,(AR79+IF($B$1+42&lt;=$B79,12*$B$7,-12*$B$6*(1+$B$4)^42))*IF(AR79+IF($B$1+42&lt;=$B79,12*$B$7,-12*$B$6*(1+$B$4)^42)&gt;0,1+$B$3,1))</f>
        <v/>
      </c>
      <c r="AT79">
        <f>IF($B$1+43&gt;90,AS79,(AS79+IF($B$1+43&lt;=$B79,12*$B$7,-12*$B$6*(1+$B$4)^43))*IF(AS79+IF($B$1+43&lt;=$B79,12*$B$7,-12*$B$6*(1+$B$4)^43)&gt;0,1+$B$3,1))</f>
        <v/>
      </c>
      <c r="AU79">
        <f>IF($B$1+44&gt;90,AT79,(AT79+IF($B$1+44&lt;=$B79,12*$B$7,-12*$B$6*(1+$B$4)^44))*IF(AT79+IF($B$1+44&lt;=$B79,12*$B$7,-12*$B$6*(1+$B$4)^44)&gt;0,1+$B$3,1))</f>
        <v/>
      </c>
      <c r="AV79">
        <f>IF($B$1+45&gt;90,AU79,(AU79+IF($B$1+45&lt;=$B79,12*$B$7,-12*$B$6*(1+$B$4)^45))*IF(AU79+IF($B$1+45&lt;=$B79,12*$B$7,-12*$B$6*(1+$B$4)^45)&gt;0,1+$B$3,1))</f>
        <v/>
      </c>
      <c r="AW79">
        <f>IF($B$1+46&gt;90,AV79,(AV79+IF($B$1+46&lt;=$B79,12*$B$7,-12*$B$6*(1+$B$4)^46))*IF(AV79+IF($B$1+46&lt;=$B79,12*$B$7,-12*$B$6*(1+$B$4)^46)&gt;0,1+$B$3,1))</f>
        <v/>
      </c>
      <c r="AX79">
        <f>IF($B$1+47&gt;90,AW79,(AW79+IF($B$1+47&lt;=$B79,12*$B$7,-12*$B$6*(1+$B$4)^47))*IF(AW79+IF($B$1+47&lt;=$B79,12*$B$7,-12*$B$6*(1+$B$4)^47)&gt;0,1+$B$3,1))</f>
        <v/>
      </c>
      <c r="AY79">
        <f>IF($B$1+48&gt;90,AX79,(AX79+IF($B$1+48&lt;=$B79,12*$B$7,-12*$B$6*(1+$B$4)^48))*IF(AX79+IF($B$1+48&lt;=$B79,12*$B$7,-12*$B$6*(1+$B$4)^48)&gt;0,1+$B$3,1))</f>
        <v/>
      </c>
      <c r="AZ79">
        <f>IF($B$1+49&gt;90,AY79,(AY79+IF($B$1+49&lt;=$B79,12*$B$7,-12*$B$6*(1+$B$4)^49))*IF(AY79+IF($B$1+49&lt;=$B79,12*$B$7,-12*$B$6*(1+$B$4)^49)&gt;0,1+$B$3,1))</f>
        <v/>
      </c>
      <c r="BA79">
        <f>IF($B$1+50&gt;90,AZ79,(AZ79+IF($B$1+50&lt;=$B79,12*$B$7,-12*$B$6*(1+$B$4)^50))*IF(AZ79+IF($B$1+50&lt;=$B79,12*$B$7,-12*$B$6*(1+$B$4)^50)&gt;0,1+$B$3,1))</f>
        <v/>
      </c>
      <c r="BB79">
        <f>IF($B$1+51&gt;90,BA79,(BA79+IF($B$1+51&lt;=$B79,12*$B$7,-12*$B$6*(1+$B$4)^51))*IF(BA79+IF($B$1+51&lt;=$B79,12*$B$7,-12*$B$6*(1+$B$4)^51)&gt;0,1+$B$3,1))</f>
        <v/>
      </c>
      <c r="BC79">
        <f>IF($B$1+52&gt;90,BB79,(BB79+IF($B$1+52&lt;=$B79,12*$B$7,-12*$B$6*(1+$B$4)^52))*IF(BB79+IF($B$1+52&lt;=$B79,12*$B$7,-12*$B$6*(1+$B$4)^52)&gt;0,1+$B$3,1))</f>
        <v/>
      </c>
      <c r="BD79">
        <f>IF($B$1+53&gt;90,BC79,(BC79+IF($B$1+53&lt;=$B79,12*$B$7,-12*$B$6*(1+$B$4)^53))*IF(BC79+IF($B$1+53&lt;=$B79,12*$B$7,-12*$B$6*(1+$B$4)^53)&gt;0,1+$B$3,1))</f>
        <v/>
      </c>
      <c r="BE79">
        <f>IF($B$1+54&gt;90,BD79,(BD79+IF($B$1+54&lt;=$B79,12*$B$7,-12*$B$6*(1+$B$4)^54))*IF(BD79+IF($B$1+54&lt;=$B79,12*$B$7,-12*$B$6*(1+$B$4)^54)&gt;0,1+$B$3,1))</f>
        <v/>
      </c>
      <c r="BF79">
        <f>IF($B$1+55&gt;90,BE79,(BE79+IF($B$1+55&lt;=$B79,12*$B$7,-12*$B$6*(1+$B$4)^55))*IF(BE79+IF($B$1+55&lt;=$B79,12*$B$7,-12*$B$6*(1+$B$4)^55)&gt;0,1+$B$3,1))</f>
        <v/>
      </c>
      <c r="BG79">
        <f>IF($B$1+56&gt;90,BF79,(BF79+IF($B$1+56&lt;=$B79,12*$B$7,-12*$B$6*(1+$B$4)^56))*IF(BF79+IF($B$1+56&lt;=$B79,12*$B$7,-12*$B$6*(1+$B$4)^56)&gt;0,1+$B$3,1))</f>
        <v/>
      </c>
      <c r="BH79">
        <f>IF($B$1+57&gt;90,BG79,(BG79+IF($B$1+57&lt;=$B79,12*$B$7,-12*$B$6*(1+$B$4)^57))*IF(BG79+IF($B$1+57&lt;=$B79,12*$B$7,-12*$B$6*(1+$B$4)^57)&gt;0,1+$B$3,1))</f>
        <v/>
      </c>
      <c r="BI79">
        <f>IF($B$1+58&gt;90,BH79,(BH79+IF($B$1+58&lt;=$B79,12*$B$7,-12*$B$6*(1+$B$4)^58))*IF(BH79+IF($B$1+58&lt;=$B79,12*$B$7,-12*$B$6*(1+$B$4)^58)&gt;0,1+$B$3,1))</f>
        <v/>
      </c>
      <c r="BJ79">
        <f>IF($B$1+59&gt;90,BI79,(BI79+IF($B$1+59&lt;=$B79,12*$B$7,-12*$B$6*(1+$B$4)^59))*IF(BI79+IF($B$1+59&lt;=$B79,12*$B$7,-12*$B$6*(1+$B$4)^59)&gt;0,1+$B$3,1))</f>
        <v/>
      </c>
      <c r="BK79">
        <f>IF($B$1+60&gt;90,BJ79,(BJ79+IF($B$1+60&lt;=$B79,12*$B$7,-12*$B$6*(1+$B$4)^60))*IF(BJ79+IF($B$1+60&lt;=$B79,12*$B$7,-12*$B$6*(1+$B$4)^60)&gt;0,1+$B$3,1))</f>
        <v/>
      </c>
      <c r="BL79">
        <f>IF($B$1+61&gt;90,BK79,(BK79+IF($B$1+61&lt;=$B79,12*$B$7,-12*$B$6*(1+$B$4)^61))*IF(BK79+IF($B$1+61&lt;=$B79,12*$B$7,-12*$B$6*(1+$B$4)^61)&gt;0,1+$B$3,1))</f>
        <v/>
      </c>
      <c r="BM79">
        <f>IF($B$1+62&gt;90,BL79,(BL79+IF($B$1+62&lt;=$B79,12*$B$7,-12*$B$6*(1+$B$4)^62))*IF(BL79+IF($B$1+62&lt;=$B79,12*$B$7,-12*$B$6*(1+$B$4)^62)&gt;0,1+$B$3,1))</f>
        <v/>
      </c>
      <c r="BN79">
        <f>IF($B$1+63&gt;90,BM79,(BM79+IF($B$1+63&lt;=$B79,12*$B$7,-12*$B$6*(1+$B$4)^63))*IF(BM79+IF($B$1+63&lt;=$B79,12*$B$7,-12*$B$6*(1+$B$4)^63)&gt;0,1+$B$3,1))</f>
        <v/>
      </c>
      <c r="BO79">
        <f>IF($B$1+64&gt;90,BN79,(BN79+IF($B$1+64&lt;=$B79,12*$B$7,-12*$B$6*(1+$B$4)^64))*IF(BN79+IF($B$1+64&lt;=$B79,12*$B$7,-12*$B$6*(1+$B$4)^64)&gt;0,1+$B$3,1))</f>
        <v/>
      </c>
      <c r="BP79">
        <f>IF($B$1+65&gt;90,BO79,(BO79+IF($B$1+65&lt;=$B79,12*$B$7,-12*$B$6*(1+$B$4)^65))*IF(BO79+IF($B$1+65&lt;=$B79,12*$B$7,-12*$B$6*(1+$B$4)^65)&gt;0,1+$B$3,1))</f>
        <v/>
      </c>
      <c r="BQ79">
        <f>IF($B$1+66&gt;90,BP79,(BP79+IF($B$1+66&lt;=$B79,12*$B$7,-12*$B$6*(1+$B$4)^66))*IF(BP79+IF($B$1+66&lt;=$B79,12*$B$7,-12*$B$6*(1+$B$4)^66)&gt;0,1+$B$3,1))</f>
        <v/>
      </c>
      <c r="BR79">
        <f>IF($B$1+67&gt;90,BQ79,(BQ79+IF($B$1+67&lt;=$B79,12*$B$7,-12*$B$6*(1+$B$4)^67))*IF(BQ79+IF($B$1+67&lt;=$B79,12*$B$7,-12*$B$6*(1+$B$4)^67)&gt;0,1+$B$3,1))</f>
        <v/>
      </c>
      <c r="BS79">
        <f>IF($B$1+68&gt;90,BR79,(BR79+IF($B$1+68&lt;=$B79,12*$B$7,-12*$B$6*(1+$B$4)^68))*IF(BR79+IF($B$1+68&lt;=$B79,12*$B$7,-12*$B$6*(1+$B$4)^68)&gt;0,1+$B$3,1))</f>
        <v/>
      </c>
      <c r="BT79">
        <f>IF($B$1+69&gt;90,BS79,(BS79+IF($B$1+69&lt;=$B79,12*$B$7,-12*$B$6*(1+$B$4)^69))*IF(BS79+IF($B$1+69&lt;=$B79,12*$B$7,-12*$B$6*(1+$B$4)^69)&gt;0,1+$B$3,1))</f>
        <v/>
      </c>
      <c r="BU79">
        <f>IF($B$1+70&gt;90,BT79,(BT79+IF($B$1+70&lt;=$B79,12*$B$7,-12*$B$6*(1+$B$4)^70))*IF(BT79+IF($B$1+70&lt;=$B79,12*$B$7,-12*$B$6*(1+$B$4)^70)&gt;0,1+$B$3,1))</f>
        <v/>
      </c>
      <c r="BV79">
        <f>BU79</f>
        <v/>
      </c>
      <c r="BW79">
        <f>IF(AND($B79&lt;=70,BV79&gt;0),$B79,999)</f>
        <v/>
      </c>
    </row>
    <row r="80">
      <c r="A80" t="n">
        <v>40</v>
      </c>
      <c r="B80">
        <f>$B$1+40</f>
        <v/>
      </c>
      <c r="C80">
        <f>$B$2</f>
        <v/>
      </c>
      <c r="D80">
        <f>IF($B$1+1&gt;90,C80,(C80+IF($B$1+1&lt;=$B80,12*$B$7,-12*$B$6*(1+$B$4)^1))*IF(C80+IF($B$1+1&lt;=$B80,12*$B$7,-12*$B$6*(1+$B$4)^1)&gt;0,1+$B$3,1))</f>
        <v/>
      </c>
      <c r="E80">
        <f>IF($B$1+2&gt;90,D80,(D80+IF($B$1+2&lt;=$B80,12*$B$7,-12*$B$6*(1+$B$4)^2))*IF(D80+IF($B$1+2&lt;=$B80,12*$B$7,-12*$B$6*(1+$B$4)^2)&gt;0,1+$B$3,1))</f>
        <v/>
      </c>
      <c r="F80">
        <f>IF($B$1+3&gt;90,E80,(E80+IF($B$1+3&lt;=$B80,12*$B$7,-12*$B$6*(1+$B$4)^3))*IF(E80+IF($B$1+3&lt;=$B80,12*$B$7,-12*$B$6*(1+$B$4)^3)&gt;0,1+$B$3,1))</f>
        <v/>
      </c>
      <c r="G80">
        <f>IF($B$1+4&gt;90,F80,(F80+IF($B$1+4&lt;=$B80,12*$B$7,-12*$B$6*(1+$B$4)^4))*IF(F80+IF($B$1+4&lt;=$B80,12*$B$7,-12*$B$6*(1+$B$4)^4)&gt;0,1+$B$3,1))</f>
        <v/>
      </c>
      <c r="H80">
        <f>IF($B$1+5&gt;90,G80,(G80+IF($B$1+5&lt;=$B80,12*$B$7,-12*$B$6*(1+$B$4)^5))*IF(G80+IF($B$1+5&lt;=$B80,12*$B$7,-12*$B$6*(1+$B$4)^5)&gt;0,1+$B$3,1))</f>
        <v/>
      </c>
      <c r="I80">
        <f>IF($B$1+6&gt;90,H80,(H80+IF($B$1+6&lt;=$B80,12*$B$7,-12*$B$6*(1+$B$4)^6))*IF(H80+IF($B$1+6&lt;=$B80,12*$B$7,-12*$B$6*(1+$B$4)^6)&gt;0,1+$B$3,1))</f>
        <v/>
      </c>
      <c r="J80">
        <f>IF($B$1+7&gt;90,I80,(I80+IF($B$1+7&lt;=$B80,12*$B$7,-12*$B$6*(1+$B$4)^7))*IF(I80+IF($B$1+7&lt;=$B80,12*$B$7,-12*$B$6*(1+$B$4)^7)&gt;0,1+$B$3,1))</f>
        <v/>
      </c>
      <c r="K80">
        <f>IF($B$1+8&gt;90,J80,(J80+IF($B$1+8&lt;=$B80,12*$B$7,-12*$B$6*(1+$B$4)^8))*IF(J80+IF($B$1+8&lt;=$B80,12*$B$7,-12*$B$6*(1+$B$4)^8)&gt;0,1+$B$3,1))</f>
        <v/>
      </c>
      <c r="L80">
        <f>IF($B$1+9&gt;90,K80,(K80+IF($B$1+9&lt;=$B80,12*$B$7,-12*$B$6*(1+$B$4)^9))*IF(K80+IF($B$1+9&lt;=$B80,12*$B$7,-12*$B$6*(1+$B$4)^9)&gt;0,1+$B$3,1))</f>
        <v/>
      </c>
      <c r="M80">
        <f>IF($B$1+10&gt;90,L80,(L80+IF($B$1+10&lt;=$B80,12*$B$7,-12*$B$6*(1+$B$4)^10))*IF(L80+IF($B$1+10&lt;=$B80,12*$B$7,-12*$B$6*(1+$B$4)^10)&gt;0,1+$B$3,1))</f>
        <v/>
      </c>
      <c r="N80">
        <f>IF($B$1+11&gt;90,M80,(M80+IF($B$1+11&lt;=$B80,12*$B$7,-12*$B$6*(1+$B$4)^11))*IF(M80+IF($B$1+11&lt;=$B80,12*$B$7,-12*$B$6*(1+$B$4)^11)&gt;0,1+$B$3,1))</f>
        <v/>
      </c>
      <c r="O80">
        <f>IF($B$1+12&gt;90,N80,(N80+IF($B$1+12&lt;=$B80,12*$B$7,-12*$B$6*(1+$B$4)^12))*IF(N80+IF($B$1+12&lt;=$B80,12*$B$7,-12*$B$6*(1+$B$4)^12)&gt;0,1+$B$3,1))</f>
        <v/>
      </c>
      <c r="P80">
        <f>IF($B$1+13&gt;90,O80,(O80+IF($B$1+13&lt;=$B80,12*$B$7,-12*$B$6*(1+$B$4)^13))*IF(O80+IF($B$1+13&lt;=$B80,12*$B$7,-12*$B$6*(1+$B$4)^13)&gt;0,1+$B$3,1))</f>
        <v/>
      </c>
      <c r="Q80">
        <f>IF($B$1+14&gt;90,P80,(P80+IF($B$1+14&lt;=$B80,12*$B$7,-12*$B$6*(1+$B$4)^14))*IF(P80+IF($B$1+14&lt;=$B80,12*$B$7,-12*$B$6*(1+$B$4)^14)&gt;0,1+$B$3,1))</f>
        <v/>
      </c>
      <c r="R80">
        <f>IF($B$1+15&gt;90,Q80,(Q80+IF($B$1+15&lt;=$B80,12*$B$7,-12*$B$6*(1+$B$4)^15))*IF(Q80+IF($B$1+15&lt;=$B80,12*$B$7,-12*$B$6*(1+$B$4)^15)&gt;0,1+$B$3,1))</f>
        <v/>
      </c>
      <c r="S80">
        <f>IF($B$1+16&gt;90,R80,(R80+IF($B$1+16&lt;=$B80,12*$B$7,-12*$B$6*(1+$B$4)^16))*IF(R80+IF($B$1+16&lt;=$B80,12*$B$7,-12*$B$6*(1+$B$4)^16)&gt;0,1+$B$3,1))</f>
        <v/>
      </c>
      <c r="T80">
        <f>IF($B$1+17&gt;90,S80,(S80+IF($B$1+17&lt;=$B80,12*$B$7,-12*$B$6*(1+$B$4)^17))*IF(S80+IF($B$1+17&lt;=$B80,12*$B$7,-12*$B$6*(1+$B$4)^17)&gt;0,1+$B$3,1))</f>
        <v/>
      </c>
      <c r="U80">
        <f>IF($B$1+18&gt;90,T80,(T80+IF($B$1+18&lt;=$B80,12*$B$7,-12*$B$6*(1+$B$4)^18))*IF(T80+IF($B$1+18&lt;=$B80,12*$B$7,-12*$B$6*(1+$B$4)^18)&gt;0,1+$B$3,1))</f>
        <v/>
      </c>
      <c r="V80">
        <f>IF($B$1+19&gt;90,U80,(U80+IF($B$1+19&lt;=$B80,12*$B$7,-12*$B$6*(1+$B$4)^19))*IF(U80+IF($B$1+19&lt;=$B80,12*$B$7,-12*$B$6*(1+$B$4)^19)&gt;0,1+$B$3,1))</f>
        <v/>
      </c>
      <c r="W80">
        <f>IF($B$1+20&gt;90,V80,(V80+IF($B$1+20&lt;=$B80,12*$B$7,-12*$B$6*(1+$B$4)^20))*IF(V80+IF($B$1+20&lt;=$B80,12*$B$7,-12*$B$6*(1+$B$4)^20)&gt;0,1+$B$3,1))</f>
        <v/>
      </c>
      <c r="X80">
        <f>IF($B$1+21&gt;90,W80,(W80+IF($B$1+21&lt;=$B80,12*$B$7,-12*$B$6*(1+$B$4)^21))*IF(W80+IF($B$1+21&lt;=$B80,12*$B$7,-12*$B$6*(1+$B$4)^21)&gt;0,1+$B$3,1))</f>
        <v/>
      </c>
      <c r="Y80">
        <f>IF($B$1+22&gt;90,X80,(X80+IF($B$1+22&lt;=$B80,12*$B$7,-12*$B$6*(1+$B$4)^22))*IF(X80+IF($B$1+22&lt;=$B80,12*$B$7,-12*$B$6*(1+$B$4)^22)&gt;0,1+$B$3,1))</f>
        <v/>
      </c>
      <c r="Z80">
        <f>IF($B$1+23&gt;90,Y80,(Y80+IF($B$1+23&lt;=$B80,12*$B$7,-12*$B$6*(1+$B$4)^23))*IF(Y80+IF($B$1+23&lt;=$B80,12*$B$7,-12*$B$6*(1+$B$4)^23)&gt;0,1+$B$3,1))</f>
        <v/>
      </c>
      <c r="AA80">
        <f>IF($B$1+24&gt;90,Z80,(Z80+IF($B$1+24&lt;=$B80,12*$B$7,-12*$B$6*(1+$B$4)^24))*IF(Z80+IF($B$1+24&lt;=$B80,12*$B$7,-12*$B$6*(1+$B$4)^24)&gt;0,1+$B$3,1))</f>
        <v/>
      </c>
      <c r="AB80">
        <f>IF($B$1+25&gt;90,AA80,(AA80+IF($B$1+25&lt;=$B80,12*$B$7,-12*$B$6*(1+$B$4)^25))*IF(AA80+IF($B$1+25&lt;=$B80,12*$B$7,-12*$B$6*(1+$B$4)^25)&gt;0,1+$B$3,1))</f>
        <v/>
      </c>
      <c r="AC80">
        <f>IF($B$1+26&gt;90,AB80,(AB80+IF($B$1+26&lt;=$B80,12*$B$7,-12*$B$6*(1+$B$4)^26))*IF(AB80+IF($B$1+26&lt;=$B80,12*$B$7,-12*$B$6*(1+$B$4)^26)&gt;0,1+$B$3,1))</f>
        <v/>
      </c>
      <c r="AD80">
        <f>IF($B$1+27&gt;90,AC80,(AC80+IF($B$1+27&lt;=$B80,12*$B$7,-12*$B$6*(1+$B$4)^27))*IF(AC80+IF($B$1+27&lt;=$B80,12*$B$7,-12*$B$6*(1+$B$4)^27)&gt;0,1+$B$3,1))</f>
        <v/>
      </c>
      <c r="AE80">
        <f>IF($B$1+28&gt;90,AD80,(AD80+IF($B$1+28&lt;=$B80,12*$B$7,-12*$B$6*(1+$B$4)^28))*IF(AD80+IF($B$1+28&lt;=$B80,12*$B$7,-12*$B$6*(1+$B$4)^28)&gt;0,1+$B$3,1))</f>
        <v/>
      </c>
      <c r="AF80">
        <f>IF($B$1+29&gt;90,AE80,(AE80+IF($B$1+29&lt;=$B80,12*$B$7,-12*$B$6*(1+$B$4)^29))*IF(AE80+IF($B$1+29&lt;=$B80,12*$B$7,-12*$B$6*(1+$B$4)^29)&gt;0,1+$B$3,1))</f>
        <v/>
      </c>
      <c r="AG80">
        <f>IF($B$1+30&gt;90,AF80,(AF80+IF($B$1+30&lt;=$B80,12*$B$7,-12*$B$6*(1+$B$4)^30))*IF(AF80+IF($B$1+30&lt;=$B80,12*$B$7,-12*$B$6*(1+$B$4)^30)&gt;0,1+$B$3,1))</f>
        <v/>
      </c>
      <c r="AH80">
        <f>IF($B$1+31&gt;90,AG80,(AG80+IF($B$1+31&lt;=$B80,12*$B$7,-12*$B$6*(1+$B$4)^31))*IF(AG80+IF($B$1+31&lt;=$B80,12*$B$7,-12*$B$6*(1+$B$4)^31)&gt;0,1+$B$3,1))</f>
        <v/>
      </c>
      <c r="AI80">
        <f>IF($B$1+32&gt;90,AH80,(AH80+IF($B$1+32&lt;=$B80,12*$B$7,-12*$B$6*(1+$B$4)^32))*IF(AH80+IF($B$1+32&lt;=$B80,12*$B$7,-12*$B$6*(1+$B$4)^32)&gt;0,1+$B$3,1))</f>
        <v/>
      </c>
      <c r="AJ80">
        <f>IF($B$1+33&gt;90,AI80,(AI80+IF($B$1+33&lt;=$B80,12*$B$7,-12*$B$6*(1+$B$4)^33))*IF(AI80+IF($B$1+33&lt;=$B80,12*$B$7,-12*$B$6*(1+$B$4)^33)&gt;0,1+$B$3,1))</f>
        <v/>
      </c>
      <c r="AK80">
        <f>IF($B$1+34&gt;90,AJ80,(AJ80+IF($B$1+34&lt;=$B80,12*$B$7,-12*$B$6*(1+$B$4)^34))*IF(AJ80+IF($B$1+34&lt;=$B80,12*$B$7,-12*$B$6*(1+$B$4)^34)&gt;0,1+$B$3,1))</f>
        <v/>
      </c>
      <c r="AL80">
        <f>IF($B$1+35&gt;90,AK80,(AK80+IF($B$1+35&lt;=$B80,12*$B$7,-12*$B$6*(1+$B$4)^35))*IF(AK80+IF($B$1+35&lt;=$B80,12*$B$7,-12*$B$6*(1+$B$4)^35)&gt;0,1+$B$3,1))</f>
        <v/>
      </c>
      <c r="AM80">
        <f>IF($B$1+36&gt;90,AL80,(AL80+IF($B$1+36&lt;=$B80,12*$B$7,-12*$B$6*(1+$B$4)^36))*IF(AL80+IF($B$1+36&lt;=$B80,12*$B$7,-12*$B$6*(1+$B$4)^36)&gt;0,1+$B$3,1))</f>
        <v/>
      </c>
      <c r="AN80">
        <f>IF($B$1+37&gt;90,AM80,(AM80+IF($B$1+37&lt;=$B80,12*$B$7,-12*$B$6*(1+$B$4)^37))*IF(AM80+IF($B$1+37&lt;=$B80,12*$B$7,-12*$B$6*(1+$B$4)^37)&gt;0,1+$B$3,1))</f>
        <v/>
      </c>
      <c r="AO80">
        <f>IF($B$1+38&gt;90,AN80,(AN80+IF($B$1+38&lt;=$B80,12*$B$7,-12*$B$6*(1+$B$4)^38))*IF(AN80+IF($B$1+38&lt;=$B80,12*$B$7,-12*$B$6*(1+$B$4)^38)&gt;0,1+$B$3,1))</f>
        <v/>
      </c>
      <c r="AP80">
        <f>IF($B$1+39&gt;90,AO80,(AO80+IF($B$1+39&lt;=$B80,12*$B$7,-12*$B$6*(1+$B$4)^39))*IF(AO80+IF($B$1+39&lt;=$B80,12*$B$7,-12*$B$6*(1+$B$4)^39)&gt;0,1+$B$3,1))</f>
        <v/>
      </c>
      <c r="AQ80">
        <f>IF($B$1+40&gt;90,AP80,(AP80+IF($B$1+40&lt;=$B80,12*$B$7,-12*$B$6*(1+$B$4)^40))*IF(AP80+IF($B$1+40&lt;=$B80,12*$B$7,-12*$B$6*(1+$B$4)^40)&gt;0,1+$B$3,1))</f>
        <v/>
      </c>
      <c r="AR80">
        <f>IF($B$1+41&gt;90,AQ80,(AQ80+IF($B$1+41&lt;=$B80,12*$B$7,-12*$B$6*(1+$B$4)^41))*IF(AQ80+IF($B$1+41&lt;=$B80,12*$B$7,-12*$B$6*(1+$B$4)^41)&gt;0,1+$B$3,1))</f>
        <v/>
      </c>
      <c r="AS80">
        <f>IF($B$1+42&gt;90,AR80,(AR80+IF($B$1+42&lt;=$B80,12*$B$7,-12*$B$6*(1+$B$4)^42))*IF(AR80+IF($B$1+42&lt;=$B80,12*$B$7,-12*$B$6*(1+$B$4)^42)&gt;0,1+$B$3,1))</f>
        <v/>
      </c>
      <c r="AT80">
        <f>IF($B$1+43&gt;90,AS80,(AS80+IF($B$1+43&lt;=$B80,12*$B$7,-12*$B$6*(1+$B$4)^43))*IF(AS80+IF($B$1+43&lt;=$B80,12*$B$7,-12*$B$6*(1+$B$4)^43)&gt;0,1+$B$3,1))</f>
        <v/>
      </c>
      <c r="AU80">
        <f>IF($B$1+44&gt;90,AT80,(AT80+IF($B$1+44&lt;=$B80,12*$B$7,-12*$B$6*(1+$B$4)^44))*IF(AT80+IF($B$1+44&lt;=$B80,12*$B$7,-12*$B$6*(1+$B$4)^44)&gt;0,1+$B$3,1))</f>
        <v/>
      </c>
      <c r="AV80">
        <f>IF($B$1+45&gt;90,AU80,(AU80+IF($B$1+45&lt;=$B80,12*$B$7,-12*$B$6*(1+$B$4)^45))*IF(AU80+IF($B$1+45&lt;=$B80,12*$B$7,-12*$B$6*(1+$B$4)^45)&gt;0,1+$B$3,1))</f>
        <v/>
      </c>
      <c r="AW80">
        <f>IF($B$1+46&gt;90,AV80,(AV80+IF($B$1+46&lt;=$B80,12*$B$7,-12*$B$6*(1+$B$4)^46))*IF(AV80+IF($B$1+46&lt;=$B80,12*$B$7,-12*$B$6*(1+$B$4)^46)&gt;0,1+$B$3,1))</f>
        <v/>
      </c>
      <c r="AX80">
        <f>IF($B$1+47&gt;90,AW80,(AW80+IF($B$1+47&lt;=$B80,12*$B$7,-12*$B$6*(1+$B$4)^47))*IF(AW80+IF($B$1+47&lt;=$B80,12*$B$7,-12*$B$6*(1+$B$4)^47)&gt;0,1+$B$3,1))</f>
        <v/>
      </c>
      <c r="AY80">
        <f>IF($B$1+48&gt;90,AX80,(AX80+IF($B$1+48&lt;=$B80,12*$B$7,-12*$B$6*(1+$B$4)^48))*IF(AX80+IF($B$1+48&lt;=$B80,12*$B$7,-12*$B$6*(1+$B$4)^48)&gt;0,1+$B$3,1))</f>
        <v/>
      </c>
      <c r="AZ80">
        <f>IF($B$1+49&gt;90,AY80,(AY80+IF($B$1+49&lt;=$B80,12*$B$7,-12*$B$6*(1+$B$4)^49))*IF(AY80+IF($B$1+49&lt;=$B80,12*$B$7,-12*$B$6*(1+$B$4)^49)&gt;0,1+$B$3,1))</f>
        <v/>
      </c>
      <c r="BA80">
        <f>IF($B$1+50&gt;90,AZ80,(AZ80+IF($B$1+50&lt;=$B80,12*$B$7,-12*$B$6*(1+$B$4)^50))*IF(AZ80+IF($B$1+50&lt;=$B80,12*$B$7,-12*$B$6*(1+$B$4)^50)&gt;0,1+$B$3,1))</f>
        <v/>
      </c>
      <c r="BB80">
        <f>IF($B$1+51&gt;90,BA80,(BA80+IF($B$1+51&lt;=$B80,12*$B$7,-12*$B$6*(1+$B$4)^51))*IF(BA80+IF($B$1+51&lt;=$B80,12*$B$7,-12*$B$6*(1+$B$4)^51)&gt;0,1+$B$3,1))</f>
        <v/>
      </c>
      <c r="BC80">
        <f>IF($B$1+52&gt;90,BB80,(BB80+IF($B$1+52&lt;=$B80,12*$B$7,-12*$B$6*(1+$B$4)^52))*IF(BB80+IF($B$1+52&lt;=$B80,12*$B$7,-12*$B$6*(1+$B$4)^52)&gt;0,1+$B$3,1))</f>
        <v/>
      </c>
      <c r="BD80">
        <f>IF($B$1+53&gt;90,BC80,(BC80+IF($B$1+53&lt;=$B80,12*$B$7,-12*$B$6*(1+$B$4)^53))*IF(BC80+IF($B$1+53&lt;=$B80,12*$B$7,-12*$B$6*(1+$B$4)^53)&gt;0,1+$B$3,1))</f>
        <v/>
      </c>
      <c r="BE80">
        <f>IF($B$1+54&gt;90,BD80,(BD80+IF($B$1+54&lt;=$B80,12*$B$7,-12*$B$6*(1+$B$4)^54))*IF(BD80+IF($B$1+54&lt;=$B80,12*$B$7,-12*$B$6*(1+$B$4)^54)&gt;0,1+$B$3,1))</f>
        <v/>
      </c>
      <c r="BF80">
        <f>IF($B$1+55&gt;90,BE80,(BE80+IF($B$1+55&lt;=$B80,12*$B$7,-12*$B$6*(1+$B$4)^55))*IF(BE80+IF($B$1+55&lt;=$B80,12*$B$7,-12*$B$6*(1+$B$4)^55)&gt;0,1+$B$3,1))</f>
        <v/>
      </c>
      <c r="BG80">
        <f>IF($B$1+56&gt;90,BF80,(BF80+IF($B$1+56&lt;=$B80,12*$B$7,-12*$B$6*(1+$B$4)^56))*IF(BF80+IF($B$1+56&lt;=$B80,12*$B$7,-12*$B$6*(1+$B$4)^56)&gt;0,1+$B$3,1))</f>
        <v/>
      </c>
      <c r="BH80">
        <f>IF($B$1+57&gt;90,BG80,(BG80+IF($B$1+57&lt;=$B80,12*$B$7,-12*$B$6*(1+$B$4)^57))*IF(BG80+IF($B$1+57&lt;=$B80,12*$B$7,-12*$B$6*(1+$B$4)^57)&gt;0,1+$B$3,1))</f>
        <v/>
      </c>
      <c r="BI80">
        <f>IF($B$1+58&gt;90,BH80,(BH80+IF($B$1+58&lt;=$B80,12*$B$7,-12*$B$6*(1+$B$4)^58))*IF(BH80+IF($B$1+58&lt;=$B80,12*$B$7,-12*$B$6*(1+$B$4)^58)&gt;0,1+$B$3,1))</f>
        <v/>
      </c>
      <c r="BJ80">
        <f>IF($B$1+59&gt;90,BI80,(BI80+IF($B$1+59&lt;=$B80,12*$B$7,-12*$B$6*(1+$B$4)^59))*IF(BI80+IF($B$1+59&lt;=$B80,12*$B$7,-12*$B$6*(1+$B$4)^59)&gt;0,1+$B$3,1))</f>
        <v/>
      </c>
      <c r="BK80">
        <f>IF($B$1+60&gt;90,BJ80,(BJ80+IF($B$1+60&lt;=$B80,12*$B$7,-12*$B$6*(1+$B$4)^60))*IF(BJ80+IF($B$1+60&lt;=$B80,12*$B$7,-12*$B$6*(1+$B$4)^60)&gt;0,1+$B$3,1))</f>
        <v/>
      </c>
      <c r="BL80">
        <f>IF($B$1+61&gt;90,BK80,(BK80+IF($B$1+61&lt;=$B80,12*$B$7,-12*$B$6*(1+$B$4)^61))*IF(BK80+IF($B$1+61&lt;=$B80,12*$B$7,-12*$B$6*(1+$B$4)^61)&gt;0,1+$B$3,1))</f>
        <v/>
      </c>
      <c r="BM80">
        <f>IF($B$1+62&gt;90,BL80,(BL80+IF($B$1+62&lt;=$B80,12*$B$7,-12*$B$6*(1+$B$4)^62))*IF(BL80+IF($B$1+62&lt;=$B80,12*$B$7,-12*$B$6*(1+$B$4)^62)&gt;0,1+$B$3,1))</f>
        <v/>
      </c>
      <c r="BN80">
        <f>IF($B$1+63&gt;90,BM80,(BM80+IF($B$1+63&lt;=$B80,12*$B$7,-12*$B$6*(1+$B$4)^63))*IF(BM80+IF($B$1+63&lt;=$B80,12*$B$7,-12*$B$6*(1+$B$4)^63)&gt;0,1+$B$3,1))</f>
        <v/>
      </c>
      <c r="BO80">
        <f>IF($B$1+64&gt;90,BN80,(BN80+IF($B$1+64&lt;=$B80,12*$B$7,-12*$B$6*(1+$B$4)^64))*IF(BN80+IF($B$1+64&lt;=$B80,12*$B$7,-12*$B$6*(1+$B$4)^64)&gt;0,1+$B$3,1))</f>
        <v/>
      </c>
      <c r="BP80">
        <f>IF($B$1+65&gt;90,BO80,(BO80+IF($B$1+65&lt;=$B80,12*$B$7,-12*$B$6*(1+$B$4)^65))*IF(BO80+IF($B$1+65&lt;=$B80,12*$B$7,-12*$B$6*(1+$B$4)^65)&gt;0,1+$B$3,1))</f>
        <v/>
      </c>
      <c r="BQ80">
        <f>IF($B$1+66&gt;90,BP80,(BP80+IF($B$1+66&lt;=$B80,12*$B$7,-12*$B$6*(1+$B$4)^66))*IF(BP80+IF($B$1+66&lt;=$B80,12*$B$7,-12*$B$6*(1+$B$4)^66)&gt;0,1+$B$3,1))</f>
        <v/>
      </c>
      <c r="BR80">
        <f>IF($B$1+67&gt;90,BQ80,(BQ80+IF($B$1+67&lt;=$B80,12*$B$7,-12*$B$6*(1+$B$4)^67))*IF(BQ80+IF($B$1+67&lt;=$B80,12*$B$7,-12*$B$6*(1+$B$4)^67)&gt;0,1+$B$3,1))</f>
        <v/>
      </c>
      <c r="BS80">
        <f>IF($B$1+68&gt;90,BR80,(BR80+IF($B$1+68&lt;=$B80,12*$B$7,-12*$B$6*(1+$B$4)^68))*IF(BR80+IF($B$1+68&lt;=$B80,12*$B$7,-12*$B$6*(1+$B$4)^68)&gt;0,1+$B$3,1))</f>
        <v/>
      </c>
      <c r="BT80">
        <f>IF($B$1+69&gt;90,BS80,(BS80+IF($B$1+69&lt;=$B80,12*$B$7,-12*$B$6*(1+$B$4)^69))*IF(BS80+IF($B$1+69&lt;=$B80,12*$B$7,-12*$B$6*(1+$B$4)^69)&gt;0,1+$B$3,1))</f>
        <v/>
      </c>
      <c r="BU80">
        <f>IF($B$1+70&gt;90,BT80,(BT80+IF($B$1+70&lt;=$B80,12*$B$7,-12*$B$6*(1+$B$4)^70))*IF(BT80+IF($B$1+70&lt;=$B80,12*$B$7,-12*$B$6*(1+$B$4)^70)&gt;0,1+$B$3,1))</f>
        <v/>
      </c>
      <c r="BV80">
        <f>BU80</f>
        <v/>
      </c>
      <c r="BW80">
        <f>IF(AND($B80&lt;=70,BV80&gt;0),$B80,999)</f>
        <v/>
      </c>
    </row>
    <row r="81">
      <c r="A81" t="n">
        <v>41</v>
      </c>
      <c r="B81">
        <f>$B$1+41</f>
        <v/>
      </c>
      <c r="C81">
        <f>$B$2</f>
        <v/>
      </c>
      <c r="D81">
        <f>IF($B$1+1&gt;90,C81,(C81+IF($B$1+1&lt;=$B81,12*$B$7,-12*$B$6*(1+$B$4)^1))*IF(C81+IF($B$1+1&lt;=$B81,12*$B$7,-12*$B$6*(1+$B$4)^1)&gt;0,1+$B$3,1))</f>
        <v/>
      </c>
      <c r="E81">
        <f>IF($B$1+2&gt;90,D81,(D81+IF($B$1+2&lt;=$B81,12*$B$7,-12*$B$6*(1+$B$4)^2))*IF(D81+IF($B$1+2&lt;=$B81,12*$B$7,-12*$B$6*(1+$B$4)^2)&gt;0,1+$B$3,1))</f>
        <v/>
      </c>
      <c r="F81">
        <f>IF($B$1+3&gt;90,E81,(E81+IF($B$1+3&lt;=$B81,12*$B$7,-12*$B$6*(1+$B$4)^3))*IF(E81+IF($B$1+3&lt;=$B81,12*$B$7,-12*$B$6*(1+$B$4)^3)&gt;0,1+$B$3,1))</f>
        <v/>
      </c>
      <c r="G81">
        <f>IF($B$1+4&gt;90,F81,(F81+IF($B$1+4&lt;=$B81,12*$B$7,-12*$B$6*(1+$B$4)^4))*IF(F81+IF($B$1+4&lt;=$B81,12*$B$7,-12*$B$6*(1+$B$4)^4)&gt;0,1+$B$3,1))</f>
        <v/>
      </c>
      <c r="H81">
        <f>IF($B$1+5&gt;90,G81,(G81+IF($B$1+5&lt;=$B81,12*$B$7,-12*$B$6*(1+$B$4)^5))*IF(G81+IF($B$1+5&lt;=$B81,12*$B$7,-12*$B$6*(1+$B$4)^5)&gt;0,1+$B$3,1))</f>
        <v/>
      </c>
      <c r="I81">
        <f>IF($B$1+6&gt;90,H81,(H81+IF($B$1+6&lt;=$B81,12*$B$7,-12*$B$6*(1+$B$4)^6))*IF(H81+IF($B$1+6&lt;=$B81,12*$B$7,-12*$B$6*(1+$B$4)^6)&gt;0,1+$B$3,1))</f>
        <v/>
      </c>
      <c r="J81">
        <f>IF($B$1+7&gt;90,I81,(I81+IF($B$1+7&lt;=$B81,12*$B$7,-12*$B$6*(1+$B$4)^7))*IF(I81+IF($B$1+7&lt;=$B81,12*$B$7,-12*$B$6*(1+$B$4)^7)&gt;0,1+$B$3,1))</f>
        <v/>
      </c>
      <c r="K81">
        <f>IF($B$1+8&gt;90,J81,(J81+IF($B$1+8&lt;=$B81,12*$B$7,-12*$B$6*(1+$B$4)^8))*IF(J81+IF($B$1+8&lt;=$B81,12*$B$7,-12*$B$6*(1+$B$4)^8)&gt;0,1+$B$3,1))</f>
        <v/>
      </c>
      <c r="L81">
        <f>IF($B$1+9&gt;90,K81,(K81+IF($B$1+9&lt;=$B81,12*$B$7,-12*$B$6*(1+$B$4)^9))*IF(K81+IF($B$1+9&lt;=$B81,12*$B$7,-12*$B$6*(1+$B$4)^9)&gt;0,1+$B$3,1))</f>
        <v/>
      </c>
      <c r="M81">
        <f>IF($B$1+10&gt;90,L81,(L81+IF($B$1+10&lt;=$B81,12*$B$7,-12*$B$6*(1+$B$4)^10))*IF(L81+IF($B$1+10&lt;=$B81,12*$B$7,-12*$B$6*(1+$B$4)^10)&gt;0,1+$B$3,1))</f>
        <v/>
      </c>
      <c r="N81">
        <f>IF($B$1+11&gt;90,M81,(M81+IF($B$1+11&lt;=$B81,12*$B$7,-12*$B$6*(1+$B$4)^11))*IF(M81+IF($B$1+11&lt;=$B81,12*$B$7,-12*$B$6*(1+$B$4)^11)&gt;0,1+$B$3,1))</f>
        <v/>
      </c>
      <c r="O81">
        <f>IF($B$1+12&gt;90,N81,(N81+IF($B$1+12&lt;=$B81,12*$B$7,-12*$B$6*(1+$B$4)^12))*IF(N81+IF($B$1+12&lt;=$B81,12*$B$7,-12*$B$6*(1+$B$4)^12)&gt;0,1+$B$3,1))</f>
        <v/>
      </c>
      <c r="P81">
        <f>IF($B$1+13&gt;90,O81,(O81+IF($B$1+13&lt;=$B81,12*$B$7,-12*$B$6*(1+$B$4)^13))*IF(O81+IF($B$1+13&lt;=$B81,12*$B$7,-12*$B$6*(1+$B$4)^13)&gt;0,1+$B$3,1))</f>
        <v/>
      </c>
      <c r="Q81">
        <f>IF($B$1+14&gt;90,P81,(P81+IF($B$1+14&lt;=$B81,12*$B$7,-12*$B$6*(1+$B$4)^14))*IF(P81+IF($B$1+14&lt;=$B81,12*$B$7,-12*$B$6*(1+$B$4)^14)&gt;0,1+$B$3,1))</f>
        <v/>
      </c>
      <c r="R81">
        <f>IF($B$1+15&gt;90,Q81,(Q81+IF($B$1+15&lt;=$B81,12*$B$7,-12*$B$6*(1+$B$4)^15))*IF(Q81+IF($B$1+15&lt;=$B81,12*$B$7,-12*$B$6*(1+$B$4)^15)&gt;0,1+$B$3,1))</f>
        <v/>
      </c>
      <c r="S81">
        <f>IF($B$1+16&gt;90,R81,(R81+IF($B$1+16&lt;=$B81,12*$B$7,-12*$B$6*(1+$B$4)^16))*IF(R81+IF($B$1+16&lt;=$B81,12*$B$7,-12*$B$6*(1+$B$4)^16)&gt;0,1+$B$3,1))</f>
        <v/>
      </c>
      <c r="T81">
        <f>IF($B$1+17&gt;90,S81,(S81+IF($B$1+17&lt;=$B81,12*$B$7,-12*$B$6*(1+$B$4)^17))*IF(S81+IF($B$1+17&lt;=$B81,12*$B$7,-12*$B$6*(1+$B$4)^17)&gt;0,1+$B$3,1))</f>
        <v/>
      </c>
      <c r="U81">
        <f>IF($B$1+18&gt;90,T81,(T81+IF($B$1+18&lt;=$B81,12*$B$7,-12*$B$6*(1+$B$4)^18))*IF(T81+IF($B$1+18&lt;=$B81,12*$B$7,-12*$B$6*(1+$B$4)^18)&gt;0,1+$B$3,1))</f>
        <v/>
      </c>
      <c r="V81">
        <f>IF($B$1+19&gt;90,U81,(U81+IF($B$1+19&lt;=$B81,12*$B$7,-12*$B$6*(1+$B$4)^19))*IF(U81+IF($B$1+19&lt;=$B81,12*$B$7,-12*$B$6*(1+$B$4)^19)&gt;0,1+$B$3,1))</f>
        <v/>
      </c>
      <c r="W81">
        <f>IF($B$1+20&gt;90,V81,(V81+IF($B$1+20&lt;=$B81,12*$B$7,-12*$B$6*(1+$B$4)^20))*IF(V81+IF($B$1+20&lt;=$B81,12*$B$7,-12*$B$6*(1+$B$4)^20)&gt;0,1+$B$3,1))</f>
        <v/>
      </c>
      <c r="X81">
        <f>IF($B$1+21&gt;90,W81,(W81+IF($B$1+21&lt;=$B81,12*$B$7,-12*$B$6*(1+$B$4)^21))*IF(W81+IF($B$1+21&lt;=$B81,12*$B$7,-12*$B$6*(1+$B$4)^21)&gt;0,1+$B$3,1))</f>
        <v/>
      </c>
      <c r="Y81">
        <f>IF($B$1+22&gt;90,X81,(X81+IF($B$1+22&lt;=$B81,12*$B$7,-12*$B$6*(1+$B$4)^22))*IF(X81+IF($B$1+22&lt;=$B81,12*$B$7,-12*$B$6*(1+$B$4)^22)&gt;0,1+$B$3,1))</f>
        <v/>
      </c>
      <c r="Z81">
        <f>IF($B$1+23&gt;90,Y81,(Y81+IF($B$1+23&lt;=$B81,12*$B$7,-12*$B$6*(1+$B$4)^23))*IF(Y81+IF($B$1+23&lt;=$B81,12*$B$7,-12*$B$6*(1+$B$4)^23)&gt;0,1+$B$3,1))</f>
        <v/>
      </c>
      <c r="AA81">
        <f>IF($B$1+24&gt;90,Z81,(Z81+IF($B$1+24&lt;=$B81,12*$B$7,-12*$B$6*(1+$B$4)^24))*IF(Z81+IF($B$1+24&lt;=$B81,12*$B$7,-12*$B$6*(1+$B$4)^24)&gt;0,1+$B$3,1))</f>
        <v/>
      </c>
      <c r="AB81">
        <f>IF($B$1+25&gt;90,AA81,(AA81+IF($B$1+25&lt;=$B81,12*$B$7,-12*$B$6*(1+$B$4)^25))*IF(AA81+IF($B$1+25&lt;=$B81,12*$B$7,-12*$B$6*(1+$B$4)^25)&gt;0,1+$B$3,1))</f>
        <v/>
      </c>
      <c r="AC81">
        <f>IF($B$1+26&gt;90,AB81,(AB81+IF($B$1+26&lt;=$B81,12*$B$7,-12*$B$6*(1+$B$4)^26))*IF(AB81+IF($B$1+26&lt;=$B81,12*$B$7,-12*$B$6*(1+$B$4)^26)&gt;0,1+$B$3,1))</f>
        <v/>
      </c>
      <c r="AD81">
        <f>IF($B$1+27&gt;90,AC81,(AC81+IF($B$1+27&lt;=$B81,12*$B$7,-12*$B$6*(1+$B$4)^27))*IF(AC81+IF($B$1+27&lt;=$B81,12*$B$7,-12*$B$6*(1+$B$4)^27)&gt;0,1+$B$3,1))</f>
        <v/>
      </c>
      <c r="AE81">
        <f>IF($B$1+28&gt;90,AD81,(AD81+IF($B$1+28&lt;=$B81,12*$B$7,-12*$B$6*(1+$B$4)^28))*IF(AD81+IF($B$1+28&lt;=$B81,12*$B$7,-12*$B$6*(1+$B$4)^28)&gt;0,1+$B$3,1))</f>
        <v/>
      </c>
      <c r="AF81">
        <f>IF($B$1+29&gt;90,AE81,(AE81+IF($B$1+29&lt;=$B81,12*$B$7,-12*$B$6*(1+$B$4)^29))*IF(AE81+IF($B$1+29&lt;=$B81,12*$B$7,-12*$B$6*(1+$B$4)^29)&gt;0,1+$B$3,1))</f>
        <v/>
      </c>
      <c r="AG81">
        <f>IF($B$1+30&gt;90,AF81,(AF81+IF($B$1+30&lt;=$B81,12*$B$7,-12*$B$6*(1+$B$4)^30))*IF(AF81+IF($B$1+30&lt;=$B81,12*$B$7,-12*$B$6*(1+$B$4)^30)&gt;0,1+$B$3,1))</f>
        <v/>
      </c>
      <c r="AH81">
        <f>IF($B$1+31&gt;90,AG81,(AG81+IF($B$1+31&lt;=$B81,12*$B$7,-12*$B$6*(1+$B$4)^31))*IF(AG81+IF($B$1+31&lt;=$B81,12*$B$7,-12*$B$6*(1+$B$4)^31)&gt;0,1+$B$3,1))</f>
        <v/>
      </c>
      <c r="AI81">
        <f>IF($B$1+32&gt;90,AH81,(AH81+IF($B$1+32&lt;=$B81,12*$B$7,-12*$B$6*(1+$B$4)^32))*IF(AH81+IF($B$1+32&lt;=$B81,12*$B$7,-12*$B$6*(1+$B$4)^32)&gt;0,1+$B$3,1))</f>
        <v/>
      </c>
      <c r="AJ81">
        <f>IF($B$1+33&gt;90,AI81,(AI81+IF($B$1+33&lt;=$B81,12*$B$7,-12*$B$6*(1+$B$4)^33))*IF(AI81+IF($B$1+33&lt;=$B81,12*$B$7,-12*$B$6*(1+$B$4)^33)&gt;0,1+$B$3,1))</f>
        <v/>
      </c>
      <c r="AK81">
        <f>IF($B$1+34&gt;90,AJ81,(AJ81+IF($B$1+34&lt;=$B81,12*$B$7,-12*$B$6*(1+$B$4)^34))*IF(AJ81+IF($B$1+34&lt;=$B81,12*$B$7,-12*$B$6*(1+$B$4)^34)&gt;0,1+$B$3,1))</f>
        <v/>
      </c>
      <c r="AL81">
        <f>IF($B$1+35&gt;90,AK81,(AK81+IF($B$1+35&lt;=$B81,12*$B$7,-12*$B$6*(1+$B$4)^35))*IF(AK81+IF($B$1+35&lt;=$B81,12*$B$7,-12*$B$6*(1+$B$4)^35)&gt;0,1+$B$3,1))</f>
        <v/>
      </c>
      <c r="AM81">
        <f>IF($B$1+36&gt;90,AL81,(AL81+IF($B$1+36&lt;=$B81,12*$B$7,-12*$B$6*(1+$B$4)^36))*IF(AL81+IF($B$1+36&lt;=$B81,12*$B$7,-12*$B$6*(1+$B$4)^36)&gt;0,1+$B$3,1))</f>
        <v/>
      </c>
      <c r="AN81">
        <f>IF($B$1+37&gt;90,AM81,(AM81+IF($B$1+37&lt;=$B81,12*$B$7,-12*$B$6*(1+$B$4)^37))*IF(AM81+IF($B$1+37&lt;=$B81,12*$B$7,-12*$B$6*(1+$B$4)^37)&gt;0,1+$B$3,1))</f>
        <v/>
      </c>
      <c r="AO81">
        <f>IF($B$1+38&gt;90,AN81,(AN81+IF($B$1+38&lt;=$B81,12*$B$7,-12*$B$6*(1+$B$4)^38))*IF(AN81+IF($B$1+38&lt;=$B81,12*$B$7,-12*$B$6*(1+$B$4)^38)&gt;0,1+$B$3,1))</f>
        <v/>
      </c>
      <c r="AP81">
        <f>IF($B$1+39&gt;90,AO81,(AO81+IF($B$1+39&lt;=$B81,12*$B$7,-12*$B$6*(1+$B$4)^39))*IF(AO81+IF($B$1+39&lt;=$B81,12*$B$7,-12*$B$6*(1+$B$4)^39)&gt;0,1+$B$3,1))</f>
        <v/>
      </c>
      <c r="AQ81">
        <f>IF($B$1+40&gt;90,AP81,(AP81+IF($B$1+40&lt;=$B81,12*$B$7,-12*$B$6*(1+$B$4)^40))*IF(AP81+IF($B$1+40&lt;=$B81,12*$B$7,-12*$B$6*(1+$B$4)^40)&gt;0,1+$B$3,1))</f>
        <v/>
      </c>
      <c r="AR81">
        <f>IF($B$1+41&gt;90,AQ81,(AQ81+IF($B$1+41&lt;=$B81,12*$B$7,-12*$B$6*(1+$B$4)^41))*IF(AQ81+IF($B$1+41&lt;=$B81,12*$B$7,-12*$B$6*(1+$B$4)^41)&gt;0,1+$B$3,1))</f>
        <v/>
      </c>
      <c r="AS81">
        <f>IF($B$1+42&gt;90,AR81,(AR81+IF($B$1+42&lt;=$B81,12*$B$7,-12*$B$6*(1+$B$4)^42))*IF(AR81+IF($B$1+42&lt;=$B81,12*$B$7,-12*$B$6*(1+$B$4)^42)&gt;0,1+$B$3,1))</f>
        <v/>
      </c>
      <c r="AT81">
        <f>IF($B$1+43&gt;90,AS81,(AS81+IF($B$1+43&lt;=$B81,12*$B$7,-12*$B$6*(1+$B$4)^43))*IF(AS81+IF($B$1+43&lt;=$B81,12*$B$7,-12*$B$6*(1+$B$4)^43)&gt;0,1+$B$3,1))</f>
        <v/>
      </c>
      <c r="AU81">
        <f>IF($B$1+44&gt;90,AT81,(AT81+IF($B$1+44&lt;=$B81,12*$B$7,-12*$B$6*(1+$B$4)^44))*IF(AT81+IF($B$1+44&lt;=$B81,12*$B$7,-12*$B$6*(1+$B$4)^44)&gt;0,1+$B$3,1))</f>
        <v/>
      </c>
      <c r="AV81">
        <f>IF($B$1+45&gt;90,AU81,(AU81+IF($B$1+45&lt;=$B81,12*$B$7,-12*$B$6*(1+$B$4)^45))*IF(AU81+IF($B$1+45&lt;=$B81,12*$B$7,-12*$B$6*(1+$B$4)^45)&gt;0,1+$B$3,1))</f>
        <v/>
      </c>
      <c r="AW81">
        <f>IF($B$1+46&gt;90,AV81,(AV81+IF($B$1+46&lt;=$B81,12*$B$7,-12*$B$6*(1+$B$4)^46))*IF(AV81+IF($B$1+46&lt;=$B81,12*$B$7,-12*$B$6*(1+$B$4)^46)&gt;0,1+$B$3,1))</f>
        <v/>
      </c>
      <c r="AX81">
        <f>IF($B$1+47&gt;90,AW81,(AW81+IF($B$1+47&lt;=$B81,12*$B$7,-12*$B$6*(1+$B$4)^47))*IF(AW81+IF($B$1+47&lt;=$B81,12*$B$7,-12*$B$6*(1+$B$4)^47)&gt;0,1+$B$3,1))</f>
        <v/>
      </c>
      <c r="AY81">
        <f>IF($B$1+48&gt;90,AX81,(AX81+IF($B$1+48&lt;=$B81,12*$B$7,-12*$B$6*(1+$B$4)^48))*IF(AX81+IF($B$1+48&lt;=$B81,12*$B$7,-12*$B$6*(1+$B$4)^48)&gt;0,1+$B$3,1))</f>
        <v/>
      </c>
      <c r="AZ81">
        <f>IF($B$1+49&gt;90,AY81,(AY81+IF($B$1+49&lt;=$B81,12*$B$7,-12*$B$6*(1+$B$4)^49))*IF(AY81+IF($B$1+49&lt;=$B81,12*$B$7,-12*$B$6*(1+$B$4)^49)&gt;0,1+$B$3,1))</f>
        <v/>
      </c>
      <c r="BA81">
        <f>IF($B$1+50&gt;90,AZ81,(AZ81+IF($B$1+50&lt;=$B81,12*$B$7,-12*$B$6*(1+$B$4)^50))*IF(AZ81+IF($B$1+50&lt;=$B81,12*$B$7,-12*$B$6*(1+$B$4)^50)&gt;0,1+$B$3,1))</f>
        <v/>
      </c>
      <c r="BB81">
        <f>IF($B$1+51&gt;90,BA81,(BA81+IF($B$1+51&lt;=$B81,12*$B$7,-12*$B$6*(1+$B$4)^51))*IF(BA81+IF($B$1+51&lt;=$B81,12*$B$7,-12*$B$6*(1+$B$4)^51)&gt;0,1+$B$3,1))</f>
        <v/>
      </c>
      <c r="BC81">
        <f>IF($B$1+52&gt;90,BB81,(BB81+IF($B$1+52&lt;=$B81,12*$B$7,-12*$B$6*(1+$B$4)^52))*IF(BB81+IF($B$1+52&lt;=$B81,12*$B$7,-12*$B$6*(1+$B$4)^52)&gt;0,1+$B$3,1))</f>
        <v/>
      </c>
      <c r="BD81">
        <f>IF($B$1+53&gt;90,BC81,(BC81+IF($B$1+53&lt;=$B81,12*$B$7,-12*$B$6*(1+$B$4)^53))*IF(BC81+IF($B$1+53&lt;=$B81,12*$B$7,-12*$B$6*(1+$B$4)^53)&gt;0,1+$B$3,1))</f>
        <v/>
      </c>
      <c r="BE81">
        <f>IF($B$1+54&gt;90,BD81,(BD81+IF($B$1+54&lt;=$B81,12*$B$7,-12*$B$6*(1+$B$4)^54))*IF(BD81+IF($B$1+54&lt;=$B81,12*$B$7,-12*$B$6*(1+$B$4)^54)&gt;0,1+$B$3,1))</f>
        <v/>
      </c>
      <c r="BF81">
        <f>IF($B$1+55&gt;90,BE81,(BE81+IF($B$1+55&lt;=$B81,12*$B$7,-12*$B$6*(1+$B$4)^55))*IF(BE81+IF($B$1+55&lt;=$B81,12*$B$7,-12*$B$6*(1+$B$4)^55)&gt;0,1+$B$3,1))</f>
        <v/>
      </c>
      <c r="BG81">
        <f>IF($B$1+56&gt;90,BF81,(BF81+IF($B$1+56&lt;=$B81,12*$B$7,-12*$B$6*(1+$B$4)^56))*IF(BF81+IF($B$1+56&lt;=$B81,12*$B$7,-12*$B$6*(1+$B$4)^56)&gt;0,1+$B$3,1))</f>
        <v/>
      </c>
      <c r="BH81">
        <f>IF($B$1+57&gt;90,BG81,(BG81+IF($B$1+57&lt;=$B81,12*$B$7,-12*$B$6*(1+$B$4)^57))*IF(BG81+IF($B$1+57&lt;=$B81,12*$B$7,-12*$B$6*(1+$B$4)^57)&gt;0,1+$B$3,1))</f>
        <v/>
      </c>
      <c r="BI81">
        <f>IF($B$1+58&gt;90,BH81,(BH81+IF($B$1+58&lt;=$B81,12*$B$7,-12*$B$6*(1+$B$4)^58))*IF(BH81+IF($B$1+58&lt;=$B81,12*$B$7,-12*$B$6*(1+$B$4)^58)&gt;0,1+$B$3,1))</f>
        <v/>
      </c>
      <c r="BJ81">
        <f>IF($B$1+59&gt;90,BI81,(BI81+IF($B$1+59&lt;=$B81,12*$B$7,-12*$B$6*(1+$B$4)^59))*IF(BI81+IF($B$1+59&lt;=$B81,12*$B$7,-12*$B$6*(1+$B$4)^59)&gt;0,1+$B$3,1))</f>
        <v/>
      </c>
      <c r="BK81">
        <f>IF($B$1+60&gt;90,BJ81,(BJ81+IF($B$1+60&lt;=$B81,12*$B$7,-12*$B$6*(1+$B$4)^60))*IF(BJ81+IF($B$1+60&lt;=$B81,12*$B$7,-12*$B$6*(1+$B$4)^60)&gt;0,1+$B$3,1))</f>
        <v/>
      </c>
      <c r="BL81">
        <f>IF($B$1+61&gt;90,BK81,(BK81+IF($B$1+61&lt;=$B81,12*$B$7,-12*$B$6*(1+$B$4)^61))*IF(BK81+IF($B$1+61&lt;=$B81,12*$B$7,-12*$B$6*(1+$B$4)^61)&gt;0,1+$B$3,1))</f>
        <v/>
      </c>
      <c r="BM81">
        <f>IF($B$1+62&gt;90,BL81,(BL81+IF($B$1+62&lt;=$B81,12*$B$7,-12*$B$6*(1+$B$4)^62))*IF(BL81+IF($B$1+62&lt;=$B81,12*$B$7,-12*$B$6*(1+$B$4)^62)&gt;0,1+$B$3,1))</f>
        <v/>
      </c>
      <c r="BN81">
        <f>IF($B$1+63&gt;90,BM81,(BM81+IF($B$1+63&lt;=$B81,12*$B$7,-12*$B$6*(1+$B$4)^63))*IF(BM81+IF($B$1+63&lt;=$B81,12*$B$7,-12*$B$6*(1+$B$4)^63)&gt;0,1+$B$3,1))</f>
        <v/>
      </c>
      <c r="BO81">
        <f>IF($B$1+64&gt;90,BN81,(BN81+IF($B$1+64&lt;=$B81,12*$B$7,-12*$B$6*(1+$B$4)^64))*IF(BN81+IF($B$1+64&lt;=$B81,12*$B$7,-12*$B$6*(1+$B$4)^64)&gt;0,1+$B$3,1))</f>
        <v/>
      </c>
      <c r="BP81">
        <f>IF($B$1+65&gt;90,BO81,(BO81+IF($B$1+65&lt;=$B81,12*$B$7,-12*$B$6*(1+$B$4)^65))*IF(BO81+IF($B$1+65&lt;=$B81,12*$B$7,-12*$B$6*(1+$B$4)^65)&gt;0,1+$B$3,1))</f>
        <v/>
      </c>
      <c r="BQ81">
        <f>IF($B$1+66&gt;90,BP81,(BP81+IF($B$1+66&lt;=$B81,12*$B$7,-12*$B$6*(1+$B$4)^66))*IF(BP81+IF($B$1+66&lt;=$B81,12*$B$7,-12*$B$6*(1+$B$4)^66)&gt;0,1+$B$3,1))</f>
        <v/>
      </c>
      <c r="BR81">
        <f>IF($B$1+67&gt;90,BQ81,(BQ81+IF($B$1+67&lt;=$B81,12*$B$7,-12*$B$6*(1+$B$4)^67))*IF(BQ81+IF($B$1+67&lt;=$B81,12*$B$7,-12*$B$6*(1+$B$4)^67)&gt;0,1+$B$3,1))</f>
        <v/>
      </c>
      <c r="BS81">
        <f>IF($B$1+68&gt;90,BR81,(BR81+IF($B$1+68&lt;=$B81,12*$B$7,-12*$B$6*(1+$B$4)^68))*IF(BR81+IF($B$1+68&lt;=$B81,12*$B$7,-12*$B$6*(1+$B$4)^68)&gt;0,1+$B$3,1))</f>
        <v/>
      </c>
      <c r="BT81">
        <f>IF($B$1+69&gt;90,BS81,(BS81+IF($B$1+69&lt;=$B81,12*$B$7,-12*$B$6*(1+$B$4)^69))*IF(BS81+IF($B$1+69&lt;=$B81,12*$B$7,-12*$B$6*(1+$B$4)^69)&gt;0,1+$B$3,1))</f>
        <v/>
      </c>
      <c r="BU81">
        <f>IF($B$1+70&gt;90,BT81,(BT81+IF($B$1+70&lt;=$B81,12*$B$7,-12*$B$6*(1+$B$4)^70))*IF(BT81+IF($B$1+70&lt;=$B81,12*$B$7,-12*$B$6*(1+$B$4)^70)&gt;0,1+$B$3,1))</f>
        <v/>
      </c>
      <c r="BV81">
        <f>BU81</f>
        <v/>
      </c>
      <c r="BW81">
        <f>IF(AND($B81&lt;=70,BV81&gt;0),$B81,999)</f>
        <v/>
      </c>
    </row>
    <row r="82">
      <c r="A82" t="n">
        <v>42</v>
      </c>
      <c r="B82">
        <f>$B$1+42</f>
        <v/>
      </c>
      <c r="C82">
        <f>$B$2</f>
        <v/>
      </c>
      <c r="D82">
        <f>IF($B$1+1&gt;90,C82,(C82+IF($B$1+1&lt;=$B82,12*$B$7,-12*$B$6*(1+$B$4)^1))*IF(C82+IF($B$1+1&lt;=$B82,12*$B$7,-12*$B$6*(1+$B$4)^1)&gt;0,1+$B$3,1))</f>
        <v/>
      </c>
      <c r="E82">
        <f>IF($B$1+2&gt;90,D82,(D82+IF($B$1+2&lt;=$B82,12*$B$7,-12*$B$6*(1+$B$4)^2))*IF(D82+IF($B$1+2&lt;=$B82,12*$B$7,-12*$B$6*(1+$B$4)^2)&gt;0,1+$B$3,1))</f>
        <v/>
      </c>
      <c r="F82">
        <f>IF($B$1+3&gt;90,E82,(E82+IF($B$1+3&lt;=$B82,12*$B$7,-12*$B$6*(1+$B$4)^3))*IF(E82+IF($B$1+3&lt;=$B82,12*$B$7,-12*$B$6*(1+$B$4)^3)&gt;0,1+$B$3,1))</f>
        <v/>
      </c>
      <c r="G82">
        <f>IF($B$1+4&gt;90,F82,(F82+IF($B$1+4&lt;=$B82,12*$B$7,-12*$B$6*(1+$B$4)^4))*IF(F82+IF($B$1+4&lt;=$B82,12*$B$7,-12*$B$6*(1+$B$4)^4)&gt;0,1+$B$3,1))</f>
        <v/>
      </c>
      <c r="H82">
        <f>IF($B$1+5&gt;90,G82,(G82+IF($B$1+5&lt;=$B82,12*$B$7,-12*$B$6*(1+$B$4)^5))*IF(G82+IF($B$1+5&lt;=$B82,12*$B$7,-12*$B$6*(1+$B$4)^5)&gt;0,1+$B$3,1))</f>
        <v/>
      </c>
      <c r="I82">
        <f>IF($B$1+6&gt;90,H82,(H82+IF($B$1+6&lt;=$B82,12*$B$7,-12*$B$6*(1+$B$4)^6))*IF(H82+IF($B$1+6&lt;=$B82,12*$B$7,-12*$B$6*(1+$B$4)^6)&gt;0,1+$B$3,1))</f>
        <v/>
      </c>
      <c r="J82">
        <f>IF($B$1+7&gt;90,I82,(I82+IF($B$1+7&lt;=$B82,12*$B$7,-12*$B$6*(1+$B$4)^7))*IF(I82+IF($B$1+7&lt;=$B82,12*$B$7,-12*$B$6*(1+$B$4)^7)&gt;0,1+$B$3,1))</f>
        <v/>
      </c>
      <c r="K82">
        <f>IF($B$1+8&gt;90,J82,(J82+IF($B$1+8&lt;=$B82,12*$B$7,-12*$B$6*(1+$B$4)^8))*IF(J82+IF($B$1+8&lt;=$B82,12*$B$7,-12*$B$6*(1+$B$4)^8)&gt;0,1+$B$3,1))</f>
        <v/>
      </c>
      <c r="L82">
        <f>IF($B$1+9&gt;90,K82,(K82+IF($B$1+9&lt;=$B82,12*$B$7,-12*$B$6*(1+$B$4)^9))*IF(K82+IF($B$1+9&lt;=$B82,12*$B$7,-12*$B$6*(1+$B$4)^9)&gt;0,1+$B$3,1))</f>
        <v/>
      </c>
      <c r="M82">
        <f>IF($B$1+10&gt;90,L82,(L82+IF($B$1+10&lt;=$B82,12*$B$7,-12*$B$6*(1+$B$4)^10))*IF(L82+IF($B$1+10&lt;=$B82,12*$B$7,-12*$B$6*(1+$B$4)^10)&gt;0,1+$B$3,1))</f>
        <v/>
      </c>
      <c r="N82">
        <f>IF($B$1+11&gt;90,M82,(M82+IF($B$1+11&lt;=$B82,12*$B$7,-12*$B$6*(1+$B$4)^11))*IF(M82+IF($B$1+11&lt;=$B82,12*$B$7,-12*$B$6*(1+$B$4)^11)&gt;0,1+$B$3,1))</f>
        <v/>
      </c>
      <c r="O82">
        <f>IF($B$1+12&gt;90,N82,(N82+IF($B$1+12&lt;=$B82,12*$B$7,-12*$B$6*(1+$B$4)^12))*IF(N82+IF($B$1+12&lt;=$B82,12*$B$7,-12*$B$6*(1+$B$4)^12)&gt;0,1+$B$3,1))</f>
        <v/>
      </c>
      <c r="P82">
        <f>IF($B$1+13&gt;90,O82,(O82+IF($B$1+13&lt;=$B82,12*$B$7,-12*$B$6*(1+$B$4)^13))*IF(O82+IF($B$1+13&lt;=$B82,12*$B$7,-12*$B$6*(1+$B$4)^13)&gt;0,1+$B$3,1))</f>
        <v/>
      </c>
      <c r="Q82">
        <f>IF($B$1+14&gt;90,P82,(P82+IF($B$1+14&lt;=$B82,12*$B$7,-12*$B$6*(1+$B$4)^14))*IF(P82+IF($B$1+14&lt;=$B82,12*$B$7,-12*$B$6*(1+$B$4)^14)&gt;0,1+$B$3,1))</f>
        <v/>
      </c>
      <c r="R82">
        <f>IF($B$1+15&gt;90,Q82,(Q82+IF($B$1+15&lt;=$B82,12*$B$7,-12*$B$6*(1+$B$4)^15))*IF(Q82+IF($B$1+15&lt;=$B82,12*$B$7,-12*$B$6*(1+$B$4)^15)&gt;0,1+$B$3,1))</f>
        <v/>
      </c>
      <c r="S82">
        <f>IF($B$1+16&gt;90,R82,(R82+IF($B$1+16&lt;=$B82,12*$B$7,-12*$B$6*(1+$B$4)^16))*IF(R82+IF($B$1+16&lt;=$B82,12*$B$7,-12*$B$6*(1+$B$4)^16)&gt;0,1+$B$3,1))</f>
        <v/>
      </c>
      <c r="T82">
        <f>IF($B$1+17&gt;90,S82,(S82+IF($B$1+17&lt;=$B82,12*$B$7,-12*$B$6*(1+$B$4)^17))*IF(S82+IF($B$1+17&lt;=$B82,12*$B$7,-12*$B$6*(1+$B$4)^17)&gt;0,1+$B$3,1))</f>
        <v/>
      </c>
      <c r="U82">
        <f>IF($B$1+18&gt;90,T82,(T82+IF($B$1+18&lt;=$B82,12*$B$7,-12*$B$6*(1+$B$4)^18))*IF(T82+IF($B$1+18&lt;=$B82,12*$B$7,-12*$B$6*(1+$B$4)^18)&gt;0,1+$B$3,1))</f>
        <v/>
      </c>
      <c r="V82">
        <f>IF($B$1+19&gt;90,U82,(U82+IF($B$1+19&lt;=$B82,12*$B$7,-12*$B$6*(1+$B$4)^19))*IF(U82+IF($B$1+19&lt;=$B82,12*$B$7,-12*$B$6*(1+$B$4)^19)&gt;0,1+$B$3,1))</f>
        <v/>
      </c>
      <c r="W82">
        <f>IF($B$1+20&gt;90,V82,(V82+IF($B$1+20&lt;=$B82,12*$B$7,-12*$B$6*(1+$B$4)^20))*IF(V82+IF($B$1+20&lt;=$B82,12*$B$7,-12*$B$6*(1+$B$4)^20)&gt;0,1+$B$3,1))</f>
        <v/>
      </c>
      <c r="X82">
        <f>IF($B$1+21&gt;90,W82,(W82+IF($B$1+21&lt;=$B82,12*$B$7,-12*$B$6*(1+$B$4)^21))*IF(W82+IF($B$1+21&lt;=$B82,12*$B$7,-12*$B$6*(1+$B$4)^21)&gt;0,1+$B$3,1))</f>
        <v/>
      </c>
      <c r="Y82">
        <f>IF($B$1+22&gt;90,X82,(X82+IF($B$1+22&lt;=$B82,12*$B$7,-12*$B$6*(1+$B$4)^22))*IF(X82+IF($B$1+22&lt;=$B82,12*$B$7,-12*$B$6*(1+$B$4)^22)&gt;0,1+$B$3,1))</f>
        <v/>
      </c>
      <c r="Z82">
        <f>IF($B$1+23&gt;90,Y82,(Y82+IF($B$1+23&lt;=$B82,12*$B$7,-12*$B$6*(1+$B$4)^23))*IF(Y82+IF($B$1+23&lt;=$B82,12*$B$7,-12*$B$6*(1+$B$4)^23)&gt;0,1+$B$3,1))</f>
        <v/>
      </c>
      <c r="AA82">
        <f>IF($B$1+24&gt;90,Z82,(Z82+IF($B$1+24&lt;=$B82,12*$B$7,-12*$B$6*(1+$B$4)^24))*IF(Z82+IF($B$1+24&lt;=$B82,12*$B$7,-12*$B$6*(1+$B$4)^24)&gt;0,1+$B$3,1))</f>
        <v/>
      </c>
      <c r="AB82">
        <f>IF($B$1+25&gt;90,AA82,(AA82+IF($B$1+25&lt;=$B82,12*$B$7,-12*$B$6*(1+$B$4)^25))*IF(AA82+IF($B$1+25&lt;=$B82,12*$B$7,-12*$B$6*(1+$B$4)^25)&gt;0,1+$B$3,1))</f>
        <v/>
      </c>
      <c r="AC82">
        <f>IF($B$1+26&gt;90,AB82,(AB82+IF($B$1+26&lt;=$B82,12*$B$7,-12*$B$6*(1+$B$4)^26))*IF(AB82+IF($B$1+26&lt;=$B82,12*$B$7,-12*$B$6*(1+$B$4)^26)&gt;0,1+$B$3,1))</f>
        <v/>
      </c>
      <c r="AD82">
        <f>IF($B$1+27&gt;90,AC82,(AC82+IF($B$1+27&lt;=$B82,12*$B$7,-12*$B$6*(1+$B$4)^27))*IF(AC82+IF($B$1+27&lt;=$B82,12*$B$7,-12*$B$6*(1+$B$4)^27)&gt;0,1+$B$3,1))</f>
        <v/>
      </c>
      <c r="AE82">
        <f>IF($B$1+28&gt;90,AD82,(AD82+IF($B$1+28&lt;=$B82,12*$B$7,-12*$B$6*(1+$B$4)^28))*IF(AD82+IF($B$1+28&lt;=$B82,12*$B$7,-12*$B$6*(1+$B$4)^28)&gt;0,1+$B$3,1))</f>
        <v/>
      </c>
      <c r="AF82">
        <f>IF($B$1+29&gt;90,AE82,(AE82+IF($B$1+29&lt;=$B82,12*$B$7,-12*$B$6*(1+$B$4)^29))*IF(AE82+IF($B$1+29&lt;=$B82,12*$B$7,-12*$B$6*(1+$B$4)^29)&gt;0,1+$B$3,1))</f>
        <v/>
      </c>
      <c r="AG82">
        <f>IF($B$1+30&gt;90,AF82,(AF82+IF($B$1+30&lt;=$B82,12*$B$7,-12*$B$6*(1+$B$4)^30))*IF(AF82+IF($B$1+30&lt;=$B82,12*$B$7,-12*$B$6*(1+$B$4)^30)&gt;0,1+$B$3,1))</f>
        <v/>
      </c>
      <c r="AH82">
        <f>IF($B$1+31&gt;90,AG82,(AG82+IF($B$1+31&lt;=$B82,12*$B$7,-12*$B$6*(1+$B$4)^31))*IF(AG82+IF($B$1+31&lt;=$B82,12*$B$7,-12*$B$6*(1+$B$4)^31)&gt;0,1+$B$3,1))</f>
        <v/>
      </c>
      <c r="AI82">
        <f>IF($B$1+32&gt;90,AH82,(AH82+IF($B$1+32&lt;=$B82,12*$B$7,-12*$B$6*(1+$B$4)^32))*IF(AH82+IF($B$1+32&lt;=$B82,12*$B$7,-12*$B$6*(1+$B$4)^32)&gt;0,1+$B$3,1))</f>
        <v/>
      </c>
      <c r="AJ82">
        <f>IF($B$1+33&gt;90,AI82,(AI82+IF($B$1+33&lt;=$B82,12*$B$7,-12*$B$6*(1+$B$4)^33))*IF(AI82+IF($B$1+33&lt;=$B82,12*$B$7,-12*$B$6*(1+$B$4)^33)&gt;0,1+$B$3,1))</f>
        <v/>
      </c>
      <c r="AK82">
        <f>IF($B$1+34&gt;90,AJ82,(AJ82+IF($B$1+34&lt;=$B82,12*$B$7,-12*$B$6*(1+$B$4)^34))*IF(AJ82+IF($B$1+34&lt;=$B82,12*$B$7,-12*$B$6*(1+$B$4)^34)&gt;0,1+$B$3,1))</f>
        <v/>
      </c>
      <c r="AL82">
        <f>IF($B$1+35&gt;90,AK82,(AK82+IF($B$1+35&lt;=$B82,12*$B$7,-12*$B$6*(1+$B$4)^35))*IF(AK82+IF($B$1+35&lt;=$B82,12*$B$7,-12*$B$6*(1+$B$4)^35)&gt;0,1+$B$3,1))</f>
        <v/>
      </c>
      <c r="AM82">
        <f>IF($B$1+36&gt;90,AL82,(AL82+IF($B$1+36&lt;=$B82,12*$B$7,-12*$B$6*(1+$B$4)^36))*IF(AL82+IF($B$1+36&lt;=$B82,12*$B$7,-12*$B$6*(1+$B$4)^36)&gt;0,1+$B$3,1))</f>
        <v/>
      </c>
      <c r="AN82">
        <f>IF($B$1+37&gt;90,AM82,(AM82+IF($B$1+37&lt;=$B82,12*$B$7,-12*$B$6*(1+$B$4)^37))*IF(AM82+IF($B$1+37&lt;=$B82,12*$B$7,-12*$B$6*(1+$B$4)^37)&gt;0,1+$B$3,1))</f>
        <v/>
      </c>
      <c r="AO82">
        <f>IF($B$1+38&gt;90,AN82,(AN82+IF($B$1+38&lt;=$B82,12*$B$7,-12*$B$6*(1+$B$4)^38))*IF(AN82+IF($B$1+38&lt;=$B82,12*$B$7,-12*$B$6*(1+$B$4)^38)&gt;0,1+$B$3,1))</f>
        <v/>
      </c>
      <c r="AP82">
        <f>IF($B$1+39&gt;90,AO82,(AO82+IF($B$1+39&lt;=$B82,12*$B$7,-12*$B$6*(1+$B$4)^39))*IF(AO82+IF($B$1+39&lt;=$B82,12*$B$7,-12*$B$6*(1+$B$4)^39)&gt;0,1+$B$3,1))</f>
        <v/>
      </c>
      <c r="AQ82">
        <f>IF($B$1+40&gt;90,AP82,(AP82+IF($B$1+40&lt;=$B82,12*$B$7,-12*$B$6*(1+$B$4)^40))*IF(AP82+IF($B$1+40&lt;=$B82,12*$B$7,-12*$B$6*(1+$B$4)^40)&gt;0,1+$B$3,1))</f>
        <v/>
      </c>
      <c r="AR82">
        <f>IF($B$1+41&gt;90,AQ82,(AQ82+IF($B$1+41&lt;=$B82,12*$B$7,-12*$B$6*(1+$B$4)^41))*IF(AQ82+IF($B$1+41&lt;=$B82,12*$B$7,-12*$B$6*(1+$B$4)^41)&gt;0,1+$B$3,1))</f>
        <v/>
      </c>
      <c r="AS82">
        <f>IF($B$1+42&gt;90,AR82,(AR82+IF($B$1+42&lt;=$B82,12*$B$7,-12*$B$6*(1+$B$4)^42))*IF(AR82+IF($B$1+42&lt;=$B82,12*$B$7,-12*$B$6*(1+$B$4)^42)&gt;0,1+$B$3,1))</f>
        <v/>
      </c>
      <c r="AT82">
        <f>IF($B$1+43&gt;90,AS82,(AS82+IF($B$1+43&lt;=$B82,12*$B$7,-12*$B$6*(1+$B$4)^43))*IF(AS82+IF($B$1+43&lt;=$B82,12*$B$7,-12*$B$6*(1+$B$4)^43)&gt;0,1+$B$3,1))</f>
        <v/>
      </c>
      <c r="AU82">
        <f>IF($B$1+44&gt;90,AT82,(AT82+IF($B$1+44&lt;=$B82,12*$B$7,-12*$B$6*(1+$B$4)^44))*IF(AT82+IF($B$1+44&lt;=$B82,12*$B$7,-12*$B$6*(1+$B$4)^44)&gt;0,1+$B$3,1))</f>
        <v/>
      </c>
      <c r="AV82">
        <f>IF($B$1+45&gt;90,AU82,(AU82+IF($B$1+45&lt;=$B82,12*$B$7,-12*$B$6*(1+$B$4)^45))*IF(AU82+IF($B$1+45&lt;=$B82,12*$B$7,-12*$B$6*(1+$B$4)^45)&gt;0,1+$B$3,1))</f>
        <v/>
      </c>
      <c r="AW82">
        <f>IF($B$1+46&gt;90,AV82,(AV82+IF($B$1+46&lt;=$B82,12*$B$7,-12*$B$6*(1+$B$4)^46))*IF(AV82+IF($B$1+46&lt;=$B82,12*$B$7,-12*$B$6*(1+$B$4)^46)&gt;0,1+$B$3,1))</f>
        <v/>
      </c>
      <c r="AX82">
        <f>IF($B$1+47&gt;90,AW82,(AW82+IF($B$1+47&lt;=$B82,12*$B$7,-12*$B$6*(1+$B$4)^47))*IF(AW82+IF($B$1+47&lt;=$B82,12*$B$7,-12*$B$6*(1+$B$4)^47)&gt;0,1+$B$3,1))</f>
        <v/>
      </c>
      <c r="AY82">
        <f>IF($B$1+48&gt;90,AX82,(AX82+IF($B$1+48&lt;=$B82,12*$B$7,-12*$B$6*(1+$B$4)^48))*IF(AX82+IF($B$1+48&lt;=$B82,12*$B$7,-12*$B$6*(1+$B$4)^48)&gt;0,1+$B$3,1))</f>
        <v/>
      </c>
      <c r="AZ82">
        <f>IF($B$1+49&gt;90,AY82,(AY82+IF($B$1+49&lt;=$B82,12*$B$7,-12*$B$6*(1+$B$4)^49))*IF(AY82+IF($B$1+49&lt;=$B82,12*$B$7,-12*$B$6*(1+$B$4)^49)&gt;0,1+$B$3,1))</f>
        <v/>
      </c>
      <c r="BA82">
        <f>IF($B$1+50&gt;90,AZ82,(AZ82+IF($B$1+50&lt;=$B82,12*$B$7,-12*$B$6*(1+$B$4)^50))*IF(AZ82+IF($B$1+50&lt;=$B82,12*$B$7,-12*$B$6*(1+$B$4)^50)&gt;0,1+$B$3,1))</f>
        <v/>
      </c>
      <c r="BB82">
        <f>IF($B$1+51&gt;90,BA82,(BA82+IF($B$1+51&lt;=$B82,12*$B$7,-12*$B$6*(1+$B$4)^51))*IF(BA82+IF($B$1+51&lt;=$B82,12*$B$7,-12*$B$6*(1+$B$4)^51)&gt;0,1+$B$3,1))</f>
        <v/>
      </c>
      <c r="BC82">
        <f>IF($B$1+52&gt;90,BB82,(BB82+IF($B$1+52&lt;=$B82,12*$B$7,-12*$B$6*(1+$B$4)^52))*IF(BB82+IF($B$1+52&lt;=$B82,12*$B$7,-12*$B$6*(1+$B$4)^52)&gt;0,1+$B$3,1))</f>
        <v/>
      </c>
      <c r="BD82">
        <f>IF($B$1+53&gt;90,BC82,(BC82+IF($B$1+53&lt;=$B82,12*$B$7,-12*$B$6*(1+$B$4)^53))*IF(BC82+IF($B$1+53&lt;=$B82,12*$B$7,-12*$B$6*(1+$B$4)^53)&gt;0,1+$B$3,1))</f>
        <v/>
      </c>
      <c r="BE82">
        <f>IF($B$1+54&gt;90,BD82,(BD82+IF($B$1+54&lt;=$B82,12*$B$7,-12*$B$6*(1+$B$4)^54))*IF(BD82+IF($B$1+54&lt;=$B82,12*$B$7,-12*$B$6*(1+$B$4)^54)&gt;0,1+$B$3,1))</f>
        <v/>
      </c>
      <c r="BF82">
        <f>IF($B$1+55&gt;90,BE82,(BE82+IF($B$1+55&lt;=$B82,12*$B$7,-12*$B$6*(1+$B$4)^55))*IF(BE82+IF($B$1+55&lt;=$B82,12*$B$7,-12*$B$6*(1+$B$4)^55)&gt;0,1+$B$3,1))</f>
        <v/>
      </c>
      <c r="BG82">
        <f>IF($B$1+56&gt;90,BF82,(BF82+IF($B$1+56&lt;=$B82,12*$B$7,-12*$B$6*(1+$B$4)^56))*IF(BF82+IF($B$1+56&lt;=$B82,12*$B$7,-12*$B$6*(1+$B$4)^56)&gt;0,1+$B$3,1))</f>
        <v/>
      </c>
      <c r="BH82">
        <f>IF($B$1+57&gt;90,BG82,(BG82+IF($B$1+57&lt;=$B82,12*$B$7,-12*$B$6*(1+$B$4)^57))*IF(BG82+IF($B$1+57&lt;=$B82,12*$B$7,-12*$B$6*(1+$B$4)^57)&gt;0,1+$B$3,1))</f>
        <v/>
      </c>
      <c r="BI82">
        <f>IF($B$1+58&gt;90,BH82,(BH82+IF($B$1+58&lt;=$B82,12*$B$7,-12*$B$6*(1+$B$4)^58))*IF(BH82+IF($B$1+58&lt;=$B82,12*$B$7,-12*$B$6*(1+$B$4)^58)&gt;0,1+$B$3,1))</f>
        <v/>
      </c>
      <c r="BJ82">
        <f>IF($B$1+59&gt;90,BI82,(BI82+IF($B$1+59&lt;=$B82,12*$B$7,-12*$B$6*(1+$B$4)^59))*IF(BI82+IF($B$1+59&lt;=$B82,12*$B$7,-12*$B$6*(1+$B$4)^59)&gt;0,1+$B$3,1))</f>
        <v/>
      </c>
      <c r="BK82">
        <f>IF($B$1+60&gt;90,BJ82,(BJ82+IF($B$1+60&lt;=$B82,12*$B$7,-12*$B$6*(1+$B$4)^60))*IF(BJ82+IF($B$1+60&lt;=$B82,12*$B$7,-12*$B$6*(1+$B$4)^60)&gt;0,1+$B$3,1))</f>
        <v/>
      </c>
      <c r="BL82">
        <f>IF($B$1+61&gt;90,BK82,(BK82+IF($B$1+61&lt;=$B82,12*$B$7,-12*$B$6*(1+$B$4)^61))*IF(BK82+IF($B$1+61&lt;=$B82,12*$B$7,-12*$B$6*(1+$B$4)^61)&gt;0,1+$B$3,1))</f>
        <v/>
      </c>
      <c r="BM82">
        <f>IF($B$1+62&gt;90,BL82,(BL82+IF($B$1+62&lt;=$B82,12*$B$7,-12*$B$6*(1+$B$4)^62))*IF(BL82+IF($B$1+62&lt;=$B82,12*$B$7,-12*$B$6*(1+$B$4)^62)&gt;0,1+$B$3,1))</f>
        <v/>
      </c>
      <c r="BN82">
        <f>IF($B$1+63&gt;90,BM82,(BM82+IF($B$1+63&lt;=$B82,12*$B$7,-12*$B$6*(1+$B$4)^63))*IF(BM82+IF($B$1+63&lt;=$B82,12*$B$7,-12*$B$6*(1+$B$4)^63)&gt;0,1+$B$3,1))</f>
        <v/>
      </c>
      <c r="BO82">
        <f>IF($B$1+64&gt;90,BN82,(BN82+IF($B$1+64&lt;=$B82,12*$B$7,-12*$B$6*(1+$B$4)^64))*IF(BN82+IF($B$1+64&lt;=$B82,12*$B$7,-12*$B$6*(1+$B$4)^64)&gt;0,1+$B$3,1))</f>
        <v/>
      </c>
      <c r="BP82">
        <f>IF($B$1+65&gt;90,BO82,(BO82+IF($B$1+65&lt;=$B82,12*$B$7,-12*$B$6*(1+$B$4)^65))*IF(BO82+IF($B$1+65&lt;=$B82,12*$B$7,-12*$B$6*(1+$B$4)^65)&gt;0,1+$B$3,1))</f>
        <v/>
      </c>
      <c r="BQ82">
        <f>IF($B$1+66&gt;90,BP82,(BP82+IF($B$1+66&lt;=$B82,12*$B$7,-12*$B$6*(1+$B$4)^66))*IF(BP82+IF($B$1+66&lt;=$B82,12*$B$7,-12*$B$6*(1+$B$4)^66)&gt;0,1+$B$3,1))</f>
        <v/>
      </c>
      <c r="BR82">
        <f>IF($B$1+67&gt;90,BQ82,(BQ82+IF($B$1+67&lt;=$B82,12*$B$7,-12*$B$6*(1+$B$4)^67))*IF(BQ82+IF($B$1+67&lt;=$B82,12*$B$7,-12*$B$6*(1+$B$4)^67)&gt;0,1+$B$3,1))</f>
        <v/>
      </c>
      <c r="BS82">
        <f>IF($B$1+68&gt;90,BR82,(BR82+IF($B$1+68&lt;=$B82,12*$B$7,-12*$B$6*(1+$B$4)^68))*IF(BR82+IF($B$1+68&lt;=$B82,12*$B$7,-12*$B$6*(1+$B$4)^68)&gt;0,1+$B$3,1))</f>
        <v/>
      </c>
      <c r="BT82">
        <f>IF($B$1+69&gt;90,BS82,(BS82+IF($B$1+69&lt;=$B82,12*$B$7,-12*$B$6*(1+$B$4)^69))*IF(BS82+IF($B$1+69&lt;=$B82,12*$B$7,-12*$B$6*(1+$B$4)^69)&gt;0,1+$B$3,1))</f>
        <v/>
      </c>
      <c r="BU82">
        <f>IF($B$1+70&gt;90,BT82,(BT82+IF($B$1+70&lt;=$B82,12*$B$7,-12*$B$6*(1+$B$4)^70))*IF(BT82+IF($B$1+70&lt;=$B82,12*$B$7,-12*$B$6*(1+$B$4)^70)&gt;0,1+$B$3,1))</f>
        <v/>
      </c>
      <c r="BV82">
        <f>BU82</f>
        <v/>
      </c>
      <c r="BW82">
        <f>IF(AND($B82&lt;=70,BV82&gt;0),$B82,999)</f>
        <v/>
      </c>
    </row>
    <row r="83">
      <c r="A83" t="n">
        <v>43</v>
      </c>
      <c r="B83">
        <f>$B$1+43</f>
        <v/>
      </c>
      <c r="C83">
        <f>$B$2</f>
        <v/>
      </c>
      <c r="D83">
        <f>IF($B$1+1&gt;90,C83,(C83+IF($B$1+1&lt;=$B83,12*$B$7,-12*$B$6*(1+$B$4)^1))*IF(C83+IF($B$1+1&lt;=$B83,12*$B$7,-12*$B$6*(1+$B$4)^1)&gt;0,1+$B$3,1))</f>
        <v/>
      </c>
      <c r="E83">
        <f>IF($B$1+2&gt;90,D83,(D83+IF($B$1+2&lt;=$B83,12*$B$7,-12*$B$6*(1+$B$4)^2))*IF(D83+IF($B$1+2&lt;=$B83,12*$B$7,-12*$B$6*(1+$B$4)^2)&gt;0,1+$B$3,1))</f>
        <v/>
      </c>
      <c r="F83">
        <f>IF($B$1+3&gt;90,E83,(E83+IF($B$1+3&lt;=$B83,12*$B$7,-12*$B$6*(1+$B$4)^3))*IF(E83+IF($B$1+3&lt;=$B83,12*$B$7,-12*$B$6*(1+$B$4)^3)&gt;0,1+$B$3,1))</f>
        <v/>
      </c>
      <c r="G83">
        <f>IF($B$1+4&gt;90,F83,(F83+IF($B$1+4&lt;=$B83,12*$B$7,-12*$B$6*(1+$B$4)^4))*IF(F83+IF($B$1+4&lt;=$B83,12*$B$7,-12*$B$6*(1+$B$4)^4)&gt;0,1+$B$3,1))</f>
        <v/>
      </c>
      <c r="H83">
        <f>IF($B$1+5&gt;90,G83,(G83+IF($B$1+5&lt;=$B83,12*$B$7,-12*$B$6*(1+$B$4)^5))*IF(G83+IF($B$1+5&lt;=$B83,12*$B$7,-12*$B$6*(1+$B$4)^5)&gt;0,1+$B$3,1))</f>
        <v/>
      </c>
      <c r="I83">
        <f>IF($B$1+6&gt;90,H83,(H83+IF($B$1+6&lt;=$B83,12*$B$7,-12*$B$6*(1+$B$4)^6))*IF(H83+IF($B$1+6&lt;=$B83,12*$B$7,-12*$B$6*(1+$B$4)^6)&gt;0,1+$B$3,1))</f>
        <v/>
      </c>
      <c r="J83">
        <f>IF($B$1+7&gt;90,I83,(I83+IF($B$1+7&lt;=$B83,12*$B$7,-12*$B$6*(1+$B$4)^7))*IF(I83+IF($B$1+7&lt;=$B83,12*$B$7,-12*$B$6*(1+$B$4)^7)&gt;0,1+$B$3,1))</f>
        <v/>
      </c>
      <c r="K83">
        <f>IF($B$1+8&gt;90,J83,(J83+IF($B$1+8&lt;=$B83,12*$B$7,-12*$B$6*(1+$B$4)^8))*IF(J83+IF($B$1+8&lt;=$B83,12*$B$7,-12*$B$6*(1+$B$4)^8)&gt;0,1+$B$3,1))</f>
        <v/>
      </c>
      <c r="L83">
        <f>IF($B$1+9&gt;90,K83,(K83+IF($B$1+9&lt;=$B83,12*$B$7,-12*$B$6*(1+$B$4)^9))*IF(K83+IF($B$1+9&lt;=$B83,12*$B$7,-12*$B$6*(1+$B$4)^9)&gt;0,1+$B$3,1))</f>
        <v/>
      </c>
      <c r="M83">
        <f>IF($B$1+10&gt;90,L83,(L83+IF($B$1+10&lt;=$B83,12*$B$7,-12*$B$6*(1+$B$4)^10))*IF(L83+IF($B$1+10&lt;=$B83,12*$B$7,-12*$B$6*(1+$B$4)^10)&gt;0,1+$B$3,1))</f>
        <v/>
      </c>
      <c r="N83">
        <f>IF($B$1+11&gt;90,M83,(M83+IF($B$1+11&lt;=$B83,12*$B$7,-12*$B$6*(1+$B$4)^11))*IF(M83+IF($B$1+11&lt;=$B83,12*$B$7,-12*$B$6*(1+$B$4)^11)&gt;0,1+$B$3,1))</f>
        <v/>
      </c>
      <c r="O83">
        <f>IF($B$1+12&gt;90,N83,(N83+IF($B$1+12&lt;=$B83,12*$B$7,-12*$B$6*(1+$B$4)^12))*IF(N83+IF($B$1+12&lt;=$B83,12*$B$7,-12*$B$6*(1+$B$4)^12)&gt;0,1+$B$3,1))</f>
        <v/>
      </c>
      <c r="P83">
        <f>IF($B$1+13&gt;90,O83,(O83+IF($B$1+13&lt;=$B83,12*$B$7,-12*$B$6*(1+$B$4)^13))*IF(O83+IF($B$1+13&lt;=$B83,12*$B$7,-12*$B$6*(1+$B$4)^13)&gt;0,1+$B$3,1))</f>
        <v/>
      </c>
      <c r="Q83">
        <f>IF($B$1+14&gt;90,P83,(P83+IF($B$1+14&lt;=$B83,12*$B$7,-12*$B$6*(1+$B$4)^14))*IF(P83+IF($B$1+14&lt;=$B83,12*$B$7,-12*$B$6*(1+$B$4)^14)&gt;0,1+$B$3,1))</f>
        <v/>
      </c>
      <c r="R83">
        <f>IF($B$1+15&gt;90,Q83,(Q83+IF($B$1+15&lt;=$B83,12*$B$7,-12*$B$6*(1+$B$4)^15))*IF(Q83+IF($B$1+15&lt;=$B83,12*$B$7,-12*$B$6*(1+$B$4)^15)&gt;0,1+$B$3,1))</f>
        <v/>
      </c>
      <c r="S83">
        <f>IF($B$1+16&gt;90,R83,(R83+IF($B$1+16&lt;=$B83,12*$B$7,-12*$B$6*(1+$B$4)^16))*IF(R83+IF($B$1+16&lt;=$B83,12*$B$7,-12*$B$6*(1+$B$4)^16)&gt;0,1+$B$3,1))</f>
        <v/>
      </c>
      <c r="T83">
        <f>IF($B$1+17&gt;90,S83,(S83+IF($B$1+17&lt;=$B83,12*$B$7,-12*$B$6*(1+$B$4)^17))*IF(S83+IF($B$1+17&lt;=$B83,12*$B$7,-12*$B$6*(1+$B$4)^17)&gt;0,1+$B$3,1))</f>
        <v/>
      </c>
      <c r="U83">
        <f>IF($B$1+18&gt;90,T83,(T83+IF($B$1+18&lt;=$B83,12*$B$7,-12*$B$6*(1+$B$4)^18))*IF(T83+IF($B$1+18&lt;=$B83,12*$B$7,-12*$B$6*(1+$B$4)^18)&gt;0,1+$B$3,1))</f>
        <v/>
      </c>
      <c r="V83">
        <f>IF($B$1+19&gt;90,U83,(U83+IF($B$1+19&lt;=$B83,12*$B$7,-12*$B$6*(1+$B$4)^19))*IF(U83+IF($B$1+19&lt;=$B83,12*$B$7,-12*$B$6*(1+$B$4)^19)&gt;0,1+$B$3,1))</f>
        <v/>
      </c>
      <c r="W83">
        <f>IF($B$1+20&gt;90,V83,(V83+IF($B$1+20&lt;=$B83,12*$B$7,-12*$B$6*(1+$B$4)^20))*IF(V83+IF($B$1+20&lt;=$B83,12*$B$7,-12*$B$6*(1+$B$4)^20)&gt;0,1+$B$3,1))</f>
        <v/>
      </c>
      <c r="X83">
        <f>IF($B$1+21&gt;90,W83,(W83+IF($B$1+21&lt;=$B83,12*$B$7,-12*$B$6*(1+$B$4)^21))*IF(W83+IF($B$1+21&lt;=$B83,12*$B$7,-12*$B$6*(1+$B$4)^21)&gt;0,1+$B$3,1))</f>
        <v/>
      </c>
      <c r="Y83">
        <f>IF($B$1+22&gt;90,X83,(X83+IF($B$1+22&lt;=$B83,12*$B$7,-12*$B$6*(1+$B$4)^22))*IF(X83+IF($B$1+22&lt;=$B83,12*$B$7,-12*$B$6*(1+$B$4)^22)&gt;0,1+$B$3,1))</f>
        <v/>
      </c>
      <c r="Z83">
        <f>IF($B$1+23&gt;90,Y83,(Y83+IF($B$1+23&lt;=$B83,12*$B$7,-12*$B$6*(1+$B$4)^23))*IF(Y83+IF($B$1+23&lt;=$B83,12*$B$7,-12*$B$6*(1+$B$4)^23)&gt;0,1+$B$3,1))</f>
        <v/>
      </c>
      <c r="AA83">
        <f>IF($B$1+24&gt;90,Z83,(Z83+IF($B$1+24&lt;=$B83,12*$B$7,-12*$B$6*(1+$B$4)^24))*IF(Z83+IF($B$1+24&lt;=$B83,12*$B$7,-12*$B$6*(1+$B$4)^24)&gt;0,1+$B$3,1))</f>
        <v/>
      </c>
      <c r="AB83">
        <f>IF($B$1+25&gt;90,AA83,(AA83+IF($B$1+25&lt;=$B83,12*$B$7,-12*$B$6*(1+$B$4)^25))*IF(AA83+IF($B$1+25&lt;=$B83,12*$B$7,-12*$B$6*(1+$B$4)^25)&gt;0,1+$B$3,1))</f>
        <v/>
      </c>
      <c r="AC83">
        <f>IF($B$1+26&gt;90,AB83,(AB83+IF($B$1+26&lt;=$B83,12*$B$7,-12*$B$6*(1+$B$4)^26))*IF(AB83+IF($B$1+26&lt;=$B83,12*$B$7,-12*$B$6*(1+$B$4)^26)&gt;0,1+$B$3,1))</f>
        <v/>
      </c>
      <c r="AD83">
        <f>IF($B$1+27&gt;90,AC83,(AC83+IF($B$1+27&lt;=$B83,12*$B$7,-12*$B$6*(1+$B$4)^27))*IF(AC83+IF($B$1+27&lt;=$B83,12*$B$7,-12*$B$6*(1+$B$4)^27)&gt;0,1+$B$3,1))</f>
        <v/>
      </c>
      <c r="AE83">
        <f>IF($B$1+28&gt;90,AD83,(AD83+IF($B$1+28&lt;=$B83,12*$B$7,-12*$B$6*(1+$B$4)^28))*IF(AD83+IF($B$1+28&lt;=$B83,12*$B$7,-12*$B$6*(1+$B$4)^28)&gt;0,1+$B$3,1))</f>
        <v/>
      </c>
      <c r="AF83">
        <f>IF($B$1+29&gt;90,AE83,(AE83+IF($B$1+29&lt;=$B83,12*$B$7,-12*$B$6*(1+$B$4)^29))*IF(AE83+IF($B$1+29&lt;=$B83,12*$B$7,-12*$B$6*(1+$B$4)^29)&gt;0,1+$B$3,1))</f>
        <v/>
      </c>
      <c r="AG83">
        <f>IF($B$1+30&gt;90,AF83,(AF83+IF($B$1+30&lt;=$B83,12*$B$7,-12*$B$6*(1+$B$4)^30))*IF(AF83+IF($B$1+30&lt;=$B83,12*$B$7,-12*$B$6*(1+$B$4)^30)&gt;0,1+$B$3,1))</f>
        <v/>
      </c>
      <c r="AH83">
        <f>IF($B$1+31&gt;90,AG83,(AG83+IF($B$1+31&lt;=$B83,12*$B$7,-12*$B$6*(1+$B$4)^31))*IF(AG83+IF($B$1+31&lt;=$B83,12*$B$7,-12*$B$6*(1+$B$4)^31)&gt;0,1+$B$3,1))</f>
        <v/>
      </c>
      <c r="AI83">
        <f>IF($B$1+32&gt;90,AH83,(AH83+IF($B$1+32&lt;=$B83,12*$B$7,-12*$B$6*(1+$B$4)^32))*IF(AH83+IF($B$1+32&lt;=$B83,12*$B$7,-12*$B$6*(1+$B$4)^32)&gt;0,1+$B$3,1))</f>
        <v/>
      </c>
      <c r="AJ83">
        <f>IF($B$1+33&gt;90,AI83,(AI83+IF($B$1+33&lt;=$B83,12*$B$7,-12*$B$6*(1+$B$4)^33))*IF(AI83+IF($B$1+33&lt;=$B83,12*$B$7,-12*$B$6*(1+$B$4)^33)&gt;0,1+$B$3,1))</f>
        <v/>
      </c>
      <c r="AK83">
        <f>IF($B$1+34&gt;90,AJ83,(AJ83+IF($B$1+34&lt;=$B83,12*$B$7,-12*$B$6*(1+$B$4)^34))*IF(AJ83+IF($B$1+34&lt;=$B83,12*$B$7,-12*$B$6*(1+$B$4)^34)&gt;0,1+$B$3,1))</f>
        <v/>
      </c>
      <c r="AL83">
        <f>IF($B$1+35&gt;90,AK83,(AK83+IF($B$1+35&lt;=$B83,12*$B$7,-12*$B$6*(1+$B$4)^35))*IF(AK83+IF($B$1+35&lt;=$B83,12*$B$7,-12*$B$6*(1+$B$4)^35)&gt;0,1+$B$3,1))</f>
        <v/>
      </c>
      <c r="AM83">
        <f>IF($B$1+36&gt;90,AL83,(AL83+IF($B$1+36&lt;=$B83,12*$B$7,-12*$B$6*(1+$B$4)^36))*IF(AL83+IF($B$1+36&lt;=$B83,12*$B$7,-12*$B$6*(1+$B$4)^36)&gt;0,1+$B$3,1))</f>
        <v/>
      </c>
      <c r="AN83">
        <f>IF($B$1+37&gt;90,AM83,(AM83+IF($B$1+37&lt;=$B83,12*$B$7,-12*$B$6*(1+$B$4)^37))*IF(AM83+IF($B$1+37&lt;=$B83,12*$B$7,-12*$B$6*(1+$B$4)^37)&gt;0,1+$B$3,1))</f>
        <v/>
      </c>
      <c r="AO83">
        <f>IF($B$1+38&gt;90,AN83,(AN83+IF($B$1+38&lt;=$B83,12*$B$7,-12*$B$6*(1+$B$4)^38))*IF(AN83+IF($B$1+38&lt;=$B83,12*$B$7,-12*$B$6*(1+$B$4)^38)&gt;0,1+$B$3,1))</f>
        <v/>
      </c>
      <c r="AP83">
        <f>IF($B$1+39&gt;90,AO83,(AO83+IF($B$1+39&lt;=$B83,12*$B$7,-12*$B$6*(1+$B$4)^39))*IF(AO83+IF($B$1+39&lt;=$B83,12*$B$7,-12*$B$6*(1+$B$4)^39)&gt;0,1+$B$3,1))</f>
        <v/>
      </c>
      <c r="AQ83">
        <f>IF($B$1+40&gt;90,AP83,(AP83+IF($B$1+40&lt;=$B83,12*$B$7,-12*$B$6*(1+$B$4)^40))*IF(AP83+IF($B$1+40&lt;=$B83,12*$B$7,-12*$B$6*(1+$B$4)^40)&gt;0,1+$B$3,1))</f>
        <v/>
      </c>
      <c r="AR83">
        <f>IF($B$1+41&gt;90,AQ83,(AQ83+IF($B$1+41&lt;=$B83,12*$B$7,-12*$B$6*(1+$B$4)^41))*IF(AQ83+IF($B$1+41&lt;=$B83,12*$B$7,-12*$B$6*(1+$B$4)^41)&gt;0,1+$B$3,1))</f>
        <v/>
      </c>
      <c r="AS83">
        <f>IF($B$1+42&gt;90,AR83,(AR83+IF($B$1+42&lt;=$B83,12*$B$7,-12*$B$6*(1+$B$4)^42))*IF(AR83+IF($B$1+42&lt;=$B83,12*$B$7,-12*$B$6*(1+$B$4)^42)&gt;0,1+$B$3,1))</f>
        <v/>
      </c>
      <c r="AT83">
        <f>IF($B$1+43&gt;90,AS83,(AS83+IF($B$1+43&lt;=$B83,12*$B$7,-12*$B$6*(1+$B$4)^43))*IF(AS83+IF($B$1+43&lt;=$B83,12*$B$7,-12*$B$6*(1+$B$4)^43)&gt;0,1+$B$3,1))</f>
        <v/>
      </c>
      <c r="AU83">
        <f>IF($B$1+44&gt;90,AT83,(AT83+IF($B$1+44&lt;=$B83,12*$B$7,-12*$B$6*(1+$B$4)^44))*IF(AT83+IF($B$1+44&lt;=$B83,12*$B$7,-12*$B$6*(1+$B$4)^44)&gt;0,1+$B$3,1))</f>
        <v/>
      </c>
      <c r="AV83">
        <f>IF($B$1+45&gt;90,AU83,(AU83+IF($B$1+45&lt;=$B83,12*$B$7,-12*$B$6*(1+$B$4)^45))*IF(AU83+IF($B$1+45&lt;=$B83,12*$B$7,-12*$B$6*(1+$B$4)^45)&gt;0,1+$B$3,1))</f>
        <v/>
      </c>
      <c r="AW83">
        <f>IF($B$1+46&gt;90,AV83,(AV83+IF($B$1+46&lt;=$B83,12*$B$7,-12*$B$6*(1+$B$4)^46))*IF(AV83+IF($B$1+46&lt;=$B83,12*$B$7,-12*$B$6*(1+$B$4)^46)&gt;0,1+$B$3,1))</f>
        <v/>
      </c>
      <c r="AX83">
        <f>IF($B$1+47&gt;90,AW83,(AW83+IF($B$1+47&lt;=$B83,12*$B$7,-12*$B$6*(1+$B$4)^47))*IF(AW83+IF($B$1+47&lt;=$B83,12*$B$7,-12*$B$6*(1+$B$4)^47)&gt;0,1+$B$3,1))</f>
        <v/>
      </c>
      <c r="AY83">
        <f>IF($B$1+48&gt;90,AX83,(AX83+IF($B$1+48&lt;=$B83,12*$B$7,-12*$B$6*(1+$B$4)^48))*IF(AX83+IF($B$1+48&lt;=$B83,12*$B$7,-12*$B$6*(1+$B$4)^48)&gt;0,1+$B$3,1))</f>
        <v/>
      </c>
      <c r="AZ83">
        <f>IF($B$1+49&gt;90,AY83,(AY83+IF($B$1+49&lt;=$B83,12*$B$7,-12*$B$6*(1+$B$4)^49))*IF(AY83+IF($B$1+49&lt;=$B83,12*$B$7,-12*$B$6*(1+$B$4)^49)&gt;0,1+$B$3,1))</f>
        <v/>
      </c>
      <c r="BA83">
        <f>IF($B$1+50&gt;90,AZ83,(AZ83+IF($B$1+50&lt;=$B83,12*$B$7,-12*$B$6*(1+$B$4)^50))*IF(AZ83+IF($B$1+50&lt;=$B83,12*$B$7,-12*$B$6*(1+$B$4)^50)&gt;0,1+$B$3,1))</f>
        <v/>
      </c>
      <c r="BB83">
        <f>IF($B$1+51&gt;90,BA83,(BA83+IF($B$1+51&lt;=$B83,12*$B$7,-12*$B$6*(1+$B$4)^51))*IF(BA83+IF($B$1+51&lt;=$B83,12*$B$7,-12*$B$6*(1+$B$4)^51)&gt;0,1+$B$3,1))</f>
        <v/>
      </c>
      <c r="BC83">
        <f>IF($B$1+52&gt;90,BB83,(BB83+IF($B$1+52&lt;=$B83,12*$B$7,-12*$B$6*(1+$B$4)^52))*IF(BB83+IF($B$1+52&lt;=$B83,12*$B$7,-12*$B$6*(1+$B$4)^52)&gt;0,1+$B$3,1))</f>
        <v/>
      </c>
      <c r="BD83">
        <f>IF($B$1+53&gt;90,BC83,(BC83+IF($B$1+53&lt;=$B83,12*$B$7,-12*$B$6*(1+$B$4)^53))*IF(BC83+IF($B$1+53&lt;=$B83,12*$B$7,-12*$B$6*(1+$B$4)^53)&gt;0,1+$B$3,1))</f>
        <v/>
      </c>
      <c r="BE83">
        <f>IF($B$1+54&gt;90,BD83,(BD83+IF($B$1+54&lt;=$B83,12*$B$7,-12*$B$6*(1+$B$4)^54))*IF(BD83+IF($B$1+54&lt;=$B83,12*$B$7,-12*$B$6*(1+$B$4)^54)&gt;0,1+$B$3,1))</f>
        <v/>
      </c>
      <c r="BF83">
        <f>IF($B$1+55&gt;90,BE83,(BE83+IF($B$1+55&lt;=$B83,12*$B$7,-12*$B$6*(1+$B$4)^55))*IF(BE83+IF($B$1+55&lt;=$B83,12*$B$7,-12*$B$6*(1+$B$4)^55)&gt;0,1+$B$3,1))</f>
        <v/>
      </c>
      <c r="BG83">
        <f>IF($B$1+56&gt;90,BF83,(BF83+IF($B$1+56&lt;=$B83,12*$B$7,-12*$B$6*(1+$B$4)^56))*IF(BF83+IF($B$1+56&lt;=$B83,12*$B$7,-12*$B$6*(1+$B$4)^56)&gt;0,1+$B$3,1))</f>
        <v/>
      </c>
      <c r="BH83">
        <f>IF($B$1+57&gt;90,BG83,(BG83+IF($B$1+57&lt;=$B83,12*$B$7,-12*$B$6*(1+$B$4)^57))*IF(BG83+IF($B$1+57&lt;=$B83,12*$B$7,-12*$B$6*(1+$B$4)^57)&gt;0,1+$B$3,1))</f>
        <v/>
      </c>
      <c r="BI83">
        <f>IF($B$1+58&gt;90,BH83,(BH83+IF($B$1+58&lt;=$B83,12*$B$7,-12*$B$6*(1+$B$4)^58))*IF(BH83+IF($B$1+58&lt;=$B83,12*$B$7,-12*$B$6*(1+$B$4)^58)&gt;0,1+$B$3,1))</f>
        <v/>
      </c>
      <c r="BJ83">
        <f>IF($B$1+59&gt;90,BI83,(BI83+IF($B$1+59&lt;=$B83,12*$B$7,-12*$B$6*(1+$B$4)^59))*IF(BI83+IF($B$1+59&lt;=$B83,12*$B$7,-12*$B$6*(1+$B$4)^59)&gt;0,1+$B$3,1))</f>
        <v/>
      </c>
      <c r="BK83">
        <f>IF($B$1+60&gt;90,BJ83,(BJ83+IF($B$1+60&lt;=$B83,12*$B$7,-12*$B$6*(1+$B$4)^60))*IF(BJ83+IF($B$1+60&lt;=$B83,12*$B$7,-12*$B$6*(1+$B$4)^60)&gt;0,1+$B$3,1))</f>
        <v/>
      </c>
      <c r="BL83">
        <f>IF($B$1+61&gt;90,BK83,(BK83+IF($B$1+61&lt;=$B83,12*$B$7,-12*$B$6*(1+$B$4)^61))*IF(BK83+IF($B$1+61&lt;=$B83,12*$B$7,-12*$B$6*(1+$B$4)^61)&gt;0,1+$B$3,1))</f>
        <v/>
      </c>
      <c r="BM83">
        <f>IF($B$1+62&gt;90,BL83,(BL83+IF($B$1+62&lt;=$B83,12*$B$7,-12*$B$6*(1+$B$4)^62))*IF(BL83+IF($B$1+62&lt;=$B83,12*$B$7,-12*$B$6*(1+$B$4)^62)&gt;0,1+$B$3,1))</f>
        <v/>
      </c>
      <c r="BN83">
        <f>IF($B$1+63&gt;90,BM83,(BM83+IF($B$1+63&lt;=$B83,12*$B$7,-12*$B$6*(1+$B$4)^63))*IF(BM83+IF($B$1+63&lt;=$B83,12*$B$7,-12*$B$6*(1+$B$4)^63)&gt;0,1+$B$3,1))</f>
        <v/>
      </c>
      <c r="BO83">
        <f>IF($B$1+64&gt;90,BN83,(BN83+IF($B$1+64&lt;=$B83,12*$B$7,-12*$B$6*(1+$B$4)^64))*IF(BN83+IF($B$1+64&lt;=$B83,12*$B$7,-12*$B$6*(1+$B$4)^64)&gt;0,1+$B$3,1))</f>
        <v/>
      </c>
      <c r="BP83">
        <f>IF($B$1+65&gt;90,BO83,(BO83+IF($B$1+65&lt;=$B83,12*$B$7,-12*$B$6*(1+$B$4)^65))*IF(BO83+IF($B$1+65&lt;=$B83,12*$B$7,-12*$B$6*(1+$B$4)^65)&gt;0,1+$B$3,1))</f>
        <v/>
      </c>
      <c r="BQ83">
        <f>IF($B$1+66&gt;90,BP83,(BP83+IF($B$1+66&lt;=$B83,12*$B$7,-12*$B$6*(1+$B$4)^66))*IF(BP83+IF($B$1+66&lt;=$B83,12*$B$7,-12*$B$6*(1+$B$4)^66)&gt;0,1+$B$3,1))</f>
        <v/>
      </c>
      <c r="BR83">
        <f>IF($B$1+67&gt;90,BQ83,(BQ83+IF($B$1+67&lt;=$B83,12*$B$7,-12*$B$6*(1+$B$4)^67))*IF(BQ83+IF($B$1+67&lt;=$B83,12*$B$7,-12*$B$6*(1+$B$4)^67)&gt;0,1+$B$3,1))</f>
        <v/>
      </c>
      <c r="BS83">
        <f>IF($B$1+68&gt;90,BR83,(BR83+IF($B$1+68&lt;=$B83,12*$B$7,-12*$B$6*(1+$B$4)^68))*IF(BR83+IF($B$1+68&lt;=$B83,12*$B$7,-12*$B$6*(1+$B$4)^68)&gt;0,1+$B$3,1))</f>
        <v/>
      </c>
      <c r="BT83">
        <f>IF($B$1+69&gt;90,BS83,(BS83+IF($B$1+69&lt;=$B83,12*$B$7,-12*$B$6*(1+$B$4)^69))*IF(BS83+IF($B$1+69&lt;=$B83,12*$B$7,-12*$B$6*(1+$B$4)^69)&gt;0,1+$B$3,1))</f>
        <v/>
      </c>
      <c r="BU83">
        <f>IF($B$1+70&gt;90,BT83,(BT83+IF($B$1+70&lt;=$B83,12*$B$7,-12*$B$6*(1+$B$4)^70))*IF(BT83+IF($B$1+70&lt;=$B83,12*$B$7,-12*$B$6*(1+$B$4)^70)&gt;0,1+$B$3,1))</f>
        <v/>
      </c>
      <c r="BV83">
        <f>BU83</f>
        <v/>
      </c>
      <c r="BW83">
        <f>IF(AND($B83&lt;=70,BV83&gt;0),$B83,999)</f>
        <v/>
      </c>
    </row>
    <row r="84">
      <c r="A84" t="n">
        <v>44</v>
      </c>
      <c r="B84">
        <f>$B$1+44</f>
        <v/>
      </c>
      <c r="C84">
        <f>$B$2</f>
        <v/>
      </c>
      <c r="D84">
        <f>IF($B$1+1&gt;90,C84,(C84+IF($B$1+1&lt;=$B84,12*$B$7,-12*$B$6*(1+$B$4)^1))*IF(C84+IF($B$1+1&lt;=$B84,12*$B$7,-12*$B$6*(1+$B$4)^1)&gt;0,1+$B$3,1))</f>
        <v/>
      </c>
      <c r="E84">
        <f>IF($B$1+2&gt;90,D84,(D84+IF($B$1+2&lt;=$B84,12*$B$7,-12*$B$6*(1+$B$4)^2))*IF(D84+IF($B$1+2&lt;=$B84,12*$B$7,-12*$B$6*(1+$B$4)^2)&gt;0,1+$B$3,1))</f>
        <v/>
      </c>
      <c r="F84">
        <f>IF($B$1+3&gt;90,E84,(E84+IF($B$1+3&lt;=$B84,12*$B$7,-12*$B$6*(1+$B$4)^3))*IF(E84+IF($B$1+3&lt;=$B84,12*$B$7,-12*$B$6*(1+$B$4)^3)&gt;0,1+$B$3,1))</f>
        <v/>
      </c>
      <c r="G84">
        <f>IF($B$1+4&gt;90,F84,(F84+IF($B$1+4&lt;=$B84,12*$B$7,-12*$B$6*(1+$B$4)^4))*IF(F84+IF($B$1+4&lt;=$B84,12*$B$7,-12*$B$6*(1+$B$4)^4)&gt;0,1+$B$3,1))</f>
        <v/>
      </c>
      <c r="H84">
        <f>IF($B$1+5&gt;90,G84,(G84+IF($B$1+5&lt;=$B84,12*$B$7,-12*$B$6*(1+$B$4)^5))*IF(G84+IF($B$1+5&lt;=$B84,12*$B$7,-12*$B$6*(1+$B$4)^5)&gt;0,1+$B$3,1))</f>
        <v/>
      </c>
      <c r="I84">
        <f>IF($B$1+6&gt;90,H84,(H84+IF($B$1+6&lt;=$B84,12*$B$7,-12*$B$6*(1+$B$4)^6))*IF(H84+IF($B$1+6&lt;=$B84,12*$B$7,-12*$B$6*(1+$B$4)^6)&gt;0,1+$B$3,1))</f>
        <v/>
      </c>
      <c r="J84">
        <f>IF($B$1+7&gt;90,I84,(I84+IF($B$1+7&lt;=$B84,12*$B$7,-12*$B$6*(1+$B$4)^7))*IF(I84+IF($B$1+7&lt;=$B84,12*$B$7,-12*$B$6*(1+$B$4)^7)&gt;0,1+$B$3,1))</f>
        <v/>
      </c>
      <c r="K84">
        <f>IF($B$1+8&gt;90,J84,(J84+IF($B$1+8&lt;=$B84,12*$B$7,-12*$B$6*(1+$B$4)^8))*IF(J84+IF($B$1+8&lt;=$B84,12*$B$7,-12*$B$6*(1+$B$4)^8)&gt;0,1+$B$3,1))</f>
        <v/>
      </c>
      <c r="L84">
        <f>IF($B$1+9&gt;90,K84,(K84+IF($B$1+9&lt;=$B84,12*$B$7,-12*$B$6*(1+$B$4)^9))*IF(K84+IF($B$1+9&lt;=$B84,12*$B$7,-12*$B$6*(1+$B$4)^9)&gt;0,1+$B$3,1))</f>
        <v/>
      </c>
      <c r="M84">
        <f>IF($B$1+10&gt;90,L84,(L84+IF($B$1+10&lt;=$B84,12*$B$7,-12*$B$6*(1+$B$4)^10))*IF(L84+IF($B$1+10&lt;=$B84,12*$B$7,-12*$B$6*(1+$B$4)^10)&gt;0,1+$B$3,1))</f>
        <v/>
      </c>
      <c r="N84">
        <f>IF($B$1+11&gt;90,M84,(M84+IF($B$1+11&lt;=$B84,12*$B$7,-12*$B$6*(1+$B$4)^11))*IF(M84+IF($B$1+11&lt;=$B84,12*$B$7,-12*$B$6*(1+$B$4)^11)&gt;0,1+$B$3,1))</f>
        <v/>
      </c>
      <c r="O84">
        <f>IF($B$1+12&gt;90,N84,(N84+IF($B$1+12&lt;=$B84,12*$B$7,-12*$B$6*(1+$B$4)^12))*IF(N84+IF($B$1+12&lt;=$B84,12*$B$7,-12*$B$6*(1+$B$4)^12)&gt;0,1+$B$3,1))</f>
        <v/>
      </c>
      <c r="P84">
        <f>IF($B$1+13&gt;90,O84,(O84+IF($B$1+13&lt;=$B84,12*$B$7,-12*$B$6*(1+$B$4)^13))*IF(O84+IF($B$1+13&lt;=$B84,12*$B$7,-12*$B$6*(1+$B$4)^13)&gt;0,1+$B$3,1))</f>
        <v/>
      </c>
      <c r="Q84">
        <f>IF($B$1+14&gt;90,P84,(P84+IF($B$1+14&lt;=$B84,12*$B$7,-12*$B$6*(1+$B$4)^14))*IF(P84+IF($B$1+14&lt;=$B84,12*$B$7,-12*$B$6*(1+$B$4)^14)&gt;0,1+$B$3,1))</f>
        <v/>
      </c>
      <c r="R84">
        <f>IF($B$1+15&gt;90,Q84,(Q84+IF($B$1+15&lt;=$B84,12*$B$7,-12*$B$6*(1+$B$4)^15))*IF(Q84+IF($B$1+15&lt;=$B84,12*$B$7,-12*$B$6*(1+$B$4)^15)&gt;0,1+$B$3,1))</f>
        <v/>
      </c>
      <c r="S84">
        <f>IF($B$1+16&gt;90,R84,(R84+IF($B$1+16&lt;=$B84,12*$B$7,-12*$B$6*(1+$B$4)^16))*IF(R84+IF($B$1+16&lt;=$B84,12*$B$7,-12*$B$6*(1+$B$4)^16)&gt;0,1+$B$3,1))</f>
        <v/>
      </c>
      <c r="T84">
        <f>IF($B$1+17&gt;90,S84,(S84+IF($B$1+17&lt;=$B84,12*$B$7,-12*$B$6*(1+$B$4)^17))*IF(S84+IF($B$1+17&lt;=$B84,12*$B$7,-12*$B$6*(1+$B$4)^17)&gt;0,1+$B$3,1))</f>
        <v/>
      </c>
      <c r="U84">
        <f>IF($B$1+18&gt;90,T84,(T84+IF($B$1+18&lt;=$B84,12*$B$7,-12*$B$6*(1+$B$4)^18))*IF(T84+IF($B$1+18&lt;=$B84,12*$B$7,-12*$B$6*(1+$B$4)^18)&gt;0,1+$B$3,1))</f>
        <v/>
      </c>
      <c r="V84">
        <f>IF($B$1+19&gt;90,U84,(U84+IF($B$1+19&lt;=$B84,12*$B$7,-12*$B$6*(1+$B$4)^19))*IF(U84+IF($B$1+19&lt;=$B84,12*$B$7,-12*$B$6*(1+$B$4)^19)&gt;0,1+$B$3,1))</f>
        <v/>
      </c>
      <c r="W84">
        <f>IF($B$1+20&gt;90,V84,(V84+IF($B$1+20&lt;=$B84,12*$B$7,-12*$B$6*(1+$B$4)^20))*IF(V84+IF($B$1+20&lt;=$B84,12*$B$7,-12*$B$6*(1+$B$4)^20)&gt;0,1+$B$3,1))</f>
        <v/>
      </c>
      <c r="X84">
        <f>IF($B$1+21&gt;90,W84,(W84+IF($B$1+21&lt;=$B84,12*$B$7,-12*$B$6*(1+$B$4)^21))*IF(W84+IF($B$1+21&lt;=$B84,12*$B$7,-12*$B$6*(1+$B$4)^21)&gt;0,1+$B$3,1))</f>
        <v/>
      </c>
      <c r="Y84">
        <f>IF($B$1+22&gt;90,X84,(X84+IF($B$1+22&lt;=$B84,12*$B$7,-12*$B$6*(1+$B$4)^22))*IF(X84+IF($B$1+22&lt;=$B84,12*$B$7,-12*$B$6*(1+$B$4)^22)&gt;0,1+$B$3,1))</f>
        <v/>
      </c>
      <c r="Z84">
        <f>IF($B$1+23&gt;90,Y84,(Y84+IF($B$1+23&lt;=$B84,12*$B$7,-12*$B$6*(1+$B$4)^23))*IF(Y84+IF($B$1+23&lt;=$B84,12*$B$7,-12*$B$6*(1+$B$4)^23)&gt;0,1+$B$3,1))</f>
        <v/>
      </c>
      <c r="AA84">
        <f>IF($B$1+24&gt;90,Z84,(Z84+IF($B$1+24&lt;=$B84,12*$B$7,-12*$B$6*(1+$B$4)^24))*IF(Z84+IF($B$1+24&lt;=$B84,12*$B$7,-12*$B$6*(1+$B$4)^24)&gt;0,1+$B$3,1))</f>
        <v/>
      </c>
      <c r="AB84">
        <f>IF($B$1+25&gt;90,AA84,(AA84+IF($B$1+25&lt;=$B84,12*$B$7,-12*$B$6*(1+$B$4)^25))*IF(AA84+IF($B$1+25&lt;=$B84,12*$B$7,-12*$B$6*(1+$B$4)^25)&gt;0,1+$B$3,1))</f>
        <v/>
      </c>
      <c r="AC84">
        <f>IF($B$1+26&gt;90,AB84,(AB84+IF($B$1+26&lt;=$B84,12*$B$7,-12*$B$6*(1+$B$4)^26))*IF(AB84+IF($B$1+26&lt;=$B84,12*$B$7,-12*$B$6*(1+$B$4)^26)&gt;0,1+$B$3,1))</f>
        <v/>
      </c>
      <c r="AD84">
        <f>IF($B$1+27&gt;90,AC84,(AC84+IF($B$1+27&lt;=$B84,12*$B$7,-12*$B$6*(1+$B$4)^27))*IF(AC84+IF($B$1+27&lt;=$B84,12*$B$7,-12*$B$6*(1+$B$4)^27)&gt;0,1+$B$3,1))</f>
        <v/>
      </c>
      <c r="AE84">
        <f>IF($B$1+28&gt;90,AD84,(AD84+IF($B$1+28&lt;=$B84,12*$B$7,-12*$B$6*(1+$B$4)^28))*IF(AD84+IF($B$1+28&lt;=$B84,12*$B$7,-12*$B$6*(1+$B$4)^28)&gt;0,1+$B$3,1))</f>
        <v/>
      </c>
      <c r="AF84">
        <f>IF($B$1+29&gt;90,AE84,(AE84+IF($B$1+29&lt;=$B84,12*$B$7,-12*$B$6*(1+$B$4)^29))*IF(AE84+IF($B$1+29&lt;=$B84,12*$B$7,-12*$B$6*(1+$B$4)^29)&gt;0,1+$B$3,1))</f>
        <v/>
      </c>
      <c r="AG84">
        <f>IF($B$1+30&gt;90,AF84,(AF84+IF($B$1+30&lt;=$B84,12*$B$7,-12*$B$6*(1+$B$4)^30))*IF(AF84+IF($B$1+30&lt;=$B84,12*$B$7,-12*$B$6*(1+$B$4)^30)&gt;0,1+$B$3,1))</f>
        <v/>
      </c>
      <c r="AH84">
        <f>IF($B$1+31&gt;90,AG84,(AG84+IF($B$1+31&lt;=$B84,12*$B$7,-12*$B$6*(1+$B$4)^31))*IF(AG84+IF($B$1+31&lt;=$B84,12*$B$7,-12*$B$6*(1+$B$4)^31)&gt;0,1+$B$3,1))</f>
        <v/>
      </c>
      <c r="AI84">
        <f>IF($B$1+32&gt;90,AH84,(AH84+IF($B$1+32&lt;=$B84,12*$B$7,-12*$B$6*(1+$B$4)^32))*IF(AH84+IF($B$1+32&lt;=$B84,12*$B$7,-12*$B$6*(1+$B$4)^32)&gt;0,1+$B$3,1))</f>
        <v/>
      </c>
      <c r="AJ84">
        <f>IF($B$1+33&gt;90,AI84,(AI84+IF($B$1+33&lt;=$B84,12*$B$7,-12*$B$6*(1+$B$4)^33))*IF(AI84+IF($B$1+33&lt;=$B84,12*$B$7,-12*$B$6*(1+$B$4)^33)&gt;0,1+$B$3,1))</f>
        <v/>
      </c>
      <c r="AK84">
        <f>IF($B$1+34&gt;90,AJ84,(AJ84+IF($B$1+34&lt;=$B84,12*$B$7,-12*$B$6*(1+$B$4)^34))*IF(AJ84+IF($B$1+34&lt;=$B84,12*$B$7,-12*$B$6*(1+$B$4)^34)&gt;0,1+$B$3,1))</f>
        <v/>
      </c>
      <c r="AL84">
        <f>IF($B$1+35&gt;90,AK84,(AK84+IF($B$1+35&lt;=$B84,12*$B$7,-12*$B$6*(1+$B$4)^35))*IF(AK84+IF($B$1+35&lt;=$B84,12*$B$7,-12*$B$6*(1+$B$4)^35)&gt;0,1+$B$3,1))</f>
        <v/>
      </c>
      <c r="AM84">
        <f>IF($B$1+36&gt;90,AL84,(AL84+IF($B$1+36&lt;=$B84,12*$B$7,-12*$B$6*(1+$B$4)^36))*IF(AL84+IF($B$1+36&lt;=$B84,12*$B$7,-12*$B$6*(1+$B$4)^36)&gt;0,1+$B$3,1))</f>
        <v/>
      </c>
      <c r="AN84">
        <f>IF($B$1+37&gt;90,AM84,(AM84+IF($B$1+37&lt;=$B84,12*$B$7,-12*$B$6*(1+$B$4)^37))*IF(AM84+IF($B$1+37&lt;=$B84,12*$B$7,-12*$B$6*(1+$B$4)^37)&gt;0,1+$B$3,1))</f>
        <v/>
      </c>
      <c r="AO84">
        <f>IF($B$1+38&gt;90,AN84,(AN84+IF($B$1+38&lt;=$B84,12*$B$7,-12*$B$6*(1+$B$4)^38))*IF(AN84+IF($B$1+38&lt;=$B84,12*$B$7,-12*$B$6*(1+$B$4)^38)&gt;0,1+$B$3,1))</f>
        <v/>
      </c>
      <c r="AP84">
        <f>IF($B$1+39&gt;90,AO84,(AO84+IF($B$1+39&lt;=$B84,12*$B$7,-12*$B$6*(1+$B$4)^39))*IF(AO84+IF($B$1+39&lt;=$B84,12*$B$7,-12*$B$6*(1+$B$4)^39)&gt;0,1+$B$3,1))</f>
        <v/>
      </c>
      <c r="AQ84">
        <f>IF($B$1+40&gt;90,AP84,(AP84+IF($B$1+40&lt;=$B84,12*$B$7,-12*$B$6*(1+$B$4)^40))*IF(AP84+IF($B$1+40&lt;=$B84,12*$B$7,-12*$B$6*(1+$B$4)^40)&gt;0,1+$B$3,1))</f>
        <v/>
      </c>
      <c r="AR84">
        <f>IF($B$1+41&gt;90,AQ84,(AQ84+IF($B$1+41&lt;=$B84,12*$B$7,-12*$B$6*(1+$B$4)^41))*IF(AQ84+IF($B$1+41&lt;=$B84,12*$B$7,-12*$B$6*(1+$B$4)^41)&gt;0,1+$B$3,1))</f>
        <v/>
      </c>
      <c r="AS84">
        <f>IF($B$1+42&gt;90,AR84,(AR84+IF($B$1+42&lt;=$B84,12*$B$7,-12*$B$6*(1+$B$4)^42))*IF(AR84+IF($B$1+42&lt;=$B84,12*$B$7,-12*$B$6*(1+$B$4)^42)&gt;0,1+$B$3,1))</f>
        <v/>
      </c>
      <c r="AT84">
        <f>IF($B$1+43&gt;90,AS84,(AS84+IF($B$1+43&lt;=$B84,12*$B$7,-12*$B$6*(1+$B$4)^43))*IF(AS84+IF($B$1+43&lt;=$B84,12*$B$7,-12*$B$6*(1+$B$4)^43)&gt;0,1+$B$3,1))</f>
        <v/>
      </c>
      <c r="AU84">
        <f>IF($B$1+44&gt;90,AT84,(AT84+IF($B$1+44&lt;=$B84,12*$B$7,-12*$B$6*(1+$B$4)^44))*IF(AT84+IF($B$1+44&lt;=$B84,12*$B$7,-12*$B$6*(1+$B$4)^44)&gt;0,1+$B$3,1))</f>
        <v/>
      </c>
      <c r="AV84">
        <f>IF($B$1+45&gt;90,AU84,(AU84+IF($B$1+45&lt;=$B84,12*$B$7,-12*$B$6*(1+$B$4)^45))*IF(AU84+IF($B$1+45&lt;=$B84,12*$B$7,-12*$B$6*(1+$B$4)^45)&gt;0,1+$B$3,1))</f>
        <v/>
      </c>
      <c r="AW84">
        <f>IF($B$1+46&gt;90,AV84,(AV84+IF($B$1+46&lt;=$B84,12*$B$7,-12*$B$6*(1+$B$4)^46))*IF(AV84+IF($B$1+46&lt;=$B84,12*$B$7,-12*$B$6*(1+$B$4)^46)&gt;0,1+$B$3,1))</f>
        <v/>
      </c>
      <c r="AX84">
        <f>IF($B$1+47&gt;90,AW84,(AW84+IF($B$1+47&lt;=$B84,12*$B$7,-12*$B$6*(1+$B$4)^47))*IF(AW84+IF($B$1+47&lt;=$B84,12*$B$7,-12*$B$6*(1+$B$4)^47)&gt;0,1+$B$3,1))</f>
        <v/>
      </c>
      <c r="AY84">
        <f>IF($B$1+48&gt;90,AX84,(AX84+IF($B$1+48&lt;=$B84,12*$B$7,-12*$B$6*(1+$B$4)^48))*IF(AX84+IF($B$1+48&lt;=$B84,12*$B$7,-12*$B$6*(1+$B$4)^48)&gt;0,1+$B$3,1))</f>
        <v/>
      </c>
      <c r="AZ84">
        <f>IF($B$1+49&gt;90,AY84,(AY84+IF($B$1+49&lt;=$B84,12*$B$7,-12*$B$6*(1+$B$4)^49))*IF(AY84+IF($B$1+49&lt;=$B84,12*$B$7,-12*$B$6*(1+$B$4)^49)&gt;0,1+$B$3,1))</f>
        <v/>
      </c>
      <c r="BA84">
        <f>IF($B$1+50&gt;90,AZ84,(AZ84+IF($B$1+50&lt;=$B84,12*$B$7,-12*$B$6*(1+$B$4)^50))*IF(AZ84+IF($B$1+50&lt;=$B84,12*$B$7,-12*$B$6*(1+$B$4)^50)&gt;0,1+$B$3,1))</f>
        <v/>
      </c>
      <c r="BB84">
        <f>IF($B$1+51&gt;90,BA84,(BA84+IF($B$1+51&lt;=$B84,12*$B$7,-12*$B$6*(1+$B$4)^51))*IF(BA84+IF($B$1+51&lt;=$B84,12*$B$7,-12*$B$6*(1+$B$4)^51)&gt;0,1+$B$3,1))</f>
        <v/>
      </c>
      <c r="BC84">
        <f>IF($B$1+52&gt;90,BB84,(BB84+IF($B$1+52&lt;=$B84,12*$B$7,-12*$B$6*(1+$B$4)^52))*IF(BB84+IF($B$1+52&lt;=$B84,12*$B$7,-12*$B$6*(1+$B$4)^52)&gt;0,1+$B$3,1))</f>
        <v/>
      </c>
      <c r="BD84">
        <f>IF($B$1+53&gt;90,BC84,(BC84+IF($B$1+53&lt;=$B84,12*$B$7,-12*$B$6*(1+$B$4)^53))*IF(BC84+IF($B$1+53&lt;=$B84,12*$B$7,-12*$B$6*(1+$B$4)^53)&gt;0,1+$B$3,1))</f>
        <v/>
      </c>
      <c r="BE84">
        <f>IF($B$1+54&gt;90,BD84,(BD84+IF($B$1+54&lt;=$B84,12*$B$7,-12*$B$6*(1+$B$4)^54))*IF(BD84+IF($B$1+54&lt;=$B84,12*$B$7,-12*$B$6*(1+$B$4)^54)&gt;0,1+$B$3,1))</f>
        <v/>
      </c>
      <c r="BF84">
        <f>IF($B$1+55&gt;90,BE84,(BE84+IF($B$1+55&lt;=$B84,12*$B$7,-12*$B$6*(1+$B$4)^55))*IF(BE84+IF($B$1+55&lt;=$B84,12*$B$7,-12*$B$6*(1+$B$4)^55)&gt;0,1+$B$3,1))</f>
        <v/>
      </c>
      <c r="BG84">
        <f>IF($B$1+56&gt;90,BF84,(BF84+IF($B$1+56&lt;=$B84,12*$B$7,-12*$B$6*(1+$B$4)^56))*IF(BF84+IF($B$1+56&lt;=$B84,12*$B$7,-12*$B$6*(1+$B$4)^56)&gt;0,1+$B$3,1))</f>
        <v/>
      </c>
      <c r="BH84">
        <f>IF($B$1+57&gt;90,BG84,(BG84+IF($B$1+57&lt;=$B84,12*$B$7,-12*$B$6*(1+$B$4)^57))*IF(BG84+IF($B$1+57&lt;=$B84,12*$B$7,-12*$B$6*(1+$B$4)^57)&gt;0,1+$B$3,1))</f>
        <v/>
      </c>
      <c r="BI84">
        <f>IF($B$1+58&gt;90,BH84,(BH84+IF($B$1+58&lt;=$B84,12*$B$7,-12*$B$6*(1+$B$4)^58))*IF(BH84+IF($B$1+58&lt;=$B84,12*$B$7,-12*$B$6*(1+$B$4)^58)&gt;0,1+$B$3,1))</f>
        <v/>
      </c>
      <c r="BJ84">
        <f>IF($B$1+59&gt;90,BI84,(BI84+IF($B$1+59&lt;=$B84,12*$B$7,-12*$B$6*(1+$B$4)^59))*IF(BI84+IF($B$1+59&lt;=$B84,12*$B$7,-12*$B$6*(1+$B$4)^59)&gt;0,1+$B$3,1))</f>
        <v/>
      </c>
      <c r="BK84">
        <f>IF($B$1+60&gt;90,BJ84,(BJ84+IF($B$1+60&lt;=$B84,12*$B$7,-12*$B$6*(1+$B$4)^60))*IF(BJ84+IF($B$1+60&lt;=$B84,12*$B$7,-12*$B$6*(1+$B$4)^60)&gt;0,1+$B$3,1))</f>
        <v/>
      </c>
      <c r="BL84">
        <f>IF($B$1+61&gt;90,BK84,(BK84+IF($B$1+61&lt;=$B84,12*$B$7,-12*$B$6*(1+$B$4)^61))*IF(BK84+IF($B$1+61&lt;=$B84,12*$B$7,-12*$B$6*(1+$B$4)^61)&gt;0,1+$B$3,1))</f>
        <v/>
      </c>
      <c r="BM84">
        <f>IF($B$1+62&gt;90,BL84,(BL84+IF($B$1+62&lt;=$B84,12*$B$7,-12*$B$6*(1+$B$4)^62))*IF(BL84+IF($B$1+62&lt;=$B84,12*$B$7,-12*$B$6*(1+$B$4)^62)&gt;0,1+$B$3,1))</f>
        <v/>
      </c>
      <c r="BN84">
        <f>IF($B$1+63&gt;90,BM84,(BM84+IF($B$1+63&lt;=$B84,12*$B$7,-12*$B$6*(1+$B$4)^63))*IF(BM84+IF($B$1+63&lt;=$B84,12*$B$7,-12*$B$6*(1+$B$4)^63)&gt;0,1+$B$3,1))</f>
        <v/>
      </c>
      <c r="BO84">
        <f>IF($B$1+64&gt;90,BN84,(BN84+IF($B$1+64&lt;=$B84,12*$B$7,-12*$B$6*(1+$B$4)^64))*IF(BN84+IF($B$1+64&lt;=$B84,12*$B$7,-12*$B$6*(1+$B$4)^64)&gt;0,1+$B$3,1))</f>
        <v/>
      </c>
      <c r="BP84">
        <f>IF($B$1+65&gt;90,BO84,(BO84+IF($B$1+65&lt;=$B84,12*$B$7,-12*$B$6*(1+$B$4)^65))*IF(BO84+IF($B$1+65&lt;=$B84,12*$B$7,-12*$B$6*(1+$B$4)^65)&gt;0,1+$B$3,1))</f>
        <v/>
      </c>
      <c r="BQ84">
        <f>IF($B$1+66&gt;90,BP84,(BP84+IF($B$1+66&lt;=$B84,12*$B$7,-12*$B$6*(1+$B$4)^66))*IF(BP84+IF($B$1+66&lt;=$B84,12*$B$7,-12*$B$6*(1+$B$4)^66)&gt;0,1+$B$3,1))</f>
        <v/>
      </c>
      <c r="BR84">
        <f>IF($B$1+67&gt;90,BQ84,(BQ84+IF($B$1+67&lt;=$B84,12*$B$7,-12*$B$6*(1+$B$4)^67))*IF(BQ84+IF($B$1+67&lt;=$B84,12*$B$7,-12*$B$6*(1+$B$4)^67)&gt;0,1+$B$3,1))</f>
        <v/>
      </c>
      <c r="BS84">
        <f>IF($B$1+68&gt;90,BR84,(BR84+IF($B$1+68&lt;=$B84,12*$B$7,-12*$B$6*(1+$B$4)^68))*IF(BR84+IF($B$1+68&lt;=$B84,12*$B$7,-12*$B$6*(1+$B$4)^68)&gt;0,1+$B$3,1))</f>
        <v/>
      </c>
      <c r="BT84">
        <f>IF($B$1+69&gt;90,BS84,(BS84+IF($B$1+69&lt;=$B84,12*$B$7,-12*$B$6*(1+$B$4)^69))*IF(BS84+IF($B$1+69&lt;=$B84,12*$B$7,-12*$B$6*(1+$B$4)^69)&gt;0,1+$B$3,1))</f>
        <v/>
      </c>
      <c r="BU84">
        <f>IF($B$1+70&gt;90,BT84,(BT84+IF($B$1+70&lt;=$B84,12*$B$7,-12*$B$6*(1+$B$4)^70))*IF(BT84+IF($B$1+70&lt;=$B84,12*$B$7,-12*$B$6*(1+$B$4)^70)&gt;0,1+$B$3,1))</f>
        <v/>
      </c>
      <c r="BV84">
        <f>BU84</f>
        <v/>
      </c>
      <c r="BW84">
        <f>IF(AND($B84&lt;=70,BV84&gt;0),$B84,999)</f>
        <v/>
      </c>
    </row>
    <row r="85">
      <c r="A85" t="n">
        <v>45</v>
      </c>
      <c r="B85">
        <f>$B$1+45</f>
        <v/>
      </c>
      <c r="C85">
        <f>$B$2</f>
        <v/>
      </c>
      <c r="D85">
        <f>IF($B$1+1&gt;90,C85,(C85+IF($B$1+1&lt;=$B85,12*$B$7,-12*$B$6*(1+$B$4)^1))*IF(C85+IF($B$1+1&lt;=$B85,12*$B$7,-12*$B$6*(1+$B$4)^1)&gt;0,1+$B$3,1))</f>
        <v/>
      </c>
      <c r="E85">
        <f>IF($B$1+2&gt;90,D85,(D85+IF($B$1+2&lt;=$B85,12*$B$7,-12*$B$6*(1+$B$4)^2))*IF(D85+IF($B$1+2&lt;=$B85,12*$B$7,-12*$B$6*(1+$B$4)^2)&gt;0,1+$B$3,1))</f>
        <v/>
      </c>
      <c r="F85">
        <f>IF($B$1+3&gt;90,E85,(E85+IF($B$1+3&lt;=$B85,12*$B$7,-12*$B$6*(1+$B$4)^3))*IF(E85+IF($B$1+3&lt;=$B85,12*$B$7,-12*$B$6*(1+$B$4)^3)&gt;0,1+$B$3,1))</f>
        <v/>
      </c>
      <c r="G85">
        <f>IF($B$1+4&gt;90,F85,(F85+IF($B$1+4&lt;=$B85,12*$B$7,-12*$B$6*(1+$B$4)^4))*IF(F85+IF($B$1+4&lt;=$B85,12*$B$7,-12*$B$6*(1+$B$4)^4)&gt;0,1+$B$3,1))</f>
        <v/>
      </c>
      <c r="H85">
        <f>IF($B$1+5&gt;90,G85,(G85+IF($B$1+5&lt;=$B85,12*$B$7,-12*$B$6*(1+$B$4)^5))*IF(G85+IF($B$1+5&lt;=$B85,12*$B$7,-12*$B$6*(1+$B$4)^5)&gt;0,1+$B$3,1))</f>
        <v/>
      </c>
      <c r="I85">
        <f>IF($B$1+6&gt;90,H85,(H85+IF($B$1+6&lt;=$B85,12*$B$7,-12*$B$6*(1+$B$4)^6))*IF(H85+IF($B$1+6&lt;=$B85,12*$B$7,-12*$B$6*(1+$B$4)^6)&gt;0,1+$B$3,1))</f>
        <v/>
      </c>
      <c r="J85">
        <f>IF($B$1+7&gt;90,I85,(I85+IF($B$1+7&lt;=$B85,12*$B$7,-12*$B$6*(1+$B$4)^7))*IF(I85+IF($B$1+7&lt;=$B85,12*$B$7,-12*$B$6*(1+$B$4)^7)&gt;0,1+$B$3,1))</f>
        <v/>
      </c>
      <c r="K85">
        <f>IF($B$1+8&gt;90,J85,(J85+IF($B$1+8&lt;=$B85,12*$B$7,-12*$B$6*(1+$B$4)^8))*IF(J85+IF($B$1+8&lt;=$B85,12*$B$7,-12*$B$6*(1+$B$4)^8)&gt;0,1+$B$3,1))</f>
        <v/>
      </c>
      <c r="L85">
        <f>IF($B$1+9&gt;90,K85,(K85+IF($B$1+9&lt;=$B85,12*$B$7,-12*$B$6*(1+$B$4)^9))*IF(K85+IF($B$1+9&lt;=$B85,12*$B$7,-12*$B$6*(1+$B$4)^9)&gt;0,1+$B$3,1))</f>
        <v/>
      </c>
      <c r="M85">
        <f>IF($B$1+10&gt;90,L85,(L85+IF($B$1+10&lt;=$B85,12*$B$7,-12*$B$6*(1+$B$4)^10))*IF(L85+IF($B$1+10&lt;=$B85,12*$B$7,-12*$B$6*(1+$B$4)^10)&gt;0,1+$B$3,1))</f>
        <v/>
      </c>
      <c r="N85">
        <f>IF($B$1+11&gt;90,M85,(M85+IF($B$1+11&lt;=$B85,12*$B$7,-12*$B$6*(1+$B$4)^11))*IF(M85+IF($B$1+11&lt;=$B85,12*$B$7,-12*$B$6*(1+$B$4)^11)&gt;0,1+$B$3,1))</f>
        <v/>
      </c>
      <c r="O85">
        <f>IF($B$1+12&gt;90,N85,(N85+IF($B$1+12&lt;=$B85,12*$B$7,-12*$B$6*(1+$B$4)^12))*IF(N85+IF($B$1+12&lt;=$B85,12*$B$7,-12*$B$6*(1+$B$4)^12)&gt;0,1+$B$3,1))</f>
        <v/>
      </c>
      <c r="P85">
        <f>IF($B$1+13&gt;90,O85,(O85+IF($B$1+13&lt;=$B85,12*$B$7,-12*$B$6*(1+$B$4)^13))*IF(O85+IF($B$1+13&lt;=$B85,12*$B$7,-12*$B$6*(1+$B$4)^13)&gt;0,1+$B$3,1))</f>
        <v/>
      </c>
      <c r="Q85">
        <f>IF($B$1+14&gt;90,P85,(P85+IF($B$1+14&lt;=$B85,12*$B$7,-12*$B$6*(1+$B$4)^14))*IF(P85+IF($B$1+14&lt;=$B85,12*$B$7,-12*$B$6*(1+$B$4)^14)&gt;0,1+$B$3,1))</f>
        <v/>
      </c>
      <c r="R85">
        <f>IF($B$1+15&gt;90,Q85,(Q85+IF($B$1+15&lt;=$B85,12*$B$7,-12*$B$6*(1+$B$4)^15))*IF(Q85+IF($B$1+15&lt;=$B85,12*$B$7,-12*$B$6*(1+$B$4)^15)&gt;0,1+$B$3,1))</f>
        <v/>
      </c>
      <c r="S85">
        <f>IF($B$1+16&gt;90,R85,(R85+IF($B$1+16&lt;=$B85,12*$B$7,-12*$B$6*(1+$B$4)^16))*IF(R85+IF($B$1+16&lt;=$B85,12*$B$7,-12*$B$6*(1+$B$4)^16)&gt;0,1+$B$3,1))</f>
        <v/>
      </c>
      <c r="T85">
        <f>IF($B$1+17&gt;90,S85,(S85+IF($B$1+17&lt;=$B85,12*$B$7,-12*$B$6*(1+$B$4)^17))*IF(S85+IF($B$1+17&lt;=$B85,12*$B$7,-12*$B$6*(1+$B$4)^17)&gt;0,1+$B$3,1))</f>
        <v/>
      </c>
      <c r="U85">
        <f>IF($B$1+18&gt;90,T85,(T85+IF($B$1+18&lt;=$B85,12*$B$7,-12*$B$6*(1+$B$4)^18))*IF(T85+IF($B$1+18&lt;=$B85,12*$B$7,-12*$B$6*(1+$B$4)^18)&gt;0,1+$B$3,1))</f>
        <v/>
      </c>
      <c r="V85">
        <f>IF($B$1+19&gt;90,U85,(U85+IF($B$1+19&lt;=$B85,12*$B$7,-12*$B$6*(1+$B$4)^19))*IF(U85+IF($B$1+19&lt;=$B85,12*$B$7,-12*$B$6*(1+$B$4)^19)&gt;0,1+$B$3,1))</f>
        <v/>
      </c>
      <c r="W85">
        <f>IF($B$1+20&gt;90,V85,(V85+IF($B$1+20&lt;=$B85,12*$B$7,-12*$B$6*(1+$B$4)^20))*IF(V85+IF($B$1+20&lt;=$B85,12*$B$7,-12*$B$6*(1+$B$4)^20)&gt;0,1+$B$3,1))</f>
        <v/>
      </c>
      <c r="X85">
        <f>IF($B$1+21&gt;90,W85,(W85+IF($B$1+21&lt;=$B85,12*$B$7,-12*$B$6*(1+$B$4)^21))*IF(W85+IF($B$1+21&lt;=$B85,12*$B$7,-12*$B$6*(1+$B$4)^21)&gt;0,1+$B$3,1))</f>
        <v/>
      </c>
      <c r="Y85">
        <f>IF($B$1+22&gt;90,X85,(X85+IF($B$1+22&lt;=$B85,12*$B$7,-12*$B$6*(1+$B$4)^22))*IF(X85+IF($B$1+22&lt;=$B85,12*$B$7,-12*$B$6*(1+$B$4)^22)&gt;0,1+$B$3,1))</f>
        <v/>
      </c>
      <c r="Z85">
        <f>IF($B$1+23&gt;90,Y85,(Y85+IF($B$1+23&lt;=$B85,12*$B$7,-12*$B$6*(1+$B$4)^23))*IF(Y85+IF($B$1+23&lt;=$B85,12*$B$7,-12*$B$6*(1+$B$4)^23)&gt;0,1+$B$3,1))</f>
        <v/>
      </c>
      <c r="AA85">
        <f>IF($B$1+24&gt;90,Z85,(Z85+IF($B$1+24&lt;=$B85,12*$B$7,-12*$B$6*(1+$B$4)^24))*IF(Z85+IF($B$1+24&lt;=$B85,12*$B$7,-12*$B$6*(1+$B$4)^24)&gt;0,1+$B$3,1))</f>
        <v/>
      </c>
      <c r="AB85">
        <f>IF($B$1+25&gt;90,AA85,(AA85+IF($B$1+25&lt;=$B85,12*$B$7,-12*$B$6*(1+$B$4)^25))*IF(AA85+IF($B$1+25&lt;=$B85,12*$B$7,-12*$B$6*(1+$B$4)^25)&gt;0,1+$B$3,1))</f>
        <v/>
      </c>
      <c r="AC85">
        <f>IF($B$1+26&gt;90,AB85,(AB85+IF($B$1+26&lt;=$B85,12*$B$7,-12*$B$6*(1+$B$4)^26))*IF(AB85+IF($B$1+26&lt;=$B85,12*$B$7,-12*$B$6*(1+$B$4)^26)&gt;0,1+$B$3,1))</f>
        <v/>
      </c>
      <c r="AD85">
        <f>IF($B$1+27&gt;90,AC85,(AC85+IF($B$1+27&lt;=$B85,12*$B$7,-12*$B$6*(1+$B$4)^27))*IF(AC85+IF($B$1+27&lt;=$B85,12*$B$7,-12*$B$6*(1+$B$4)^27)&gt;0,1+$B$3,1))</f>
        <v/>
      </c>
      <c r="AE85">
        <f>IF($B$1+28&gt;90,AD85,(AD85+IF($B$1+28&lt;=$B85,12*$B$7,-12*$B$6*(1+$B$4)^28))*IF(AD85+IF($B$1+28&lt;=$B85,12*$B$7,-12*$B$6*(1+$B$4)^28)&gt;0,1+$B$3,1))</f>
        <v/>
      </c>
      <c r="AF85">
        <f>IF($B$1+29&gt;90,AE85,(AE85+IF($B$1+29&lt;=$B85,12*$B$7,-12*$B$6*(1+$B$4)^29))*IF(AE85+IF($B$1+29&lt;=$B85,12*$B$7,-12*$B$6*(1+$B$4)^29)&gt;0,1+$B$3,1))</f>
        <v/>
      </c>
      <c r="AG85">
        <f>IF($B$1+30&gt;90,AF85,(AF85+IF($B$1+30&lt;=$B85,12*$B$7,-12*$B$6*(1+$B$4)^30))*IF(AF85+IF($B$1+30&lt;=$B85,12*$B$7,-12*$B$6*(1+$B$4)^30)&gt;0,1+$B$3,1))</f>
        <v/>
      </c>
      <c r="AH85">
        <f>IF($B$1+31&gt;90,AG85,(AG85+IF($B$1+31&lt;=$B85,12*$B$7,-12*$B$6*(1+$B$4)^31))*IF(AG85+IF($B$1+31&lt;=$B85,12*$B$7,-12*$B$6*(1+$B$4)^31)&gt;0,1+$B$3,1))</f>
        <v/>
      </c>
      <c r="AI85">
        <f>IF($B$1+32&gt;90,AH85,(AH85+IF($B$1+32&lt;=$B85,12*$B$7,-12*$B$6*(1+$B$4)^32))*IF(AH85+IF($B$1+32&lt;=$B85,12*$B$7,-12*$B$6*(1+$B$4)^32)&gt;0,1+$B$3,1))</f>
        <v/>
      </c>
      <c r="AJ85">
        <f>IF($B$1+33&gt;90,AI85,(AI85+IF($B$1+33&lt;=$B85,12*$B$7,-12*$B$6*(1+$B$4)^33))*IF(AI85+IF($B$1+33&lt;=$B85,12*$B$7,-12*$B$6*(1+$B$4)^33)&gt;0,1+$B$3,1))</f>
        <v/>
      </c>
      <c r="AK85">
        <f>IF($B$1+34&gt;90,AJ85,(AJ85+IF($B$1+34&lt;=$B85,12*$B$7,-12*$B$6*(1+$B$4)^34))*IF(AJ85+IF($B$1+34&lt;=$B85,12*$B$7,-12*$B$6*(1+$B$4)^34)&gt;0,1+$B$3,1))</f>
        <v/>
      </c>
      <c r="AL85">
        <f>IF($B$1+35&gt;90,AK85,(AK85+IF($B$1+35&lt;=$B85,12*$B$7,-12*$B$6*(1+$B$4)^35))*IF(AK85+IF($B$1+35&lt;=$B85,12*$B$7,-12*$B$6*(1+$B$4)^35)&gt;0,1+$B$3,1))</f>
        <v/>
      </c>
      <c r="AM85">
        <f>IF($B$1+36&gt;90,AL85,(AL85+IF($B$1+36&lt;=$B85,12*$B$7,-12*$B$6*(1+$B$4)^36))*IF(AL85+IF($B$1+36&lt;=$B85,12*$B$7,-12*$B$6*(1+$B$4)^36)&gt;0,1+$B$3,1))</f>
        <v/>
      </c>
      <c r="AN85">
        <f>IF($B$1+37&gt;90,AM85,(AM85+IF($B$1+37&lt;=$B85,12*$B$7,-12*$B$6*(1+$B$4)^37))*IF(AM85+IF($B$1+37&lt;=$B85,12*$B$7,-12*$B$6*(1+$B$4)^37)&gt;0,1+$B$3,1))</f>
        <v/>
      </c>
      <c r="AO85">
        <f>IF($B$1+38&gt;90,AN85,(AN85+IF($B$1+38&lt;=$B85,12*$B$7,-12*$B$6*(1+$B$4)^38))*IF(AN85+IF($B$1+38&lt;=$B85,12*$B$7,-12*$B$6*(1+$B$4)^38)&gt;0,1+$B$3,1))</f>
        <v/>
      </c>
      <c r="AP85">
        <f>IF($B$1+39&gt;90,AO85,(AO85+IF($B$1+39&lt;=$B85,12*$B$7,-12*$B$6*(1+$B$4)^39))*IF(AO85+IF($B$1+39&lt;=$B85,12*$B$7,-12*$B$6*(1+$B$4)^39)&gt;0,1+$B$3,1))</f>
        <v/>
      </c>
      <c r="AQ85">
        <f>IF($B$1+40&gt;90,AP85,(AP85+IF($B$1+40&lt;=$B85,12*$B$7,-12*$B$6*(1+$B$4)^40))*IF(AP85+IF($B$1+40&lt;=$B85,12*$B$7,-12*$B$6*(1+$B$4)^40)&gt;0,1+$B$3,1))</f>
        <v/>
      </c>
      <c r="AR85">
        <f>IF($B$1+41&gt;90,AQ85,(AQ85+IF($B$1+41&lt;=$B85,12*$B$7,-12*$B$6*(1+$B$4)^41))*IF(AQ85+IF($B$1+41&lt;=$B85,12*$B$7,-12*$B$6*(1+$B$4)^41)&gt;0,1+$B$3,1))</f>
        <v/>
      </c>
      <c r="AS85">
        <f>IF($B$1+42&gt;90,AR85,(AR85+IF($B$1+42&lt;=$B85,12*$B$7,-12*$B$6*(1+$B$4)^42))*IF(AR85+IF($B$1+42&lt;=$B85,12*$B$7,-12*$B$6*(1+$B$4)^42)&gt;0,1+$B$3,1))</f>
        <v/>
      </c>
      <c r="AT85">
        <f>IF($B$1+43&gt;90,AS85,(AS85+IF($B$1+43&lt;=$B85,12*$B$7,-12*$B$6*(1+$B$4)^43))*IF(AS85+IF($B$1+43&lt;=$B85,12*$B$7,-12*$B$6*(1+$B$4)^43)&gt;0,1+$B$3,1))</f>
        <v/>
      </c>
      <c r="AU85">
        <f>IF($B$1+44&gt;90,AT85,(AT85+IF($B$1+44&lt;=$B85,12*$B$7,-12*$B$6*(1+$B$4)^44))*IF(AT85+IF($B$1+44&lt;=$B85,12*$B$7,-12*$B$6*(1+$B$4)^44)&gt;0,1+$B$3,1))</f>
        <v/>
      </c>
      <c r="AV85">
        <f>IF($B$1+45&gt;90,AU85,(AU85+IF($B$1+45&lt;=$B85,12*$B$7,-12*$B$6*(1+$B$4)^45))*IF(AU85+IF($B$1+45&lt;=$B85,12*$B$7,-12*$B$6*(1+$B$4)^45)&gt;0,1+$B$3,1))</f>
        <v/>
      </c>
      <c r="AW85">
        <f>IF($B$1+46&gt;90,AV85,(AV85+IF($B$1+46&lt;=$B85,12*$B$7,-12*$B$6*(1+$B$4)^46))*IF(AV85+IF($B$1+46&lt;=$B85,12*$B$7,-12*$B$6*(1+$B$4)^46)&gt;0,1+$B$3,1))</f>
        <v/>
      </c>
      <c r="AX85">
        <f>IF($B$1+47&gt;90,AW85,(AW85+IF($B$1+47&lt;=$B85,12*$B$7,-12*$B$6*(1+$B$4)^47))*IF(AW85+IF($B$1+47&lt;=$B85,12*$B$7,-12*$B$6*(1+$B$4)^47)&gt;0,1+$B$3,1))</f>
        <v/>
      </c>
      <c r="AY85">
        <f>IF($B$1+48&gt;90,AX85,(AX85+IF($B$1+48&lt;=$B85,12*$B$7,-12*$B$6*(1+$B$4)^48))*IF(AX85+IF($B$1+48&lt;=$B85,12*$B$7,-12*$B$6*(1+$B$4)^48)&gt;0,1+$B$3,1))</f>
        <v/>
      </c>
      <c r="AZ85">
        <f>IF($B$1+49&gt;90,AY85,(AY85+IF($B$1+49&lt;=$B85,12*$B$7,-12*$B$6*(1+$B$4)^49))*IF(AY85+IF($B$1+49&lt;=$B85,12*$B$7,-12*$B$6*(1+$B$4)^49)&gt;0,1+$B$3,1))</f>
        <v/>
      </c>
      <c r="BA85">
        <f>IF($B$1+50&gt;90,AZ85,(AZ85+IF($B$1+50&lt;=$B85,12*$B$7,-12*$B$6*(1+$B$4)^50))*IF(AZ85+IF($B$1+50&lt;=$B85,12*$B$7,-12*$B$6*(1+$B$4)^50)&gt;0,1+$B$3,1))</f>
        <v/>
      </c>
      <c r="BB85">
        <f>IF($B$1+51&gt;90,BA85,(BA85+IF($B$1+51&lt;=$B85,12*$B$7,-12*$B$6*(1+$B$4)^51))*IF(BA85+IF($B$1+51&lt;=$B85,12*$B$7,-12*$B$6*(1+$B$4)^51)&gt;0,1+$B$3,1))</f>
        <v/>
      </c>
      <c r="BC85">
        <f>IF($B$1+52&gt;90,BB85,(BB85+IF($B$1+52&lt;=$B85,12*$B$7,-12*$B$6*(1+$B$4)^52))*IF(BB85+IF($B$1+52&lt;=$B85,12*$B$7,-12*$B$6*(1+$B$4)^52)&gt;0,1+$B$3,1))</f>
        <v/>
      </c>
      <c r="BD85">
        <f>IF($B$1+53&gt;90,BC85,(BC85+IF($B$1+53&lt;=$B85,12*$B$7,-12*$B$6*(1+$B$4)^53))*IF(BC85+IF($B$1+53&lt;=$B85,12*$B$7,-12*$B$6*(1+$B$4)^53)&gt;0,1+$B$3,1))</f>
        <v/>
      </c>
      <c r="BE85">
        <f>IF($B$1+54&gt;90,BD85,(BD85+IF($B$1+54&lt;=$B85,12*$B$7,-12*$B$6*(1+$B$4)^54))*IF(BD85+IF($B$1+54&lt;=$B85,12*$B$7,-12*$B$6*(1+$B$4)^54)&gt;0,1+$B$3,1))</f>
        <v/>
      </c>
      <c r="BF85">
        <f>IF($B$1+55&gt;90,BE85,(BE85+IF($B$1+55&lt;=$B85,12*$B$7,-12*$B$6*(1+$B$4)^55))*IF(BE85+IF($B$1+55&lt;=$B85,12*$B$7,-12*$B$6*(1+$B$4)^55)&gt;0,1+$B$3,1))</f>
        <v/>
      </c>
      <c r="BG85">
        <f>IF($B$1+56&gt;90,BF85,(BF85+IF($B$1+56&lt;=$B85,12*$B$7,-12*$B$6*(1+$B$4)^56))*IF(BF85+IF($B$1+56&lt;=$B85,12*$B$7,-12*$B$6*(1+$B$4)^56)&gt;0,1+$B$3,1))</f>
        <v/>
      </c>
      <c r="BH85">
        <f>IF($B$1+57&gt;90,BG85,(BG85+IF($B$1+57&lt;=$B85,12*$B$7,-12*$B$6*(1+$B$4)^57))*IF(BG85+IF($B$1+57&lt;=$B85,12*$B$7,-12*$B$6*(1+$B$4)^57)&gt;0,1+$B$3,1))</f>
        <v/>
      </c>
      <c r="BI85">
        <f>IF($B$1+58&gt;90,BH85,(BH85+IF($B$1+58&lt;=$B85,12*$B$7,-12*$B$6*(1+$B$4)^58))*IF(BH85+IF($B$1+58&lt;=$B85,12*$B$7,-12*$B$6*(1+$B$4)^58)&gt;0,1+$B$3,1))</f>
        <v/>
      </c>
      <c r="BJ85">
        <f>IF($B$1+59&gt;90,BI85,(BI85+IF($B$1+59&lt;=$B85,12*$B$7,-12*$B$6*(1+$B$4)^59))*IF(BI85+IF($B$1+59&lt;=$B85,12*$B$7,-12*$B$6*(1+$B$4)^59)&gt;0,1+$B$3,1))</f>
        <v/>
      </c>
      <c r="BK85">
        <f>IF($B$1+60&gt;90,BJ85,(BJ85+IF($B$1+60&lt;=$B85,12*$B$7,-12*$B$6*(1+$B$4)^60))*IF(BJ85+IF($B$1+60&lt;=$B85,12*$B$7,-12*$B$6*(1+$B$4)^60)&gt;0,1+$B$3,1))</f>
        <v/>
      </c>
      <c r="BL85">
        <f>IF($B$1+61&gt;90,BK85,(BK85+IF($B$1+61&lt;=$B85,12*$B$7,-12*$B$6*(1+$B$4)^61))*IF(BK85+IF($B$1+61&lt;=$B85,12*$B$7,-12*$B$6*(1+$B$4)^61)&gt;0,1+$B$3,1))</f>
        <v/>
      </c>
      <c r="BM85">
        <f>IF($B$1+62&gt;90,BL85,(BL85+IF($B$1+62&lt;=$B85,12*$B$7,-12*$B$6*(1+$B$4)^62))*IF(BL85+IF($B$1+62&lt;=$B85,12*$B$7,-12*$B$6*(1+$B$4)^62)&gt;0,1+$B$3,1))</f>
        <v/>
      </c>
      <c r="BN85">
        <f>IF($B$1+63&gt;90,BM85,(BM85+IF($B$1+63&lt;=$B85,12*$B$7,-12*$B$6*(1+$B$4)^63))*IF(BM85+IF($B$1+63&lt;=$B85,12*$B$7,-12*$B$6*(1+$B$4)^63)&gt;0,1+$B$3,1))</f>
        <v/>
      </c>
      <c r="BO85">
        <f>IF($B$1+64&gt;90,BN85,(BN85+IF($B$1+64&lt;=$B85,12*$B$7,-12*$B$6*(1+$B$4)^64))*IF(BN85+IF($B$1+64&lt;=$B85,12*$B$7,-12*$B$6*(1+$B$4)^64)&gt;0,1+$B$3,1))</f>
        <v/>
      </c>
      <c r="BP85">
        <f>IF($B$1+65&gt;90,BO85,(BO85+IF($B$1+65&lt;=$B85,12*$B$7,-12*$B$6*(1+$B$4)^65))*IF(BO85+IF($B$1+65&lt;=$B85,12*$B$7,-12*$B$6*(1+$B$4)^65)&gt;0,1+$B$3,1))</f>
        <v/>
      </c>
      <c r="BQ85">
        <f>IF($B$1+66&gt;90,BP85,(BP85+IF($B$1+66&lt;=$B85,12*$B$7,-12*$B$6*(1+$B$4)^66))*IF(BP85+IF($B$1+66&lt;=$B85,12*$B$7,-12*$B$6*(1+$B$4)^66)&gt;0,1+$B$3,1))</f>
        <v/>
      </c>
      <c r="BR85">
        <f>IF($B$1+67&gt;90,BQ85,(BQ85+IF($B$1+67&lt;=$B85,12*$B$7,-12*$B$6*(1+$B$4)^67))*IF(BQ85+IF($B$1+67&lt;=$B85,12*$B$7,-12*$B$6*(1+$B$4)^67)&gt;0,1+$B$3,1))</f>
        <v/>
      </c>
      <c r="BS85">
        <f>IF($B$1+68&gt;90,BR85,(BR85+IF($B$1+68&lt;=$B85,12*$B$7,-12*$B$6*(1+$B$4)^68))*IF(BR85+IF($B$1+68&lt;=$B85,12*$B$7,-12*$B$6*(1+$B$4)^68)&gt;0,1+$B$3,1))</f>
        <v/>
      </c>
      <c r="BT85">
        <f>IF($B$1+69&gt;90,BS85,(BS85+IF($B$1+69&lt;=$B85,12*$B$7,-12*$B$6*(1+$B$4)^69))*IF(BS85+IF($B$1+69&lt;=$B85,12*$B$7,-12*$B$6*(1+$B$4)^69)&gt;0,1+$B$3,1))</f>
        <v/>
      </c>
      <c r="BU85">
        <f>IF($B$1+70&gt;90,BT85,(BT85+IF($B$1+70&lt;=$B85,12*$B$7,-12*$B$6*(1+$B$4)^70))*IF(BT85+IF($B$1+70&lt;=$B85,12*$B$7,-12*$B$6*(1+$B$4)^70)&gt;0,1+$B$3,1))</f>
        <v/>
      </c>
      <c r="BV85">
        <f>BU85</f>
        <v/>
      </c>
      <c r="BW85">
        <f>IF(AND($B85&lt;=70,BV85&gt;0),$B85,999)</f>
        <v/>
      </c>
    </row>
    <row r="86">
      <c r="A86" t="n">
        <v>46</v>
      </c>
      <c r="B86">
        <f>$B$1+46</f>
        <v/>
      </c>
      <c r="C86">
        <f>$B$2</f>
        <v/>
      </c>
      <c r="D86">
        <f>IF($B$1+1&gt;90,C86,(C86+IF($B$1+1&lt;=$B86,12*$B$7,-12*$B$6*(1+$B$4)^1))*IF(C86+IF($B$1+1&lt;=$B86,12*$B$7,-12*$B$6*(1+$B$4)^1)&gt;0,1+$B$3,1))</f>
        <v/>
      </c>
      <c r="E86">
        <f>IF($B$1+2&gt;90,D86,(D86+IF($B$1+2&lt;=$B86,12*$B$7,-12*$B$6*(1+$B$4)^2))*IF(D86+IF($B$1+2&lt;=$B86,12*$B$7,-12*$B$6*(1+$B$4)^2)&gt;0,1+$B$3,1))</f>
        <v/>
      </c>
      <c r="F86">
        <f>IF($B$1+3&gt;90,E86,(E86+IF($B$1+3&lt;=$B86,12*$B$7,-12*$B$6*(1+$B$4)^3))*IF(E86+IF($B$1+3&lt;=$B86,12*$B$7,-12*$B$6*(1+$B$4)^3)&gt;0,1+$B$3,1))</f>
        <v/>
      </c>
      <c r="G86">
        <f>IF($B$1+4&gt;90,F86,(F86+IF($B$1+4&lt;=$B86,12*$B$7,-12*$B$6*(1+$B$4)^4))*IF(F86+IF($B$1+4&lt;=$B86,12*$B$7,-12*$B$6*(1+$B$4)^4)&gt;0,1+$B$3,1))</f>
        <v/>
      </c>
      <c r="H86">
        <f>IF($B$1+5&gt;90,G86,(G86+IF($B$1+5&lt;=$B86,12*$B$7,-12*$B$6*(1+$B$4)^5))*IF(G86+IF($B$1+5&lt;=$B86,12*$B$7,-12*$B$6*(1+$B$4)^5)&gt;0,1+$B$3,1))</f>
        <v/>
      </c>
      <c r="I86">
        <f>IF($B$1+6&gt;90,H86,(H86+IF($B$1+6&lt;=$B86,12*$B$7,-12*$B$6*(1+$B$4)^6))*IF(H86+IF($B$1+6&lt;=$B86,12*$B$7,-12*$B$6*(1+$B$4)^6)&gt;0,1+$B$3,1))</f>
        <v/>
      </c>
      <c r="J86">
        <f>IF($B$1+7&gt;90,I86,(I86+IF($B$1+7&lt;=$B86,12*$B$7,-12*$B$6*(1+$B$4)^7))*IF(I86+IF($B$1+7&lt;=$B86,12*$B$7,-12*$B$6*(1+$B$4)^7)&gt;0,1+$B$3,1))</f>
        <v/>
      </c>
      <c r="K86">
        <f>IF($B$1+8&gt;90,J86,(J86+IF($B$1+8&lt;=$B86,12*$B$7,-12*$B$6*(1+$B$4)^8))*IF(J86+IF($B$1+8&lt;=$B86,12*$B$7,-12*$B$6*(1+$B$4)^8)&gt;0,1+$B$3,1))</f>
        <v/>
      </c>
      <c r="L86">
        <f>IF($B$1+9&gt;90,K86,(K86+IF($B$1+9&lt;=$B86,12*$B$7,-12*$B$6*(1+$B$4)^9))*IF(K86+IF($B$1+9&lt;=$B86,12*$B$7,-12*$B$6*(1+$B$4)^9)&gt;0,1+$B$3,1))</f>
        <v/>
      </c>
      <c r="M86">
        <f>IF($B$1+10&gt;90,L86,(L86+IF($B$1+10&lt;=$B86,12*$B$7,-12*$B$6*(1+$B$4)^10))*IF(L86+IF($B$1+10&lt;=$B86,12*$B$7,-12*$B$6*(1+$B$4)^10)&gt;0,1+$B$3,1))</f>
        <v/>
      </c>
      <c r="N86">
        <f>IF($B$1+11&gt;90,M86,(M86+IF($B$1+11&lt;=$B86,12*$B$7,-12*$B$6*(1+$B$4)^11))*IF(M86+IF($B$1+11&lt;=$B86,12*$B$7,-12*$B$6*(1+$B$4)^11)&gt;0,1+$B$3,1))</f>
        <v/>
      </c>
      <c r="O86">
        <f>IF($B$1+12&gt;90,N86,(N86+IF($B$1+12&lt;=$B86,12*$B$7,-12*$B$6*(1+$B$4)^12))*IF(N86+IF($B$1+12&lt;=$B86,12*$B$7,-12*$B$6*(1+$B$4)^12)&gt;0,1+$B$3,1))</f>
        <v/>
      </c>
      <c r="P86">
        <f>IF($B$1+13&gt;90,O86,(O86+IF($B$1+13&lt;=$B86,12*$B$7,-12*$B$6*(1+$B$4)^13))*IF(O86+IF($B$1+13&lt;=$B86,12*$B$7,-12*$B$6*(1+$B$4)^13)&gt;0,1+$B$3,1))</f>
        <v/>
      </c>
      <c r="Q86">
        <f>IF($B$1+14&gt;90,P86,(P86+IF($B$1+14&lt;=$B86,12*$B$7,-12*$B$6*(1+$B$4)^14))*IF(P86+IF($B$1+14&lt;=$B86,12*$B$7,-12*$B$6*(1+$B$4)^14)&gt;0,1+$B$3,1))</f>
        <v/>
      </c>
      <c r="R86">
        <f>IF($B$1+15&gt;90,Q86,(Q86+IF($B$1+15&lt;=$B86,12*$B$7,-12*$B$6*(1+$B$4)^15))*IF(Q86+IF($B$1+15&lt;=$B86,12*$B$7,-12*$B$6*(1+$B$4)^15)&gt;0,1+$B$3,1))</f>
        <v/>
      </c>
      <c r="S86">
        <f>IF($B$1+16&gt;90,R86,(R86+IF($B$1+16&lt;=$B86,12*$B$7,-12*$B$6*(1+$B$4)^16))*IF(R86+IF($B$1+16&lt;=$B86,12*$B$7,-12*$B$6*(1+$B$4)^16)&gt;0,1+$B$3,1))</f>
        <v/>
      </c>
      <c r="T86">
        <f>IF($B$1+17&gt;90,S86,(S86+IF($B$1+17&lt;=$B86,12*$B$7,-12*$B$6*(1+$B$4)^17))*IF(S86+IF($B$1+17&lt;=$B86,12*$B$7,-12*$B$6*(1+$B$4)^17)&gt;0,1+$B$3,1))</f>
        <v/>
      </c>
      <c r="U86">
        <f>IF($B$1+18&gt;90,T86,(T86+IF($B$1+18&lt;=$B86,12*$B$7,-12*$B$6*(1+$B$4)^18))*IF(T86+IF($B$1+18&lt;=$B86,12*$B$7,-12*$B$6*(1+$B$4)^18)&gt;0,1+$B$3,1))</f>
        <v/>
      </c>
      <c r="V86">
        <f>IF($B$1+19&gt;90,U86,(U86+IF($B$1+19&lt;=$B86,12*$B$7,-12*$B$6*(1+$B$4)^19))*IF(U86+IF($B$1+19&lt;=$B86,12*$B$7,-12*$B$6*(1+$B$4)^19)&gt;0,1+$B$3,1))</f>
        <v/>
      </c>
      <c r="W86">
        <f>IF($B$1+20&gt;90,V86,(V86+IF($B$1+20&lt;=$B86,12*$B$7,-12*$B$6*(1+$B$4)^20))*IF(V86+IF($B$1+20&lt;=$B86,12*$B$7,-12*$B$6*(1+$B$4)^20)&gt;0,1+$B$3,1))</f>
        <v/>
      </c>
      <c r="X86">
        <f>IF($B$1+21&gt;90,W86,(W86+IF($B$1+21&lt;=$B86,12*$B$7,-12*$B$6*(1+$B$4)^21))*IF(W86+IF($B$1+21&lt;=$B86,12*$B$7,-12*$B$6*(1+$B$4)^21)&gt;0,1+$B$3,1))</f>
        <v/>
      </c>
      <c r="Y86">
        <f>IF($B$1+22&gt;90,X86,(X86+IF($B$1+22&lt;=$B86,12*$B$7,-12*$B$6*(1+$B$4)^22))*IF(X86+IF($B$1+22&lt;=$B86,12*$B$7,-12*$B$6*(1+$B$4)^22)&gt;0,1+$B$3,1))</f>
        <v/>
      </c>
      <c r="Z86">
        <f>IF($B$1+23&gt;90,Y86,(Y86+IF($B$1+23&lt;=$B86,12*$B$7,-12*$B$6*(1+$B$4)^23))*IF(Y86+IF($B$1+23&lt;=$B86,12*$B$7,-12*$B$6*(1+$B$4)^23)&gt;0,1+$B$3,1))</f>
        <v/>
      </c>
      <c r="AA86">
        <f>IF($B$1+24&gt;90,Z86,(Z86+IF($B$1+24&lt;=$B86,12*$B$7,-12*$B$6*(1+$B$4)^24))*IF(Z86+IF($B$1+24&lt;=$B86,12*$B$7,-12*$B$6*(1+$B$4)^24)&gt;0,1+$B$3,1))</f>
        <v/>
      </c>
      <c r="AB86">
        <f>IF($B$1+25&gt;90,AA86,(AA86+IF($B$1+25&lt;=$B86,12*$B$7,-12*$B$6*(1+$B$4)^25))*IF(AA86+IF($B$1+25&lt;=$B86,12*$B$7,-12*$B$6*(1+$B$4)^25)&gt;0,1+$B$3,1))</f>
        <v/>
      </c>
      <c r="AC86">
        <f>IF($B$1+26&gt;90,AB86,(AB86+IF($B$1+26&lt;=$B86,12*$B$7,-12*$B$6*(1+$B$4)^26))*IF(AB86+IF($B$1+26&lt;=$B86,12*$B$7,-12*$B$6*(1+$B$4)^26)&gt;0,1+$B$3,1))</f>
        <v/>
      </c>
      <c r="AD86">
        <f>IF($B$1+27&gt;90,AC86,(AC86+IF($B$1+27&lt;=$B86,12*$B$7,-12*$B$6*(1+$B$4)^27))*IF(AC86+IF($B$1+27&lt;=$B86,12*$B$7,-12*$B$6*(1+$B$4)^27)&gt;0,1+$B$3,1))</f>
        <v/>
      </c>
      <c r="AE86">
        <f>IF($B$1+28&gt;90,AD86,(AD86+IF($B$1+28&lt;=$B86,12*$B$7,-12*$B$6*(1+$B$4)^28))*IF(AD86+IF($B$1+28&lt;=$B86,12*$B$7,-12*$B$6*(1+$B$4)^28)&gt;0,1+$B$3,1))</f>
        <v/>
      </c>
      <c r="AF86">
        <f>IF($B$1+29&gt;90,AE86,(AE86+IF($B$1+29&lt;=$B86,12*$B$7,-12*$B$6*(1+$B$4)^29))*IF(AE86+IF($B$1+29&lt;=$B86,12*$B$7,-12*$B$6*(1+$B$4)^29)&gt;0,1+$B$3,1))</f>
        <v/>
      </c>
      <c r="AG86">
        <f>IF($B$1+30&gt;90,AF86,(AF86+IF($B$1+30&lt;=$B86,12*$B$7,-12*$B$6*(1+$B$4)^30))*IF(AF86+IF($B$1+30&lt;=$B86,12*$B$7,-12*$B$6*(1+$B$4)^30)&gt;0,1+$B$3,1))</f>
        <v/>
      </c>
      <c r="AH86">
        <f>IF($B$1+31&gt;90,AG86,(AG86+IF($B$1+31&lt;=$B86,12*$B$7,-12*$B$6*(1+$B$4)^31))*IF(AG86+IF($B$1+31&lt;=$B86,12*$B$7,-12*$B$6*(1+$B$4)^31)&gt;0,1+$B$3,1))</f>
        <v/>
      </c>
      <c r="AI86">
        <f>IF($B$1+32&gt;90,AH86,(AH86+IF($B$1+32&lt;=$B86,12*$B$7,-12*$B$6*(1+$B$4)^32))*IF(AH86+IF($B$1+32&lt;=$B86,12*$B$7,-12*$B$6*(1+$B$4)^32)&gt;0,1+$B$3,1))</f>
        <v/>
      </c>
      <c r="AJ86">
        <f>IF($B$1+33&gt;90,AI86,(AI86+IF($B$1+33&lt;=$B86,12*$B$7,-12*$B$6*(1+$B$4)^33))*IF(AI86+IF($B$1+33&lt;=$B86,12*$B$7,-12*$B$6*(1+$B$4)^33)&gt;0,1+$B$3,1))</f>
        <v/>
      </c>
      <c r="AK86">
        <f>IF($B$1+34&gt;90,AJ86,(AJ86+IF($B$1+34&lt;=$B86,12*$B$7,-12*$B$6*(1+$B$4)^34))*IF(AJ86+IF($B$1+34&lt;=$B86,12*$B$7,-12*$B$6*(1+$B$4)^34)&gt;0,1+$B$3,1))</f>
        <v/>
      </c>
      <c r="AL86">
        <f>IF($B$1+35&gt;90,AK86,(AK86+IF($B$1+35&lt;=$B86,12*$B$7,-12*$B$6*(1+$B$4)^35))*IF(AK86+IF($B$1+35&lt;=$B86,12*$B$7,-12*$B$6*(1+$B$4)^35)&gt;0,1+$B$3,1))</f>
        <v/>
      </c>
      <c r="AM86">
        <f>IF($B$1+36&gt;90,AL86,(AL86+IF($B$1+36&lt;=$B86,12*$B$7,-12*$B$6*(1+$B$4)^36))*IF(AL86+IF($B$1+36&lt;=$B86,12*$B$7,-12*$B$6*(1+$B$4)^36)&gt;0,1+$B$3,1))</f>
        <v/>
      </c>
      <c r="AN86">
        <f>IF($B$1+37&gt;90,AM86,(AM86+IF($B$1+37&lt;=$B86,12*$B$7,-12*$B$6*(1+$B$4)^37))*IF(AM86+IF($B$1+37&lt;=$B86,12*$B$7,-12*$B$6*(1+$B$4)^37)&gt;0,1+$B$3,1))</f>
        <v/>
      </c>
      <c r="AO86">
        <f>IF($B$1+38&gt;90,AN86,(AN86+IF($B$1+38&lt;=$B86,12*$B$7,-12*$B$6*(1+$B$4)^38))*IF(AN86+IF($B$1+38&lt;=$B86,12*$B$7,-12*$B$6*(1+$B$4)^38)&gt;0,1+$B$3,1))</f>
        <v/>
      </c>
      <c r="AP86">
        <f>IF($B$1+39&gt;90,AO86,(AO86+IF($B$1+39&lt;=$B86,12*$B$7,-12*$B$6*(1+$B$4)^39))*IF(AO86+IF($B$1+39&lt;=$B86,12*$B$7,-12*$B$6*(1+$B$4)^39)&gt;0,1+$B$3,1))</f>
        <v/>
      </c>
      <c r="AQ86">
        <f>IF($B$1+40&gt;90,AP86,(AP86+IF($B$1+40&lt;=$B86,12*$B$7,-12*$B$6*(1+$B$4)^40))*IF(AP86+IF($B$1+40&lt;=$B86,12*$B$7,-12*$B$6*(1+$B$4)^40)&gt;0,1+$B$3,1))</f>
        <v/>
      </c>
      <c r="AR86">
        <f>IF($B$1+41&gt;90,AQ86,(AQ86+IF($B$1+41&lt;=$B86,12*$B$7,-12*$B$6*(1+$B$4)^41))*IF(AQ86+IF($B$1+41&lt;=$B86,12*$B$7,-12*$B$6*(1+$B$4)^41)&gt;0,1+$B$3,1))</f>
        <v/>
      </c>
      <c r="AS86">
        <f>IF($B$1+42&gt;90,AR86,(AR86+IF($B$1+42&lt;=$B86,12*$B$7,-12*$B$6*(1+$B$4)^42))*IF(AR86+IF($B$1+42&lt;=$B86,12*$B$7,-12*$B$6*(1+$B$4)^42)&gt;0,1+$B$3,1))</f>
        <v/>
      </c>
      <c r="AT86">
        <f>IF($B$1+43&gt;90,AS86,(AS86+IF($B$1+43&lt;=$B86,12*$B$7,-12*$B$6*(1+$B$4)^43))*IF(AS86+IF($B$1+43&lt;=$B86,12*$B$7,-12*$B$6*(1+$B$4)^43)&gt;0,1+$B$3,1))</f>
        <v/>
      </c>
      <c r="AU86">
        <f>IF($B$1+44&gt;90,AT86,(AT86+IF($B$1+44&lt;=$B86,12*$B$7,-12*$B$6*(1+$B$4)^44))*IF(AT86+IF($B$1+44&lt;=$B86,12*$B$7,-12*$B$6*(1+$B$4)^44)&gt;0,1+$B$3,1))</f>
        <v/>
      </c>
      <c r="AV86">
        <f>IF($B$1+45&gt;90,AU86,(AU86+IF($B$1+45&lt;=$B86,12*$B$7,-12*$B$6*(1+$B$4)^45))*IF(AU86+IF($B$1+45&lt;=$B86,12*$B$7,-12*$B$6*(1+$B$4)^45)&gt;0,1+$B$3,1))</f>
        <v/>
      </c>
      <c r="AW86">
        <f>IF($B$1+46&gt;90,AV86,(AV86+IF($B$1+46&lt;=$B86,12*$B$7,-12*$B$6*(1+$B$4)^46))*IF(AV86+IF($B$1+46&lt;=$B86,12*$B$7,-12*$B$6*(1+$B$4)^46)&gt;0,1+$B$3,1))</f>
        <v/>
      </c>
      <c r="AX86">
        <f>IF($B$1+47&gt;90,AW86,(AW86+IF($B$1+47&lt;=$B86,12*$B$7,-12*$B$6*(1+$B$4)^47))*IF(AW86+IF($B$1+47&lt;=$B86,12*$B$7,-12*$B$6*(1+$B$4)^47)&gt;0,1+$B$3,1))</f>
        <v/>
      </c>
      <c r="AY86">
        <f>IF($B$1+48&gt;90,AX86,(AX86+IF($B$1+48&lt;=$B86,12*$B$7,-12*$B$6*(1+$B$4)^48))*IF(AX86+IF($B$1+48&lt;=$B86,12*$B$7,-12*$B$6*(1+$B$4)^48)&gt;0,1+$B$3,1))</f>
        <v/>
      </c>
      <c r="AZ86">
        <f>IF($B$1+49&gt;90,AY86,(AY86+IF($B$1+49&lt;=$B86,12*$B$7,-12*$B$6*(1+$B$4)^49))*IF(AY86+IF($B$1+49&lt;=$B86,12*$B$7,-12*$B$6*(1+$B$4)^49)&gt;0,1+$B$3,1))</f>
        <v/>
      </c>
      <c r="BA86">
        <f>IF($B$1+50&gt;90,AZ86,(AZ86+IF($B$1+50&lt;=$B86,12*$B$7,-12*$B$6*(1+$B$4)^50))*IF(AZ86+IF($B$1+50&lt;=$B86,12*$B$7,-12*$B$6*(1+$B$4)^50)&gt;0,1+$B$3,1))</f>
        <v/>
      </c>
      <c r="BB86">
        <f>IF($B$1+51&gt;90,BA86,(BA86+IF($B$1+51&lt;=$B86,12*$B$7,-12*$B$6*(1+$B$4)^51))*IF(BA86+IF($B$1+51&lt;=$B86,12*$B$7,-12*$B$6*(1+$B$4)^51)&gt;0,1+$B$3,1))</f>
        <v/>
      </c>
      <c r="BC86">
        <f>IF($B$1+52&gt;90,BB86,(BB86+IF($B$1+52&lt;=$B86,12*$B$7,-12*$B$6*(1+$B$4)^52))*IF(BB86+IF($B$1+52&lt;=$B86,12*$B$7,-12*$B$6*(1+$B$4)^52)&gt;0,1+$B$3,1))</f>
        <v/>
      </c>
      <c r="BD86">
        <f>IF($B$1+53&gt;90,BC86,(BC86+IF($B$1+53&lt;=$B86,12*$B$7,-12*$B$6*(1+$B$4)^53))*IF(BC86+IF($B$1+53&lt;=$B86,12*$B$7,-12*$B$6*(1+$B$4)^53)&gt;0,1+$B$3,1))</f>
        <v/>
      </c>
      <c r="BE86">
        <f>IF($B$1+54&gt;90,BD86,(BD86+IF($B$1+54&lt;=$B86,12*$B$7,-12*$B$6*(1+$B$4)^54))*IF(BD86+IF($B$1+54&lt;=$B86,12*$B$7,-12*$B$6*(1+$B$4)^54)&gt;0,1+$B$3,1))</f>
        <v/>
      </c>
      <c r="BF86">
        <f>IF($B$1+55&gt;90,BE86,(BE86+IF($B$1+55&lt;=$B86,12*$B$7,-12*$B$6*(1+$B$4)^55))*IF(BE86+IF($B$1+55&lt;=$B86,12*$B$7,-12*$B$6*(1+$B$4)^55)&gt;0,1+$B$3,1))</f>
        <v/>
      </c>
      <c r="BG86">
        <f>IF($B$1+56&gt;90,BF86,(BF86+IF($B$1+56&lt;=$B86,12*$B$7,-12*$B$6*(1+$B$4)^56))*IF(BF86+IF($B$1+56&lt;=$B86,12*$B$7,-12*$B$6*(1+$B$4)^56)&gt;0,1+$B$3,1))</f>
        <v/>
      </c>
      <c r="BH86">
        <f>IF($B$1+57&gt;90,BG86,(BG86+IF($B$1+57&lt;=$B86,12*$B$7,-12*$B$6*(1+$B$4)^57))*IF(BG86+IF($B$1+57&lt;=$B86,12*$B$7,-12*$B$6*(1+$B$4)^57)&gt;0,1+$B$3,1))</f>
        <v/>
      </c>
      <c r="BI86">
        <f>IF($B$1+58&gt;90,BH86,(BH86+IF($B$1+58&lt;=$B86,12*$B$7,-12*$B$6*(1+$B$4)^58))*IF(BH86+IF($B$1+58&lt;=$B86,12*$B$7,-12*$B$6*(1+$B$4)^58)&gt;0,1+$B$3,1))</f>
        <v/>
      </c>
      <c r="BJ86">
        <f>IF($B$1+59&gt;90,BI86,(BI86+IF($B$1+59&lt;=$B86,12*$B$7,-12*$B$6*(1+$B$4)^59))*IF(BI86+IF($B$1+59&lt;=$B86,12*$B$7,-12*$B$6*(1+$B$4)^59)&gt;0,1+$B$3,1))</f>
        <v/>
      </c>
      <c r="BK86">
        <f>IF($B$1+60&gt;90,BJ86,(BJ86+IF($B$1+60&lt;=$B86,12*$B$7,-12*$B$6*(1+$B$4)^60))*IF(BJ86+IF($B$1+60&lt;=$B86,12*$B$7,-12*$B$6*(1+$B$4)^60)&gt;0,1+$B$3,1))</f>
        <v/>
      </c>
      <c r="BL86">
        <f>IF($B$1+61&gt;90,BK86,(BK86+IF($B$1+61&lt;=$B86,12*$B$7,-12*$B$6*(1+$B$4)^61))*IF(BK86+IF($B$1+61&lt;=$B86,12*$B$7,-12*$B$6*(1+$B$4)^61)&gt;0,1+$B$3,1))</f>
        <v/>
      </c>
      <c r="BM86">
        <f>IF($B$1+62&gt;90,BL86,(BL86+IF($B$1+62&lt;=$B86,12*$B$7,-12*$B$6*(1+$B$4)^62))*IF(BL86+IF($B$1+62&lt;=$B86,12*$B$7,-12*$B$6*(1+$B$4)^62)&gt;0,1+$B$3,1))</f>
        <v/>
      </c>
      <c r="BN86">
        <f>IF($B$1+63&gt;90,BM86,(BM86+IF($B$1+63&lt;=$B86,12*$B$7,-12*$B$6*(1+$B$4)^63))*IF(BM86+IF($B$1+63&lt;=$B86,12*$B$7,-12*$B$6*(1+$B$4)^63)&gt;0,1+$B$3,1))</f>
        <v/>
      </c>
      <c r="BO86">
        <f>IF($B$1+64&gt;90,BN86,(BN86+IF($B$1+64&lt;=$B86,12*$B$7,-12*$B$6*(1+$B$4)^64))*IF(BN86+IF($B$1+64&lt;=$B86,12*$B$7,-12*$B$6*(1+$B$4)^64)&gt;0,1+$B$3,1))</f>
        <v/>
      </c>
      <c r="BP86">
        <f>IF($B$1+65&gt;90,BO86,(BO86+IF($B$1+65&lt;=$B86,12*$B$7,-12*$B$6*(1+$B$4)^65))*IF(BO86+IF($B$1+65&lt;=$B86,12*$B$7,-12*$B$6*(1+$B$4)^65)&gt;0,1+$B$3,1))</f>
        <v/>
      </c>
      <c r="BQ86">
        <f>IF($B$1+66&gt;90,BP86,(BP86+IF($B$1+66&lt;=$B86,12*$B$7,-12*$B$6*(1+$B$4)^66))*IF(BP86+IF($B$1+66&lt;=$B86,12*$B$7,-12*$B$6*(1+$B$4)^66)&gt;0,1+$B$3,1))</f>
        <v/>
      </c>
      <c r="BR86">
        <f>IF($B$1+67&gt;90,BQ86,(BQ86+IF($B$1+67&lt;=$B86,12*$B$7,-12*$B$6*(1+$B$4)^67))*IF(BQ86+IF($B$1+67&lt;=$B86,12*$B$7,-12*$B$6*(1+$B$4)^67)&gt;0,1+$B$3,1))</f>
        <v/>
      </c>
      <c r="BS86">
        <f>IF($B$1+68&gt;90,BR86,(BR86+IF($B$1+68&lt;=$B86,12*$B$7,-12*$B$6*(1+$B$4)^68))*IF(BR86+IF($B$1+68&lt;=$B86,12*$B$7,-12*$B$6*(1+$B$4)^68)&gt;0,1+$B$3,1))</f>
        <v/>
      </c>
      <c r="BT86">
        <f>IF($B$1+69&gt;90,BS86,(BS86+IF($B$1+69&lt;=$B86,12*$B$7,-12*$B$6*(1+$B$4)^69))*IF(BS86+IF($B$1+69&lt;=$B86,12*$B$7,-12*$B$6*(1+$B$4)^69)&gt;0,1+$B$3,1))</f>
        <v/>
      </c>
      <c r="BU86">
        <f>IF($B$1+70&gt;90,BT86,(BT86+IF($B$1+70&lt;=$B86,12*$B$7,-12*$B$6*(1+$B$4)^70))*IF(BT86+IF($B$1+70&lt;=$B86,12*$B$7,-12*$B$6*(1+$B$4)^70)&gt;0,1+$B$3,1))</f>
        <v/>
      </c>
      <c r="BV86">
        <f>BU86</f>
        <v/>
      </c>
      <c r="BW86">
        <f>IF(AND($B86&lt;=70,BV86&gt;0),$B86,999)</f>
        <v/>
      </c>
    </row>
    <row r="87">
      <c r="A87" t="n">
        <v>47</v>
      </c>
      <c r="B87">
        <f>$B$1+47</f>
        <v/>
      </c>
      <c r="C87">
        <f>$B$2</f>
        <v/>
      </c>
      <c r="D87">
        <f>IF($B$1+1&gt;90,C87,(C87+IF($B$1+1&lt;=$B87,12*$B$7,-12*$B$6*(1+$B$4)^1))*IF(C87+IF($B$1+1&lt;=$B87,12*$B$7,-12*$B$6*(1+$B$4)^1)&gt;0,1+$B$3,1))</f>
        <v/>
      </c>
      <c r="E87">
        <f>IF($B$1+2&gt;90,D87,(D87+IF($B$1+2&lt;=$B87,12*$B$7,-12*$B$6*(1+$B$4)^2))*IF(D87+IF($B$1+2&lt;=$B87,12*$B$7,-12*$B$6*(1+$B$4)^2)&gt;0,1+$B$3,1))</f>
        <v/>
      </c>
      <c r="F87">
        <f>IF($B$1+3&gt;90,E87,(E87+IF($B$1+3&lt;=$B87,12*$B$7,-12*$B$6*(1+$B$4)^3))*IF(E87+IF($B$1+3&lt;=$B87,12*$B$7,-12*$B$6*(1+$B$4)^3)&gt;0,1+$B$3,1))</f>
        <v/>
      </c>
      <c r="G87">
        <f>IF($B$1+4&gt;90,F87,(F87+IF($B$1+4&lt;=$B87,12*$B$7,-12*$B$6*(1+$B$4)^4))*IF(F87+IF($B$1+4&lt;=$B87,12*$B$7,-12*$B$6*(1+$B$4)^4)&gt;0,1+$B$3,1))</f>
        <v/>
      </c>
      <c r="H87">
        <f>IF($B$1+5&gt;90,G87,(G87+IF($B$1+5&lt;=$B87,12*$B$7,-12*$B$6*(1+$B$4)^5))*IF(G87+IF($B$1+5&lt;=$B87,12*$B$7,-12*$B$6*(1+$B$4)^5)&gt;0,1+$B$3,1))</f>
        <v/>
      </c>
      <c r="I87">
        <f>IF($B$1+6&gt;90,H87,(H87+IF($B$1+6&lt;=$B87,12*$B$7,-12*$B$6*(1+$B$4)^6))*IF(H87+IF($B$1+6&lt;=$B87,12*$B$7,-12*$B$6*(1+$B$4)^6)&gt;0,1+$B$3,1))</f>
        <v/>
      </c>
      <c r="J87">
        <f>IF($B$1+7&gt;90,I87,(I87+IF($B$1+7&lt;=$B87,12*$B$7,-12*$B$6*(1+$B$4)^7))*IF(I87+IF($B$1+7&lt;=$B87,12*$B$7,-12*$B$6*(1+$B$4)^7)&gt;0,1+$B$3,1))</f>
        <v/>
      </c>
      <c r="K87">
        <f>IF($B$1+8&gt;90,J87,(J87+IF($B$1+8&lt;=$B87,12*$B$7,-12*$B$6*(1+$B$4)^8))*IF(J87+IF($B$1+8&lt;=$B87,12*$B$7,-12*$B$6*(1+$B$4)^8)&gt;0,1+$B$3,1))</f>
        <v/>
      </c>
      <c r="L87">
        <f>IF($B$1+9&gt;90,K87,(K87+IF($B$1+9&lt;=$B87,12*$B$7,-12*$B$6*(1+$B$4)^9))*IF(K87+IF($B$1+9&lt;=$B87,12*$B$7,-12*$B$6*(1+$B$4)^9)&gt;0,1+$B$3,1))</f>
        <v/>
      </c>
      <c r="M87">
        <f>IF($B$1+10&gt;90,L87,(L87+IF($B$1+10&lt;=$B87,12*$B$7,-12*$B$6*(1+$B$4)^10))*IF(L87+IF($B$1+10&lt;=$B87,12*$B$7,-12*$B$6*(1+$B$4)^10)&gt;0,1+$B$3,1))</f>
        <v/>
      </c>
      <c r="N87">
        <f>IF($B$1+11&gt;90,M87,(M87+IF($B$1+11&lt;=$B87,12*$B$7,-12*$B$6*(1+$B$4)^11))*IF(M87+IF($B$1+11&lt;=$B87,12*$B$7,-12*$B$6*(1+$B$4)^11)&gt;0,1+$B$3,1))</f>
        <v/>
      </c>
      <c r="O87">
        <f>IF($B$1+12&gt;90,N87,(N87+IF($B$1+12&lt;=$B87,12*$B$7,-12*$B$6*(1+$B$4)^12))*IF(N87+IF($B$1+12&lt;=$B87,12*$B$7,-12*$B$6*(1+$B$4)^12)&gt;0,1+$B$3,1))</f>
        <v/>
      </c>
      <c r="P87">
        <f>IF($B$1+13&gt;90,O87,(O87+IF($B$1+13&lt;=$B87,12*$B$7,-12*$B$6*(1+$B$4)^13))*IF(O87+IF($B$1+13&lt;=$B87,12*$B$7,-12*$B$6*(1+$B$4)^13)&gt;0,1+$B$3,1))</f>
        <v/>
      </c>
      <c r="Q87">
        <f>IF($B$1+14&gt;90,P87,(P87+IF($B$1+14&lt;=$B87,12*$B$7,-12*$B$6*(1+$B$4)^14))*IF(P87+IF($B$1+14&lt;=$B87,12*$B$7,-12*$B$6*(1+$B$4)^14)&gt;0,1+$B$3,1))</f>
        <v/>
      </c>
      <c r="R87">
        <f>IF($B$1+15&gt;90,Q87,(Q87+IF($B$1+15&lt;=$B87,12*$B$7,-12*$B$6*(1+$B$4)^15))*IF(Q87+IF($B$1+15&lt;=$B87,12*$B$7,-12*$B$6*(1+$B$4)^15)&gt;0,1+$B$3,1))</f>
        <v/>
      </c>
      <c r="S87">
        <f>IF($B$1+16&gt;90,R87,(R87+IF($B$1+16&lt;=$B87,12*$B$7,-12*$B$6*(1+$B$4)^16))*IF(R87+IF($B$1+16&lt;=$B87,12*$B$7,-12*$B$6*(1+$B$4)^16)&gt;0,1+$B$3,1))</f>
        <v/>
      </c>
      <c r="T87">
        <f>IF($B$1+17&gt;90,S87,(S87+IF($B$1+17&lt;=$B87,12*$B$7,-12*$B$6*(1+$B$4)^17))*IF(S87+IF($B$1+17&lt;=$B87,12*$B$7,-12*$B$6*(1+$B$4)^17)&gt;0,1+$B$3,1))</f>
        <v/>
      </c>
      <c r="U87">
        <f>IF($B$1+18&gt;90,T87,(T87+IF($B$1+18&lt;=$B87,12*$B$7,-12*$B$6*(1+$B$4)^18))*IF(T87+IF($B$1+18&lt;=$B87,12*$B$7,-12*$B$6*(1+$B$4)^18)&gt;0,1+$B$3,1))</f>
        <v/>
      </c>
      <c r="V87">
        <f>IF($B$1+19&gt;90,U87,(U87+IF($B$1+19&lt;=$B87,12*$B$7,-12*$B$6*(1+$B$4)^19))*IF(U87+IF($B$1+19&lt;=$B87,12*$B$7,-12*$B$6*(1+$B$4)^19)&gt;0,1+$B$3,1))</f>
        <v/>
      </c>
      <c r="W87">
        <f>IF($B$1+20&gt;90,V87,(V87+IF($B$1+20&lt;=$B87,12*$B$7,-12*$B$6*(1+$B$4)^20))*IF(V87+IF($B$1+20&lt;=$B87,12*$B$7,-12*$B$6*(1+$B$4)^20)&gt;0,1+$B$3,1))</f>
        <v/>
      </c>
      <c r="X87">
        <f>IF($B$1+21&gt;90,W87,(W87+IF($B$1+21&lt;=$B87,12*$B$7,-12*$B$6*(1+$B$4)^21))*IF(W87+IF($B$1+21&lt;=$B87,12*$B$7,-12*$B$6*(1+$B$4)^21)&gt;0,1+$B$3,1))</f>
        <v/>
      </c>
      <c r="Y87">
        <f>IF($B$1+22&gt;90,X87,(X87+IF($B$1+22&lt;=$B87,12*$B$7,-12*$B$6*(1+$B$4)^22))*IF(X87+IF($B$1+22&lt;=$B87,12*$B$7,-12*$B$6*(1+$B$4)^22)&gt;0,1+$B$3,1))</f>
        <v/>
      </c>
      <c r="Z87">
        <f>IF($B$1+23&gt;90,Y87,(Y87+IF($B$1+23&lt;=$B87,12*$B$7,-12*$B$6*(1+$B$4)^23))*IF(Y87+IF($B$1+23&lt;=$B87,12*$B$7,-12*$B$6*(1+$B$4)^23)&gt;0,1+$B$3,1))</f>
        <v/>
      </c>
      <c r="AA87">
        <f>IF($B$1+24&gt;90,Z87,(Z87+IF($B$1+24&lt;=$B87,12*$B$7,-12*$B$6*(1+$B$4)^24))*IF(Z87+IF($B$1+24&lt;=$B87,12*$B$7,-12*$B$6*(1+$B$4)^24)&gt;0,1+$B$3,1))</f>
        <v/>
      </c>
      <c r="AB87">
        <f>IF($B$1+25&gt;90,AA87,(AA87+IF($B$1+25&lt;=$B87,12*$B$7,-12*$B$6*(1+$B$4)^25))*IF(AA87+IF($B$1+25&lt;=$B87,12*$B$7,-12*$B$6*(1+$B$4)^25)&gt;0,1+$B$3,1))</f>
        <v/>
      </c>
      <c r="AC87">
        <f>IF($B$1+26&gt;90,AB87,(AB87+IF($B$1+26&lt;=$B87,12*$B$7,-12*$B$6*(1+$B$4)^26))*IF(AB87+IF($B$1+26&lt;=$B87,12*$B$7,-12*$B$6*(1+$B$4)^26)&gt;0,1+$B$3,1))</f>
        <v/>
      </c>
      <c r="AD87">
        <f>IF($B$1+27&gt;90,AC87,(AC87+IF($B$1+27&lt;=$B87,12*$B$7,-12*$B$6*(1+$B$4)^27))*IF(AC87+IF($B$1+27&lt;=$B87,12*$B$7,-12*$B$6*(1+$B$4)^27)&gt;0,1+$B$3,1))</f>
        <v/>
      </c>
      <c r="AE87">
        <f>IF($B$1+28&gt;90,AD87,(AD87+IF($B$1+28&lt;=$B87,12*$B$7,-12*$B$6*(1+$B$4)^28))*IF(AD87+IF($B$1+28&lt;=$B87,12*$B$7,-12*$B$6*(1+$B$4)^28)&gt;0,1+$B$3,1))</f>
        <v/>
      </c>
      <c r="AF87">
        <f>IF($B$1+29&gt;90,AE87,(AE87+IF($B$1+29&lt;=$B87,12*$B$7,-12*$B$6*(1+$B$4)^29))*IF(AE87+IF($B$1+29&lt;=$B87,12*$B$7,-12*$B$6*(1+$B$4)^29)&gt;0,1+$B$3,1))</f>
        <v/>
      </c>
      <c r="AG87">
        <f>IF($B$1+30&gt;90,AF87,(AF87+IF($B$1+30&lt;=$B87,12*$B$7,-12*$B$6*(1+$B$4)^30))*IF(AF87+IF($B$1+30&lt;=$B87,12*$B$7,-12*$B$6*(1+$B$4)^30)&gt;0,1+$B$3,1))</f>
        <v/>
      </c>
      <c r="AH87">
        <f>IF($B$1+31&gt;90,AG87,(AG87+IF($B$1+31&lt;=$B87,12*$B$7,-12*$B$6*(1+$B$4)^31))*IF(AG87+IF($B$1+31&lt;=$B87,12*$B$7,-12*$B$6*(1+$B$4)^31)&gt;0,1+$B$3,1))</f>
        <v/>
      </c>
      <c r="AI87">
        <f>IF($B$1+32&gt;90,AH87,(AH87+IF($B$1+32&lt;=$B87,12*$B$7,-12*$B$6*(1+$B$4)^32))*IF(AH87+IF($B$1+32&lt;=$B87,12*$B$7,-12*$B$6*(1+$B$4)^32)&gt;0,1+$B$3,1))</f>
        <v/>
      </c>
      <c r="AJ87">
        <f>IF($B$1+33&gt;90,AI87,(AI87+IF($B$1+33&lt;=$B87,12*$B$7,-12*$B$6*(1+$B$4)^33))*IF(AI87+IF($B$1+33&lt;=$B87,12*$B$7,-12*$B$6*(1+$B$4)^33)&gt;0,1+$B$3,1))</f>
        <v/>
      </c>
      <c r="AK87">
        <f>IF($B$1+34&gt;90,AJ87,(AJ87+IF($B$1+34&lt;=$B87,12*$B$7,-12*$B$6*(1+$B$4)^34))*IF(AJ87+IF($B$1+34&lt;=$B87,12*$B$7,-12*$B$6*(1+$B$4)^34)&gt;0,1+$B$3,1))</f>
        <v/>
      </c>
      <c r="AL87">
        <f>IF($B$1+35&gt;90,AK87,(AK87+IF($B$1+35&lt;=$B87,12*$B$7,-12*$B$6*(1+$B$4)^35))*IF(AK87+IF($B$1+35&lt;=$B87,12*$B$7,-12*$B$6*(1+$B$4)^35)&gt;0,1+$B$3,1))</f>
        <v/>
      </c>
      <c r="AM87">
        <f>IF($B$1+36&gt;90,AL87,(AL87+IF($B$1+36&lt;=$B87,12*$B$7,-12*$B$6*(1+$B$4)^36))*IF(AL87+IF($B$1+36&lt;=$B87,12*$B$7,-12*$B$6*(1+$B$4)^36)&gt;0,1+$B$3,1))</f>
        <v/>
      </c>
      <c r="AN87">
        <f>IF($B$1+37&gt;90,AM87,(AM87+IF($B$1+37&lt;=$B87,12*$B$7,-12*$B$6*(1+$B$4)^37))*IF(AM87+IF($B$1+37&lt;=$B87,12*$B$7,-12*$B$6*(1+$B$4)^37)&gt;0,1+$B$3,1))</f>
        <v/>
      </c>
      <c r="AO87">
        <f>IF($B$1+38&gt;90,AN87,(AN87+IF($B$1+38&lt;=$B87,12*$B$7,-12*$B$6*(1+$B$4)^38))*IF(AN87+IF($B$1+38&lt;=$B87,12*$B$7,-12*$B$6*(1+$B$4)^38)&gt;0,1+$B$3,1))</f>
        <v/>
      </c>
      <c r="AP87">
        <f>IF($B$1+39&gt;90,AO87,(AO87+IF($B$1+39&lt;=$B87,12*$B$7,-12*$B$6*(1+$B$4)^39))*IF(AO87+IF($B$1+39&lt;=$B87,12*$B$7,-12*$B$6*(1+$B$4)^39)&gt;0,1+$B$3,1))</f>
        <v/>
      </c>
      <c r="AQ87">
        <f>IF($B$1+40&gt;90,AP87,(AP87+IF($B$1+40&lt;=$B87,12*$B$7,-12*$B$6*(1+$B$4)^40))*IF(AP87+IF($B$1+40&lt;=$B87,12*$B$7,-12*$B$6*(1+$B$4)^40)&gt;0,1+$B$3,1))</f>
        <v/>
      </c>
      <c r="AR87">
        <f>IF($B$1+41&gt;90,AQ87,(AQ87+IF($B$1+41&lt;=$B87,12*$B$7,-12*$B$6*(1+$B$4)^41))*IF(AQ87+IF($B$1+41&lt;=$B87,12*$B$7,-12*$B$6*(1+$B$4)^41)&gt;0,1+$B$3,1))</f>
        <v/>
      </c>
      <c r="AS87">
        <f>IF($B$1+42&gt;90,AR87,(AR87+IF($B$1+42&lt;=$B87,12*$B$7,-12*$B$6*(1+$B$4)^42))*IF(AR87+IF($B$1+42&lt;=$B87,12*$B$7,-12*$B$6*(1+$B$4)^42)&gt;0,1+$B$3,1))</f>
        <v/>
      </c>
      <c r="AT87">
        <f>IF($B$1+43&gt;90,AS87,(AS87+IF($B$1+43&lt;=$B87,12*$B$7,-12*$B$6*(1+$B$4)^43))*IF(AS87+IF($B$1+43&lt;=$B87,12*$B$7,-12*$B$6*(1+$B$4)^43)&gt;0,1+$B$3,1))</f>
        <v/>
      </c>
      <c r="AU87">
        <f>IF($B$1+44&gt;90,AT87,(AT87+IF($B$1+44&lt;=$B87,12*$B$7,-12*$B$6*(1+$B$4)^44))*IF(AT87+IF($B$1+44&lt;=$B87,12*$B$7,-12*$B$6*(1+$B$4)^44)&gt;0,1+$B$3,1))</f>
        <v/>
      </c>
      <c r="AV87">
        <f>IF($B$1+45&gt;90,AU87,(AU87+IF($B$1+45&lt;=$B87,12*$B$7,-12*$B$6*(1+$B$4)^45))*IF(AU87+IF($B$1+45&lt;=$B87,12*$B$7,-12*$B$6*(1+$B$4)^45)&gt;0,1+$B$3,1))</f>
        <v/>
      </c>
      <c r="AW87">
        <f>IF($B$1+46&gt;90,AV87,(AV87+IF($B$1+46&lt;=$B87,12*$B$7,-12*$B$6*(1+$B$4)^46))*IF(AV87+IF($B$1+46&lt;=$B87,12*$B$7,-12*$B$6*(1+$B$4)^46)&gt;0,1+$B$3,1))</f>
        <v/>
      </c>
      <c r="AX87">
        <f>IF($B$1+47&gt;90,AW87,(AW87+IF($B$1+47&lt;=$B87,12*$B$7,-12*$B$6*(1+$B$4)^47))*IF(AW87+IF($B$1+47&lt;=$B87,12*$B$7,-12*$B$6*(1+$B$4)^47)&gt;0,1+$B$3,1))</f>
        <v/>
      </c>
      <c r="AY87">
        <f>IF($B$1+48&gt;90,AX87,(AX87+IF($B$1+48&lt;=$B87,12*$B$7,-12*$B$6*(1+$B$4)^48))*IF(AX87+IF($B$1+48&lt;=$B87,12*$B$7,-12*$B$6*(1+$B$4)^48)&gt;0,1+$B$3,1))</f>
        <v/>
      </c>
      <c r="AZ87">
        <f>IF($B$1+49&gt;90,AY87,(AY87+IF($B$1+49&lt;=$B87,12*$B$7,-12*$B$6*(1+$B$4)^49))*IF(AY87+IF($B$1+49&lt;=$B87,12*$B$7,-12*$B$6*(1+$B$4)^49)&gt;0,1+$B$3,1))</f>
        <v/>
      </c>
      <c r="BA87">
        <f>IF($B$1+50&gt;90,AZ87,(AZ87+IF($B$1+50&lt;=$B87,12*$B$7,-12*$B$6*(1+$B$4)^50))*IF(AZ87+IF($B$1+50&lt;=$B87,12*$B$7,-12*$B$6*(1+$B$4)^50)&gt;0,1+$B$3,1))</f>
        <v/>
      </c>
      <c r="BB87">
        <f>IF($B$1+51&gt;90,BA87,(BA87+IF($B$1+51&lt;=$B87,12*$B$7,-12*$B$6*(1+$B$4)^51))*IF(BA87+IF($B$1+51&lt;=$B87,12*$B$7,-12*$B$6*(1+$B$4)^51)&gt;0,1+$B$3,1))</f>
        <v/>
      </c>
      <c r="BC87">
        <f>IF($B$1+52&gt;90,BB87,(BB87+IF($B$1+52&lt;=$B87,12*$B$7,-12*$B$6*(1+$B$4)^52))*IF(BB87+IF($B$1+52&lt;=$B87,12*$B$7,-12*$B$6*(1+$B$4)^52)&gt;0,1+$B$3,1))</f>
        <v/>
      </c>
      <c r="BD87">
        <f>IF($B$1+53&gt;90,BC87,(BC87+IF($B$1+53&lt;=$B87,12*$B$7,-12*$B$6*(1+$B$4)^53))*IF(BC87+IF($B$1+53&lt;=$B87,12*$B$7,-12*$B$6*(1+$B$4)^53)&gt;0,1+$B$3,1))</f>
        <v/>
      </c>
      <c r="BE87">
        <f>IF($B$1+54&gt;90,BD87,(BD87+IF($B$1+54&lt;=$B87,12*$B$7,-12*$B$6*(1+$B$4)^54))*IF(BD87+IF($B$1+54&lt;=$B87,12*$B$7,-12*$B$6*(1+$B$4)^54)&gt;0,1+$B$3,1))</f>
        <v/>
      </c>
      <c r="BF87">
        <f>IF($B$1+55&gt;90,BE87,(BE87+IF($B$1+55&lt;=$B87,12*$B$7,-12*$B$6*(1+$B$4)^55))*IF(BE87+IF($B$1+55&lt;=$B87,12*$B$7,-12*$B$6*(1+$B$4)^55)&gt;0,1+$B$3,1))</f>
        <v/>
      </c>
      <c r="BG87">
        <f>IF($B$1+56&gt;90,BF87,(BF87+IF($B$1+56&lt;=$B87,12*$B$7,-12*$B$6*(1+$B$4)^56))*IF(BF87+IF($B$1+56&lt;=$B87,12*$B$7,-12*$B$6*(1+$B$4)^56)&gt;0,1+$B$3,1))</f>
        <v/>
      </c>
      <c r="BH87">
        <f>IF($B$1+57&gt;90,BG87,(BG87+IF($B$1+57&lt;=$B87,12*$B$7,-12*$B$6*(1+$B$4)^57))*IF(BG87+IF($B$1+57&lt;=$B87,12*$B$7,-12*$B$6*(1+$B$4)^57)&gt;0,1+$B$3,1))</f>
        <v/>
      </c>
      <c r="BI87">
        <f>IF($B$1+58&gt;90,BH87,(BH87+IF($B$1+58&lt;=$B87,12*$B$7,-12*$B$6*(1+$B$4)^58))*IF(BH87+IF($B$1+58&lt;=$B87,12*$B$7,-12*$B$6*(1+$B$4)^58)&gt;0,1+$B$3,1))</f>
        <v/>
      </c>
      <c r="BJ87">
        <f>IF($B$1+59&gt;90,BI87,(BI87+IF($B$1+59&lt;=$B87,12*$B$7,-12*$B$6*(1+$B$4)^59))*IF(BI87+IF($B$1+59&lt;=$B87,12*$B$7,-12*$B$6*(1+$B$4)^59)&gt;0,1+$B$3,1))</f>
        <v/>
      </c>
      <c r="BK87">
        <f>IF($B$1+60&gt;90,BJ87,(BJ87+IF($B$1+60&lt;=$B87,12*$B$7,-12*$B$6*(1+$B$4)^60))*IF(BJ87+IF($B$1+60&lt;=$B87,12*$B$7,-12*$B$6*(1+$B$4)^60)&gt;0,1+$B$3,1))</f>
        <v/>
      </c>
      <c r="BL87">
        <f>IF($B$1+61&gt;90,BK87,(BK87+IF($B$1+61&lt;=$B87,12*$B$7,-12*$B$6*(1+$B$4)^61))*IF(BK87+IF($B$1+61&lt;=$B87,12*$B$7,-12*$B$6*(1+$B$4)^61)&gt;0,1+$B$3,1))</f>
        <v/>
      </c>
      <c r="BM87">
        <f>IF($B$1+62&gt;90,BL87,(BL87+IF($B$1+62&lt;=$B87,12*$B$7,-12*$B$6*(1+$B$4)^62))*IF(BL87+IF($B$1+62&lt;=$B87,12*$B$7,-12*$B$6*(1+$B$4)^62)&gt;0,1+$B$3,1))</f>
        <v/>
      </c>
      <c r="BN87">
        <f>IF($B$1+63&gt;90,BM87,(BM87+IF($B$1+63&lt;=$B87,12*$B$7,-12*$B$6*(1+$B$4)^63))*IF(BM87+IF($B$1+63&lt;=$B87,12*$B$7,-12*$B$6*(1+$B$4)^63)&gt;0,1+$B$3,1))</f>
        <v/>
      </c>
      <c r="BO87">
        <f>IF($B$1+64&gt;90,BN87,(BN87+IF($B$1+64&lt;=$B87,12*$B$7,-12*$B$6*(1+$B$4)^64))*IF(BN87+IF($B$1+64&lt;=$B87,12*$B$7,-12*$B$6*(1+$B$4)^64)&gt;0,1+$B$3,1))</f>
        <v/>
      </c>
      <c r="BP87">
        <f>IF($B$1+65&gt;90,BO87,(BO87+IF($B$1+65&lt;=$B87,12*$B$7,-12*$B$6*(1+$B$4)^65))*IF(BO87+IF($B$1+65&lt;=$B87,12*$B$7,-12*$B$6*(1+$B$4)^65)&gt;0,1+$B$3,1))</f>
        <v/>
      </c>
      <c r="BQ87">
        <f>IF($B$1+66&gt;90,BP87,(BP87+IF($B$1+66&lt;=$B87,12*$B$7,-12*$B$6*(1+$B$4)^66))*IF(BP87+IF($B$1+66&lt;=$B87,12*$B$7,-12*$B$6*(1+$B$4)^66)&gt;0,1+$B$3,1))</f>
        <v/>
      </c>
      <c r="BR87">
        <f>IF($B$1+67&gt;90,BQ87,(BQ87+IF($B$1+67&lt;=$B87,12*$B$7,-12*$B$6*(1+$B$4)^67))*IF(BQ87+IF($B$1+67&lt;=$B87,12*$B$7,-12*$B$6*(1+$B$4)^67)&gt;0,1+$B$3,1))</f>
        <v/>
      </c>
      <c r="BS87">
        <f>IF($B$1+68&gt;90,BR87,(BR87+IF($B$1+68&lt;=$B87,12*$B$7,-12*$B$6*(1+$B$4)^68))*IF(BR87+IF($B$1+68&lt;=$B87,12*$B$7,-12*$B$6*(1+$B$4)^68)&gt;0,1+$B$3,1))</f>
        <v/>
      </c>
      <c r="BT87">
        <f>IF($B$1+69&gt;90,BS87,(BS87+IF($B$1+69&lt;=$B87,12*$B$7,-12*$B$6*(1+$B$4)^69))*IF(BS87+IF($B$1+69&lt;=$B87,12*$B$7,-12*$B$6*(1+$B$4)^69)&gt;0,1+$B$3,1))</f>
        <v/>
      </c>
      <c r="BU87">
        <f>IF($B$1+70&gt;90,BT87,(BT87+IF($B$1+70&lt;=$B87,12*$B$7,-12*$B$6*(1+$B$4)^70))*IF(BT87+IF($B$1+70&lt;=$B87,12*$B$7,-12*$B$6*(1+$B$4)^70)&gt;0,1+$B$3,1))</f>
        <v/>
      </c>
      <c r="BV87">
        <f>BU87</f>
        <v/>
      </c>
      <c r="BW87">
        <f>IF(AND($B87&lt;=70,BV87&gt;0),$B87,999)</f>
        <v/>
      </c>
    </row>
    <row r="88">
      <c r="A88" t="n">
        <v>48</v>
      </c>
      <c r="B88">
        <f>$B$1+48</f>
        <v/>
      </c>
      <c r="C88">
        <f>$B$2</f>
        <v/>
      </c>
      <c r="D88">
        <f>IF($B$1+1&gt;90,C88,(C88+IF($B$1+1&lt;=$B88,12*$B$7,-12*$B$6*(1+$B$4)^1))*IF(C88+IF($B$1+1&lt;=$B88,12*$B$7,-12*$B$6*(1+$B$4)^1)&gt;0,1+$B$3,1))</f>
        <v/>
      </c>
      <c r="E88">
        <f>IF($B$1+2&gt;90,D88,(D88+IF($B$1+2&lt;=$B88,12*$B$7,-12*$B$6*(1+$B$4)^2))*IF(D88+IF($B$1+2&lt;=$B88,12*$B$7,-12*$B$6*(1+$B$4)^2)&gt;0,1+$B$3,1))</f>
        <v/>
      </c>
      <c r="F88">
        <f>IF($B$1+3&gt;90,E88,(E88+IF($B$1+3&lt;=$B88,12*$B$7,-12*$B$6*(1+$B$4)^3))*IF(E88+IF($B$1+3&lt;=$B88,12*$B$7,-12*$B$6*(1+$B$4)^3)&gt;0,1+$B$3,1))</f>
        <v/>
      </c>
      <c r="G88">
        <f>IF($B$1+4&gt;90,F88,(F88+IF($B$1+4&lt;=$B88,12*$B$7,-12*$B$6*(1+$B$4)^4))*IF(F88+IF($B$1+4&lt;=$B88,12*$B$7,-12*$B$6*(1+$B$4)^4)&gt;0,1+$B$3,1))</f>
        <v/>
      </c>
      <c r="H88">
        <f>IF($B$1+5&gt;90,G88,(G88+IF($B$1+5&lt;=$B88,12*$B$7,-12*$B$6*(1+$B$4)^5))*IF(G88+IF($B$1+5&lt;=$B88,12*$B$7,-12*$B$6*(1+$B$4)^5)&gt;0,1+$B$3,1))</f>
        <v/>
      </c>
      <c r="I88">
        <f>IF($B$1+6&gt;90,H88,(H88+IF($B$1+6&lt;=$B88,12*$B$7,-12*$B$6*(1+$B$4)^6))*IF(H88+IF($B$1+6&lt;=$B88,12*$B$7,-12*$B$6*(1+$B$4)^6)&gt;0,1+$B$3,1))</f>
        <v/>
      </c>
      <c r="J88">
        <f>IF($B$1+7&gt;90,I88,(I88+IF($B$1+7&lt;=$B88,12*$B$7,-12*$B$6*(1+$B$4)^7))*IF(I88+IF($B$1+7&lt;=$B88,12*$B$7,-12*$B$6*(1+$B$4)^7)&gt;0,1+$B$3,1))</f>
        <v/>
      </c>
      <c r="K88">
        <f>IF($B$1+8&gt;90,J88,(J88+IF($B$1+8&lt;=$B88,12*$B$7,-12*$B$6*(1+$B$4)^8))*IF(J88+IF($B$1+8&lt;=$B88,12*$B$7,-12*$B$6*(1+$B$4)^8)&gt;0,1+$B$3,1))</f>
        <v/>
      </c>
      <c r="L88">
        <f>IF($B$1+9&gt;90,K88,(K88+IF($B$1+9&lt;=$B88,12*$B$7,-12*$B$6*(1+$B$4)^9))*IF(K88+IF($B$1+9&lt;=$B88,12*$B$7,-12*$B$6*(1+$B$4)^9)&gt;0,1+$B$3,1))</f>
        <v/>
      </c>
      <c r="M88">
        <f>IF($B$1+10&gt;90,L88,(L88+IF($B$1+10&lt;=$B88,12*$B$7,-12*$B$6*(1+$B$4)^10))*IF(L88+IF($B$1+10&lt;=$B88,12*$B$7,-12*$B$6*(1+$B$4)^10)&gt;0,1+$B$3,1))</f>
        <v/>
      </c>
      <c r="N88">
        <f>IF($B$1+11&gt;90,M88,(M88+IF($B$1+11&lt;=$B88,12*$B$7,-12*$B$6*(1+$B$4)^11))*IF(M88+IF($B$1+11&lt;=$B88,12*$B$7,-12*$B$6*(1+$B$4)^11)&gt;0,1+$B$3,1))</f>
        <v/>
      </c>
      <c r="O88">
        <f>IF($B$1+12&gt;90,N88,(N88+IF($B$1+12&lt;=$B88,12*$B$7,-12*$B$6*(1+$B$4)^12))*IF(N88+IF($B$1+12&lt;=$B88,12*$B$7,-12*$B$6*(1+$B$4)^12)&gt;0,1+$B$3,1))</f>
        <v/>
      </c>
      <c r="P88">
        <f>IF($B$1+13&gt;90,O88,(O88+IF($B$1+13&lt;=$B88,12*$B$7,-12*$B$6*(1+$B$4)^13))*IF(O88+IF($B$1+13&lt;=$B88,12*$B$7,-12*$B$6*(1+$B$4)^13)&gt;0,1+$B$3,1))</f>
        <v/>
      </c>
      <c r="Q88">
        <f>IF($B$1+14&gt;90,P88,(P88+IF($B$1+14&lt;=$B88,12*$B$7,-12*$B$6*(1+$B$4)^14))*IF(P88+IF($B$1+14&lt;=$B88,12*$B$7,-12*$B$6*(1+$B$4)^14)&gt;0,1+$B$3,1))</f>
        <v/>
      </c>
      <c r="R88">
        <f>IF($B$1+15&gt;90,Q88,(Q88+IF($B$1+15&lt;=$B88,12*$B$7,-12*$B$6*(1+$B$4)^15))*IF(Q88+IF($B$1+15&lt;=$B88,12*$B$7,-12*$B$6*(1+$B$4)^15)&gt;0,1+$B$3,1))</f>
        <v/>
      </c>
      <c r="S88">
        <f>IF($B$1+16&gt;90,R88,(R88+IF($B$1+16&lt;=$B88,12*$B$7,-12*$B$6*(1+$B$4)^16))*IF(R88+IF($B$1+16&lt;=$B88,12*$B$7,-12*$B$6*(1+$B$4)^16)&gt;0,1+$B$3,1))</f>
        <v/>
      </c>
      <c r="T88">
        <f>IF($B$1+17&gt;90,S88,(S88+IF($B$1+17&lt;=$B88,12*$B$7,-12*$B$6*(1+$B$4)^17))*IF(S88+IF($B$1+17&lt;=$B88,12*$B$7,-12*$B$6*(1+$B$4)^17)&gt;0,1+$B$3,1))</f>
        <v/>
      </c>
      <c r="U88">
        <f>IF($B$1+18&gt;90,T88,(T88+IF($B$1+18&lt;=$B88,12*$B$7,-12*$B$6*(1+$B$4)^18))*IF(T88+IF($B$1+18&lt;=$B88,12*$B$7,-12*$B$6*(1+$B$4)^18)&gt;0,1+$B$3,1))</f>
        <v/>
      </c>
      <c r="V88">
        <f>IF($B$1+19&gt;90,U88,(U88+IF($B$1+19&lt;=$B88,12*$B$7,-12*$B$6*(1+$B$4)^19))*IF(U88+IF($B$1+19&lt;=$B88,12*$B$7,-12*$B$6*(1+$B$4)^19)&gt;0,1+$B$3,1))</f>
        <v/>
      </c>
      <c r="W88">
        <f>IF($B$1+20&gt;90,V88,(V88+IF($B$1+20&lt;=$B88,12*$B$7,-12*$B$6*(1+$B$4)^20))*IF(V88+IF($B$1+20&lt;=$B88,12*$B$7,-12*$B$6*(1+$B$4)^20)&gt;0,1+$B$3,1))</f>
        <v/>
      </c>
      <c r="X88">
        <f>IF($B$1+21&gt;90,W88,(W88+IF($B$1+21&lt;=$B88,12*$B$7,-12*$B$6*(1+$B$4)^21))*IF(W88+IF($B$1+21&lt;=$B88,12*$B$7,-12*$B$6*(1+$B$4)^21)&gt;0,1+$B$3,1))</f>
        <v/>
      </c>
      <c r="Y88">
        <f>IF($B$1+22&gt;90,X88,(X88+IF($B$1+22&lt;=$B88,12*$B$7,-12*$B$6*(1+$B$4)^22))*IF(X88+IF($B$1+22&lt;=$B88,12*$B$7,-12*$B$6*(1+$B$4)^22)&gt;0,1+$B$3,1))</f>
        <v/>
      </c>
      <c r="Z88">
        <f>IF($B$1+23&gt;90,Y88,(Y88+IF($B$1+23&lt;=$B88,12*$B$7,-12*$B$6*(1+$B$4)^23))*IF(Y88+IF($B$1+23&lt;=$B88,12*$B$7,-12*$B$6*(1+$B$4)^23)&gt;0,1+$B$3,1))</f>
        <v/>
      </c>
      <c r="AA88">
        <f>IF($B$1+24&gt;90,Z88,(Z88+IF($B$1+24&lt;=$B88,12*$B$7,-12*$B$6*(1+$B$4)^24))*IF(Z88+IF($B$1+24&lt;=$B88,12*$B$7,-12*$B$6*(1+$B$4)^24)&gt;0,1+$B$3,1))</f>
        <v/>
      </c>
      <c r="AB88">
        <f>IF($B$1+25&gt;90,AA88,(AA88+IF($B$1+25&lt;=$B88,12*$B$7,-12*$B$6*(1+$B$4)^25))*IF(AA88+IF($B$1+25&lt;=$B88,12*$B$7,-12*$B$6*(1+$B$4)^25)&gt;0,1+$B$3,1))</f>
        <v/>
      </c>
      <c r="AC88">
        <f>IF($B$1+26&gt;90,AB88,(AB88+IF($B$1+26&lt;=$B88,12*$B$7,-12*$B$6*(1+$B$4)^26))*IF(AB88+IF($B$1+26&lt;=$B88,12*$B$7,-12*$B$6*(1+$B$4)^26)&gt;0,1+$B$3,1))</f>
        <v/>
      </c>
      <c r="AD88">
        <f>IF($B$1+27&gt;90,AC88,(AC88+IF($B$1+27&lt;=$B88,12*$B$7,-12*$B$6*(1+$B$4)^27))*IF(AC88+IF($B$1+27&lt;=$B88,12*$B$7,-12*$B$6*(1+$B$4)^27)&gt;0,1+$B$3,1))</f>
        <v/>
      </c>
      <c r="AE88">
        <f>IF($B$1+28&gt;90,AD88,(AD88+IF($B$1+28&lt;=$B88,12*$B$7,-12*$B$6*(1+$B$4)^28))*IF(AD88+IF($B$1+28&lt;=$B88,12*$B$7,-12*$B$6*(1+$B$4)^28)&gt;0,1+$B$3,1))</f>
        <v/>
      </c>
      <c r="AF88">
        <f>IF($B$1+29&gt;90,AE88,(AE88+IF($B$1+29&lt;=$B88,12*$B$7,-12*$B$6*(1+$B$4)^29))*IF(AE88+IF($B$1+29&lt;=$B88,12*$B$7,-12*$B$6*(1+$B$4)^29)&gt;0,1+$B$3,1))</f>
        <v/>
      </c>
      <c r="AG88">
        <f>IF($B$1+30&gt;90,AF88,(AF88+IF($B$1+30&lt;=$B88,12*$B$7,-12*$B$6*(1+$B$4)^30))*IF(AF88+IF($B$1+30&lt;=$B88,12*$B$7,-12*$B$6*(1+$B$4)^30)&gt;0,1+$B$3,1))</f>
        <v/>
      </c>
      <c r="AH88">
        <f>IF($B$1+31&gt;90,AG88,(AG88+IF($B$1+31&lt;=$B88,12*$B$7,-12*$B$6*(1+$B$4)^31))*IF(AG88+IF($B$1+31&lt;=$B88,12*$B$7,-12*$B$6*(1+$B$4)^31)&gt;0,1+$B$3,1))</f>
        <v/>
      </c>
      <c r="AI88">
        <f>IF($B$1+32&gt;90,AH88,(AH88+IF($B$1+32&lt;=$B88,12*$B$7,-12*$B$6*(1+$B$4)^32))*IF(AH88+IF($B$1+32&lt;=$B88,12*$B$7,-12*$B$6*(1+$B$4)^32)&gt;0,1+$B$3,1))</f>
        <v/>
      </c>
      <c r="AJ88">
        <f>IF($B$1+33&gt;90,AI88,(AI88+IF($B$1+33&lt;=$B88,12*$B$7,-12*$B$6*(1+$B$4)^33))*IF(AI88+IF($B$1+33&lt;=$B88,12*$B$7,-12*$B$6*(1+$B$4)^33)&gt;0,1+$B$3,1))</f>
        <v/>
      </c>
      <c r="AK88">
        <f>IF($B$1+34&gt;90,AJ88,(AJ88+IF($B$1+34&lt;=$B88,12*$B$7,-12*$B$6*(1+$B$4)^34))*IF(AJ88+IF($B$1+34&lt;=$B88,12*$B$7,-12*$B$6*(1+$B$4)^34)&gt;0,1+$B$3,1))</f>
        <v/>
      </c>
      <c r="AL88">
        <f>IF($B$1+35&gt;90,AK88,(AK88+IF($B$1+35&lt;=$B88,12*$B$7,-12*$B$6*(1+$B$4)^35))*IF(AK88+IF($B$1+35&lt;=$B88,12*$B$7,-12*$B$6*(1+$B$4)^35)&gt;0,1+$B$3,1))</f>
        <v/>
      </c>
      <c r="AM88">
        <f>IF($B$1+36&gt;90,AL88,(AL88+IF($B$1+36&lt;=$B88,12*$B$7,-12*$B$6*(1+$B$4)^36))*IF(AL88+IF($B$1+36&lt;=$B88,12*$B$7,-12*$B$6*(1+$B$4)^36)&gt;0,1+$B$3,1))</f>
        <v/>
      </c>
      <c r="AN88">
        <f>IF($B$1+37&gt;90,AM88,(AM88+IF($B$1+37&lt;=$B88,12*$B$7,-12*$B$6*(1+$B$4)^37))*IF(AM88+IF($B$1+37&lt;=$B88,12*$B$7,-12*$B$6*(1+$B$4)^37)&gt;0,1+$B$3,1))</f>
        <v/>
      </c>
      <c r="AO88">
        <f>IF($B$1+38&gt;90,AN88,(AN88+IF($B$1+38&lt;=$B88,12*$B$7,-12*$B$6*(1+$B$4)^38))*IF(AN88+IF($B$1+38&lt;=$B88,12*$B$7,-12*$B$6*(1+$B$4)^38)&gt;0,1+$B$3,1))</f>
        <v/>
      </c>
      <c r="AP88">
        <f>IF($B$1+39&gt;90,AO88,(AO88+IF($B$1+39&lt;=$B88,12*$B$7,-12*$B$6*(1+$B$4)^39))*IF(AO88+IF($B$1+39&lt;=$B88,12*$B$7,-12*$B$6*(1+$B$4)^39)&gt;0,1+$B$3,1))</f>
        <v/>
      </c>
      <c r="AQ88">
        <f>IF($B$1+40&gt;90,AP88,(AP88+IF($B$1+40&lt;=$B88,12*$B$7,-12*$B$6*(1+$B$4)^40))*IF(AP88+IF($B$1+40&lt;=$B88,12*$B$7,-12*$B$6*(1+$B$4)^40)&gt;0,1+$B$3,1))</f>
        <v/>
      </c>
      <c r="AR88">
        <f>IF($B$1+41&gt;90,AQ88,(AQ88+IF($B$1+41&lt;=$B88,12*$B$7,-12*$B$6*(1+$B$4)^41))*IF(AQ88+IF($B$1+41&lt;=$B88,12*$B$7,-12*$B$6*(1+$B$4)^41)&gt;0,1+$B$3,1))</f>
        <v/>
      </c>
      <c r="AS88">
        <f>IF($B$1+42&gt;90,AR88,(AR88+IF($B$1+42&lt;=$B88,12*$B$7,-12*$B$6*(1+$B$4)^42))*IF(AR88+IF($B$1+42&lt;=$B88,12*$B$7,-12*$B$6*(1+$B$4)^42)&gt;0,1+$B$3,1))</f>
        <v/>
      </c>
      <c r="AT88">
        <f>IF($B$1+43&gt;90,AS88,(AS88+IF($B$1+43&lt;=$B88,12*$B$7,-12*$B$6*(1+$B$4)^43))*IF(AS88+IF($B$1+43&lt;=$B88,12*$B$7,-12*$B$6*(1+$B$4)^43)&gt;0,1+$B$3,1))</f>
        <v/>
      </c>
      <c r="AU88">
        <f>IF($B$1+44&gt;90,AT88,(AT88+IF($B$1+44&lt;=$B88,12*$B$7,-12*$B$6*(1+$B$4)^44))*IF(AT88+IF($B$1+44&lt;=$B88,12*$B$7,-12*$B$6*(1+$B$4)^44)&gt;0,1+$B$3,1))</f>
        <v/>
      </c>
      <c r="AV88">
        <f>IF($B$1+45&gt;90,AU88,(AU88+IF($B$1+45&lt;=$B88,12*$B$7,-12*$B$6*(1+$B$4)^45))*IF(AU88+IF($B$1+45&lt;=$B88,12*$B$7,-12*$B$6*(1+$B$4)^45)&gt;0,1+$B$3,1))</f>
        <v/>
      </c>
      <c r="AW88">
        <f>IF($B$1+46&gt;90,AV88,(AV88+IF($B$1+46&lt;=$B88,12*$B$7,-12*$B$6*(1+$B$4)^46))*IF(AV88+IF($B$1+46&lt;=$B88,12*$B$7,-12*$B$6*(1+$B$4)^46)&gt;0,1+$B$3,1))</f>
        <v/>
      </c>
      <c r="AX88">
        <f>IF($B$1+47&gt;90,AW88,(AW88+IF($B$1+47&lt;=$B88,12*$B$7,-12*$B$6*(1+$B$4)^47))*IF(AW88+IF($B$1+47&lt;=$B88,12*$B$7,-12*$B$6*(1+$B$4)^47)&gt;0,1+$B$3,1))</f>
        <v/>
      </c>
      <c r="AY88">
        <f>IF($B$1+48&gt;90,AX88,(AX88+IF($B$1+48&lt;=$B88,12*$B$7,-12*$B$6*(1+$B$4)^48))*IF(AX88+IF($B$1+48&lt;=$B88,12*$B$7,-12*$B$6*(1+$B$4)^48)&gt;0,1+$B$3,1))</f>
        <v/>
      </c>
      <c r="AZ88">
        <f>IF($B$1+49&gt;90,AY88,(AY88+IF($B$1+49&lt;=$B88,12*$B$7,-12*$B$6*(1+$B$4)^49))*IF(AY88+IF($B$1+49&lt;=$B88,12*$B$7,-12*$B$6*(1+$B$4)^49)&gt;0,1+$B$3,1))</f>
        <v/>
      </c>
      <c r="BA88">
        <f>IF($B$1+50&gt;90,AZ88,(AZ88+IF($B$1+50&lt;=$B88,12*$B$7,-12*$B$6*(1+$B$4)^50))*IF(AZ88+IF($B$1+50&lt;=$B88,12*$B$7,-12*$B$6*(1+$B$4)^50)&gt;0,1+$B$3,1))</f>
        <v/>
      </c>
      <c r="BB88">
        <f>IF($B$1+51&gt;90,BA88,(BA88+IF($B$1+51&lt;=$B88,12*$B$7,-12*$B$6*(1+$B$4)^51))*IF(BA88+IF($B$1+51&lt;=$B88,12*$B$7,-12*$B$6*(1+$B$4)^51)&gt;0,1+$B$3,1))</f>
        <v/>
      </c>
      <c r="BC88">
        <f>IF($B$1+52&gt;90,BB88,(BB88+IF($B$1+52&lt;=$B88,12*$B$7,-12*$B$6*(1+$B$4)^52))*IF(BB88+IF($B$1+52&lt;=$B88,12*$B$7,-12*$B$6*(1+$B$4)^52)&gt;0,1+$B$3,1))</f>
        <v/>
      </c>
      <c r="BD88">
        <f>IF($B$1+53&gt;90,BC88,(BC88+IF($B$1+53&lt;=$B88,12*$B$7,-12*$B$6*(1+$B$4)^53))*IF(BC88+IF($B$1+53&lt;=$B88,12*$B$7,-12*$B$6*(1+$B$4)^53)&gt;0,1+$B$3,1))</f>
        <v/>
      </c>
      <c r="BE88">
        <f>IF($B$1+54&gt;90,BD88,(BD88+IF($B$1+54&lt;=$B88,12*$B$7,-12*$B$6*(1+$B$4)^54))*IF(BD88+IF($B$1+54&lt;=$B88,12*$B$7,-12*$B$6*(1+$B$4)^54)&gt;0,1+$B$3,1))</f>
        <v/>
      </c>
      <c r="BF88">
        <f>IF($B$1+55&gt;90,BE88,(BE88+IF($B$1+55&lt;=$B88,12*$B$7,-12*$B$6*(1+$B$4)^55))*IF(BE88+IF($B$1+55&lt;=$B88,12*$B$7,-12*$B$6*(1+$B$4)^55)&gt;0,1+$B$3,1))</f>
        <v/>
      </c>
      <c r="BG88">
        <f>IF($B$1+56&gt;90,BF88,(BF88+IF($B$1+56&lt;=$B88,12*$B$7,-12*$B$6*(1+$B$4)^56))*IF(BF88+IF($B$1+56&lt;=$B88,12*$B$7,-12*$B$6*(1+$B$4)^56)&gt;0,1+$B$3,1))</f>
        <v/>
      </c>
      <c r="BH88">
        <f>IF($B$1+57&gt;90,BG88,(BG88+IF($B$1+57&lt;=$B88,12*$B$7,-12*$B$6*(1+$B$4)^57))*IF(BG88+IF($B$1+57&lt;=$B88,12*$B$7,-12*$B$6*(1+$B$4)^57)&gt;0,1+$B$3,1))</f>
        <v/>
      </c>
      <c r="BI88">
        <f>IF($B$1+58&gt;90,BH88,(BH88+IF($B$1+58&lt;=$B88,12*$B$7,-12*$B$6*(1+$B$4)^58))*IF(BH88+IF($B$1+58&lt;=$B88,12*$B$7,-12*$B$6*(1+$B$4)^58)&gt;0,1+$B$3,1))</f>
        <v/>
      </c>
      <c r="BJ88">
        <f>IF($B$1+59&gt;90,BI88,(BI88+IF($B$1+59&lt;=$B88,12*$B$7,-12*$B$6*(1+$B$4)^59))*IF(BI88+IF($B$1+59&lt;=$B88,12*$B$7,-12*$B$6*(1+$B$4)^59)&gt;0,1+$B$3,1))</f>
        <v/>
      </c>
      <c r="BK88">
        <f>IF($B$1+60&gt;90,BJ88,(BJ88+IF($B$1+60&lt;=$B88,12*$B$7,-12*$B$6*(1+$B$4)^60))*IF(BJ88+IF($B$1+60&lt;=$B88,12*$B$7,-12*$B$6*(1+$B$4)^60)&gt;0,1+$B$3,1))</f>
        <v/>
      </c>
      <c r="BL88">
        <f>IF($B$1+61&gt;90,BK88,(BK88+IF($B$1+61&lt;=$B88,12*$B$7,-12*$B$6*(1+$B$4)^61))*IF(BK88+IF($B$1+61&lt;=$B88,12*$B$7,-12*$B$6*(1+$B$4)^61)&gt;0,1+$B$3,1))</f>
        <v/>
      </c>
      <c r="BM88">
        <f>IF($B$1+62&gt;90,BL88,(BL88+IF($B$1+62&lt;=$B88,12*$B$7,-12*$B$6*(1+$B$4)^62))*IF(BL88+IF($B$1+62&lt;=$B88,12*$B$7,-12*$B$6*(1+$B$4)^62)&gt;0,1+$B$3,1))</f>
        <v/>
      </c>
      <c r="BN88">
        <f>IF($B$1+63&gt;90,BM88,(BM88+IF($B$1+63&lt;=$B88,12*$B$7,-12*$B$6*(1+$B$4)^63))*IF(BM88+IF($B$1+63&lt;=$B88,12*$B$7,-12*$B$6*(1+$B$4)^63)&gt;0,1+$B$3,1))</f>
        <v/>
      </c>
      <c r="BO88">
        <f>IF($B$1+64&gt;90,BN88,(BN88+IF($B$1+64&lt;=$B88,12*$B$7,-12*$B$6*(1+$B$4)^64))*IF(BN88+IF($B$1+64&lt;=$B88,12*$B$7,-12*$B$6*(1+$B$4)^64)&gt;0,1+$B$3,1))</f>
        <v/>
      </c>
      <c r="BP88">
        <f>IF($B$1+65&gt;90,BO88,(BO88+IF($B$1+65&lt;=$B88,12*$B$7,-12*$B$6*(1+$B$4)^65))*IF(BO88+IF($B$1+65&lt;=$B88,12*$B$7,-12*$B$6*(1+$B$4)^65)&gt;0,1+$B$3,1))</f>
        <v/>
      </c>
      <c r="BQ88">
        <f>IF($B$1+66&gt;90,BP88,(BP88+IF($B$1+66&lt;=$B88,12*$B$7,-12*$B$6*(1+$B$4)^66))*IF(BP88+IF($B$1+66&lt;=$B88,12*$B$7,-12*$B$6*(1+$B$4)^66)&gt;0,1+$B$3,1))</f>
        <v/>
      </c>
      <c r="BR88">
        <f>IF($B$1+67&gt;90,BQ88,(BQ88+IF($B$1+67&lt;=$B88,12*$B$7,-12*$B$6*(1+$B$4)^67))*IF(BQ88+IF($B$1+67&lt;=$B88,12*$B$7,-12*$B$6*(1+$B$4)^67)&gt;0,1+$B$3,1))</f>
        <v/>
      </c>
      <c r="BS88">
        <f>IF($B$1+68&gt;90,BR88,(BR88+IF($B$1+68&lt;=$B88,12*$B$7,-12*$B$6*(1+$B$4)^68))*IF(BR88+IF($B$1+68&lt;=$B88,12*$B$7,-12*$B$6*(1+$B$4)^68)&gt;0,1+$B$3,1))</f>
        <v/>
      </c>
      <c r="BT88">
        <f>IF($B$1+69&gt;90,BS88,(BS88+IF($B$1+69&lt;=$B88,12*$B$7,-12*$B$6*(1+$B$4)^69))*IF(BS88+IF($B$1+69&lt;=$B88,12*$B$7,-12*$B$6*(1+$B$4)^69)&gt;0,1+$B$3,1))</f>
        <v/>
      </c>
      <c r="BU88">
        <f>IF($B$1+70&gt;90,BT88,(BT88+IF($B$1+70&lt;=$B88,12*$B$7,-12*$B$6*(1+$B$4)^70))*IF(BT88+IF($B$1+70&lt;=$B88,12*$B$7,-12*$B$6*(1+$B$4)^70)&gt;0,1+$B$3,1))</f>
        <v/>
      </c>
      <c r="BV88">
        <f>BU88</f>
        <v/>
      </c>
      <c r="BW88">
        <f>IF(AND($B88&lt;=70,BV88&gt;0),$B88,999)</f>
        <v/>
      </c>
    </row>
    <row r="89">
      <c r="A89" t="n">
        <v>49</v>
      </c>
      <c r="B89">
        <f>$B$1+49</f>
        <v/>
      </c>
      <c r="C89">
        <f>$B$2</f>
        <v/>
      </c>
      <c r="D89">
        <f>IF($B$1+1&gt;90,C89,(C89+IF($B$1+1&lt;=$B89,12*$B$7,-12*$B$6*(1+$B$4)^1))*IF(C89+IF($B$1+1&lt;=$B89,12*$B$7,-12*$B$6*(1+$B$4)^1)&gt;0,1+$B$3,1))</f>
        <v/>
      </c>
      <c r="E89">
        <f>IF($B$1+2&gt;90,D89,(D89+IF($B$1+2&lt;=$B89,12*$B$7,-12*$B$6*(1+$B$4)^2))*IF(D89+IF($B$1+2&lt;=$B89,12*$B$7,-12*$B$6*(1+$B$4)^2)&gt;0,1+$B$3,1))</f>
        <v/>
      </c>
      <c r="F89">
        <f>IF($B$1+3&gt;90,E89,(E89+IF($B$1+3&lt;=$B89,12*$B$7,-12*$B$6*(1+$B$4)^3))*IF(E89+IF($B$1+3&lt;=$B89,12*$B$7,-12*$B$6*(1+$B$4)^3)&gt;0,1+$B$3,1))</f>
        <v/>
      </c>
      <c r="G89">
        <f>IF($B$1+4&gt;90,F89,(F89+IF($B$1+4&lt;=$B89,12*$B$7,-12*$B$6*(1+$B$4)^4))*IF(F89+IF($B$1+4&lt;=$B89,12*$B$7,-12*$B$6*(1+$B$4)^4)&gt;0,1+$B$3,1))</f>
        <v/>
      </c>
      <c r="H89">
        <f>IF($B$1+5&gt;90,G89,(G89+IF($B$1+5&lt;=$B89,12*$B$7,-12*$B$6*(1+$B$4)^5))*IF(G89+IF($B$1+5&lt;=$B89,12*$B$7,-12*$B$6*(1+$B$4)^5)&gt;0,1+$B$3,1))</f>
        <v/>
      </c>
      <c r="I89">
        <f>IF($B$1+6&gt;90,H89,(H89+IF($B$1+6&lt;=$B89,12*$B$7,-12*$B$6*(1+$B$4)^6))*IF(H89+IF($B$1+6&lt;=$B89,12*$B$7,-12*$B$6*(1+$B$4)^6)&gt;0,1+$B$3,1))</f>
        <v/>
      </c>
      <c r="J89">
        <f>IF($B$1+7&gt;90,I89,(I89+IF($B$1+7&lt;=$B89,12*$B$7,-12*$B$6*(1+$B$4)^7))*IF(I89+IF($B$1+7&lt;=$B89,12*$B$7,-12*$B$6*(1+$B$4)^7)&gt;0,1+$B$3,1))</f>
        <v/>
      </c>
      <c r="K89">
        <f>IF($B$1+8&gt;90,J89,(J89+IF($B$1+8&lt;=$B89,12*$B$7,-12*$B$6*(1+$B$4)^8))*IF(J89+IF($B$1+8&lt;=$B89,12*$B$7,-12*$B$6*(1+$B$4)^8)&gt;0,1+$B$3,1))</f>
        <v/>
      </c>
      <c r="L89">
        <f>IF($B$1+9&gt;90,K89,(K89+IF($B$1+9&lt;=$B89,12*$B$7,-12*$B$6*(1+$B$4)^9))*IF(K89+IF($B$1+9&lt;=$B89,12*$B$7,-12*$B$6*(1+$B$4)^9)&gt;0,1+$B$3,1))</f>
        <v/>
      </c>
      <c r="M89">
        <f>IF($B$1+10&gt;90,L89,(L89+IF($B$1+10&lt;=$B89,12*$B$7,-12*$B$6*(1+$B$4)^10))*IF(L89+IF($B$1+10&lt;=$B89,12*$B$7,-12*$B$6*(1+$B$4)^10)&gt;0,1+$B$3,1))</f>
        <v/>
      </c>
      <c r="N89">
        <f>IF($B$1+11&gt;90,M89,(M89+IF($B$1+11&lt;=$B89,12*$B$7,-12*$B$6*(1+$B$4)^11))*IF(M89+IF($B$1+11&lt;=$B89,12*$B$7,-12*$B$6*(1+$B$4)^11)&gt;0,1+$B$3,1))</f>
        <v/>
      </c>
      <c r="O89">
        <f>IF($B$1+12&gt;90,N89,(N89+IF($B$1+12&lt;=$B89,12*$B$7,-12*$B$6*(1+$B$4)^12))*IF(N89+IF($B$1+12&lt;=$B89,12*$B$7,-12*$B$6*(1+$B$4)^12)&gt;0,1+$B$3,1))</f>
        <v/>
      </c>
      <c r="P89">
        <f>IF($B$1+13&gt;90,O89,(O89+IF($B$1+13&lt;=$B89,12*$B$7,-12*$B$6*(1+$B$4)^13))*IF(O89+IF($B$1+13&lt;=$B89,12*$B$7,-12*$B$6*(1+$B$4)^13)&gt;0,1+$B$3,1))</f>
        <v/>
      </c>
      <c r="Q89">
        <f>IF($B$1+14&gt;90,P89,(P89+IF($B$1+14&lt;=$B89,12*$B$7,-12*$B$6*(1+$B$4)^14))*IF(P89+IF($B$1+14&lt;=$B89,12*$B$7,-12*$B$6*(1+$B$4)^14)&gt;0,1+$B$3,1))</f>
        <v/>
      </c>
      <c r="R89">
        <f>IF($B$1+15&gt;90,Q89,(Q89+IF($B$1+15&lt;=$B89,12*$B$7,-12*$B$6*(1+$B$4)^15))*IF(Q89+IF($B$1+15&lt;=$B89,12*$B$7,-12*$B$6*(1+$B$4)^15)&gt;0,1+$B$3,1))</f>
        <v/>
      </c>
      <c r="S89">
        <f>IF($B$1+16&gt;90,R89,(R89+IF($B$1+16&lt;=$B89,12*$B$7,-12*$B$6*(1+$B$4)^16))*IF(R89+IF($B$1+16&lt;=$B89,12*$B$7,-12*$B$6*(1+$B$4)^16)&gt;0,1+$B$3,1))</f>
        <v/>
      </c>
      <c r="T89">
        <f>IF($B$1+17&gt;90,S89,(S89+IF($B$1+17&lt;=$B89,12*$B$7,-12*$B$6*(1+$B$4)^17))*IF(S89+IF($B$1+17&lt;=$B89,12*$B$7,-12*$B$6*(1+$B$4)^17)&gt;0,1+$B$3,1))</f>
        <v/>
      </c>
      <c r="U89">
        <f>IF($B$1+18&gt;90,T89,(T89+IF($B$1+18&lt;=$B89,12*$B$7,-12*$B$6*(1+$B$4)^18))*IF(T89+IF($B$1+18&lt;=$B89,12*$B$7,-12*$B$6*(1+$B$4)^18)&gt;0,1+$B$3,1))</f>
        <v/>
      </c>
      <c r="V89">
        <f>IF($B$1+19&gt;90,U89,(U89+IF($B$1+19&lt;=$B89,12*$B$7,-12*$B$6*(1+$B$4)^19))*IF(U89+IF($B$1+19&lt;=$B89,12*$B$7,-12*$B$6*(1+$B$4)^19)&gt;0,1+$B$3,1))</f>
        <v/>
      </c>
      <c r="W89">
        <f>IF($B$1+20&gt;90,V89,(V89+IF($B$1+20&lt;=$B89,12*$B$7,-12*$B$6*(1+$B$4)^20))*IF(V89+IF($B$1+20&lt;=$B89,12*$B$7,-12*$B$6*(1+$B$4)^20)&gt;0,1+$B$3,1))</f>
        <v/>
      </c>
      <c r="X89">
        <f>IF($B$1+21&gt;90,W89,(W89+IF($B$1+21&lt;=$B89,12*$B$7,-12*$B$6*(1+$B$4)^21))*IF(W89+IF($B$1+21&lt;=$B89,12*$B$7,-12*$B$6*(1+$B$4)^21)&gt;0,1+$B$3,1))</f>
        <v/>
      </c>
      <c r="Y89">
        <f>IF($B$1+22&gt;90,X89,(X89+IF($B$1+22&lt;=$B89,12*$B$7,-12*$B$6*(1+$B$4)^22))*IF(X89+IF($B$1+22&lt;=$B89,12*$B$7,-12*$B$6*(1+$B$4)^22)&gt;0,1+$B$3,1))</f>
        <v/>
      </c>
      <c r="Z89">
        <f>IF($B$1+23&gt;90,Y89,(Y89+IF($B$1+23&lt;=$B89,12*$B$7,-12*$B$6*(1+$B$4)^23))*IF(Y89+IF($B$1+23&lt;=$B89,12*$B$7,-12*$B$6*(1+$B$4)^23)&gt;0,1+$B$3,1))</f>
        <v/>
      </c>
      <c r="AA89">
        <f>IF($B$1+24&gt;90,Z89,(Z89+IF($B$1+24&lt;=$B89,12*$B$7,-12*$B$6*(1+$B$4)^24))*IF(Z89+IF($B$1+24&lt;=$B89,12*$B$7,-12*$B$6*(1+$B$4)^24)&gt;0,1+$B$3,1))</f>
        <v/>
      </c>
      <c r="AB89">
        <f>IF($B$1+25&gt;90,AA89,(AA89+IF($B$1+25&lt;=$B89,12*$B$7,-12*$B$6*(1+$B$4)^25))*IF(AA89+IF($B$1+25&lt;=$B89,12*$B$7,-12*$B$6*(1+$B$4)^25)&gt;0,1+$B$3,1))</f>
        <v/>
      </c>
      <c r="AC89">
        <f>IF($B$1+26&gt;90,AB89,(AB89+IF($B$1+26&lt;=$B89,12*$B$7,-12*$B$6*(1+$B$4)^26))*IF(AB89+IF($B$1+26&lt;=$B89,12*$B$7,-12*$B$6*(1+$B$4)^26)&gt;0,1+$B$3,1))</f>
        <v/>
      </c>
      <c r="AD89">
        <f>IF($B$1+27&gt;90,AC89,(AC89+IF($B$1+27&lt;=$B89,12*$B$7,-12*$B$6*(1+$B$4)^27))*IF(AC89+IF($B$1+27&lt;=$B89,12*$B$7,-12*$B$6*(1+$B$4)^27)&gt;0,1+$B$3,1))</f>
        <v/>
      </c>
      <c r="AE89">
        <f>IF($B$1+28&gt;90,AD89,(AD89+IF($B$1+28&lt;=$B89,12*$B$7,-12*$B$6*(1+$B$4)^28))*IF(AD89+IF($B$1+28&lt;=$B89,12*$B$7,-12*$B$6*(1+$B$4)^28)&gt;0,1+$B$3,1))</f>
        <v/>
      </c>
      <c r="AF89">
        <f>IF($B$1+29&gt;90,AE89,(AE89+IF($B$1+29&lt;=$B89,12*$B$7,-12*$B$6*(1+$B$4)^29))*IF(AE89+IF($B$1+29&lt;=$B89,12*$B$7,-12*$B$6*(1+$B$4)^29)&gt;0,1+$B$3,1))</f>
        <v/>
      </c>
      <c r="AG89">
        <f>IF($B$1+30&gt;90,AF89,(AF89+IF($B$1+30&lt;=$B89,12*$B$7,-12*$B$6*(1+$B$4)^30))*IF(AF89+IF($B$1+30&lt;=$B89,12*$B$7,-12*$B$6*(1+$B$4)^30)&gt;0,1+$B$3,1))</f>
        <v/>
      </c>
      <c r="AH89">
        <f>IF($B$1+31&gt;90,AG89,(AG89+IF($B$1+31&lt;=$B89,12*$B$7,-12*$B$6*(1+$B$4)^31))*IF(AG89+IF($B$1+31&lt;=$B89,12*$B$7,-12*$B$6*(1+$B$4)^31)&gt;0,1+$B$3,1))</f>
        <v/>
      </c>
      <c r="AI89">
        <f>IF($B$1+32&gt;90,AH89,(AH89+IF($B$1+32&lt;=$B89,12*$B$7,-12*$B$6*(1+$B$4)^32))*IF(AH89+IF($B$1+32&lt;=$B89,12*$B$7,-12*$B$6*(1+$B$4)^32)&gt;0,1+$B$3,1))</f>
        <v/>
      </c>
      <c r="AJ89">
        <f>IF($B$1+33&gt;90,AI89,(AI89+IF($B$1+33&lt;=$B89,12*$B$7,-12*$B$6*(1+$B$4)^33))*IF(AI89+IF($B$1+33&lt;=$B89,12*$B$7,-12*$B$6*(1+$B$4)^33)&gt;0,1+$B$3,1))</f>
        <v/>
      </c>
      <c r="AK89">
        <f>IF($B$1+34&gt;90,AJ89,(AJ89+IF($B$1+34&lt;=$B89,12*$B$7,-12*$B$6*(1+$B$4)^34))*IF(AJ89+IF($B$1+34&lt;=$B89,12*$B$7,-12*$B$6*(1+$B$4)^34)&gt;0,1+$B$3,1))</f>
        <v/>
      </c>
      <c r="AL89">
        <f>IF($B$1+35&gt;90,AK89,(AK89+IF($B$1+35&lt;=$B89,12*$B$7,-12*$B$6*(1+$B$4)^35))*IF(AK89+IF($B$1+35&lt;=$B89,12*$B$7,-12*$B$6*(1+$B$4)^35)&gt;0,1+$B$3,1))</f>
        <v/>
      </c>
      <c r="AM89">
        <f>IF($B$1+36&gt;90,AL89,(AL89+IF($B$1+36&lt;=$B89,12*$B$7,-12*$B$6*(1+$B$4)^36))*IF(AL89+IF($B$1+36&lt;=$B89,12*$B$7,-12*$B$6*(1+$B$4)^36)&gt;0,1+$B$3,1))</f>
        <v/>
      </c>
      <c r="AN89">
        <f>IF($B$1+37&gt;90,AM89,(AM89+IF($B$1+37&lt;=$B89,12*$B$7,-12*$B$6*(1+$B$4)^37))*IF(AM89+IF($B$1+37&lt;=$B89,12*$B$7,-12*$B$6*(1+$B$4)^37)&gt;0,1+$B$3,1))</f>
        <v/>
      </c>
      <c r="AO89">
        <f>IF($B$1+38&gt;90,AN89,(AN89+IF($B$1+38&lt;=$B89,12*$B$7,-12*$B$6*(1+$B$4)^38))*IF(AN89+IF($B$1+38&lt;=$B89,12*$B$7,-12*$B$6*(1+$B$4)^38)&gt;0,1+$B$3,1))</f>
        <v/>
      </c>
      <c r="AP89">
        <f>IF($B$1+39&gt;90,AO89,(AO89+IF($B$1+39&lt;=$B89,12*$B$7,-12*$B$6*(1+$B$4)^39))*IF(AO89+IF($B$1+39&lt;=$B89,12*$B$7,-12*$B$6*(1+$B$4)^39)&gt;0,1+$B$3,1))</f>
        <v/>
      </c>
      <c r="AQ89">
        <f>IF($B$1+40&gt;90,AP89,(AP89+IF($B$1+40&lt;=$B89,12*$B$7,-12*$B$6*(1+$B$4)^40))*IF(AP89+IF($B$1+40&lt;=$B89,12*$B$7,-12*$B$6*(1+$B$4)^40)&gt;0,1+$B$3,1))</f>
        <v/>
      </c>
      <c r="AR89">
        <f>IF($B$1+41&gt;90,AQ89,(AQ89+IF($B$1+41&lt;=$B89,12*$B$7,-12*$B$6*(1+$B$4)^41))*IF(AQ89+IF($B$1+41&lt;=$B89,12*$B$7,-12*$B$6*(1+$B$4)^41)&gt;0,1+$B$3,1))</f>
        <v/>
      </c>
      <c r="AS89">
        <f>IF($B$1+42&gt;90,AR89,(AR89+IF($B$1+42&lt;=$B89,12*$B$7,-12*$B$6*(1+$B$4)^42))*IF(AR89+IF($B$1+42&lt;=$B89,12*$B$7,-12*$B$6*(1+$B$4)^42)&gt;0,1+$B$3,1))</f>
        <v/>
      </c>
      <c r="AT89">
        <f>IF($B$1+43&gt;90,AS89,(AS89+IF($B$1+43&lt;=$B89,12*$B$7,-12*$B$6*(1+$B$4)^43))*IF(AS89+IF($B$1+43&lt;=$B89,12*$B$7,-12*$B$6*(1+$B$4)^43)&gt;0,1+$B$3,1))</f>
        <v/>
      </c>
      <c r="AU89">
        <f>IF($B$1+44&gt;90,AT89,(AT89+IF($B$1+44&lt;=$B89,12*$B$7,-12*$B$6*(1+$B$4)^44))*IF(AT89+IF($B$1+44&lt;=$B89,12*$B$7,-12*$B$6*(1+$B$4)^44)&gt;0,1+$B$3,1))</f>
        <v/>
      </c>
      <c r="AV89">
        <f>IF($B$1+45&gt;90,AU89,(AU89+IF($B$1+45&lt;=$B89,12*$B$7,-12*$B$6*(1+$B$4)^45))*IF(AU89+IF($B$1+45&lt;=$B89,12*$B$7,-12*$B$6*(1+$B$4)^45)&gt;0,1+$B$3,1))</f>
        <v/>
      </c>
      <c r="AW89">
        <f>IF($B$1+46&gt;90,AV89,(AV89+IF($B$1+46&lt;=$B89,12*$B$7,-12*$B$6*(1+$B$4)^46))*IF(AV89+IF($B$1+46&lt;=$B89,12*$B$7,-12*$B$6*(1+$B$4)^46)&gt;0,1+$B$3,1))</f>
        <v/>
      </c>
      <c r="AX89">
        <f>IF($B$1+47&gt;90,AW89,(AW89+IF($B$1+47&lt;=$B89,12*$B$7,-12*$B$6*(1+$B$4)^47))*IF(AW89+IF($B$1+47&lt;=$B89,12*$B$7,-12*$B$6*(1+$B$4)^47)&gt;0,1+$B$3,1))</f>
        <v/>
      </c>
      <c r="AY89">
        <f>IF($B$1+48&gt;90,AX89,(AX89+IF($B$1+48&lt;=$B89,12*$B$7,-12*$B$6*(1+$B$4)^48))*IF(AX89+IF($B$1+48&lt;=$B89,12*$B$7,-12*$B$6*(1+$B$4)^48)&gt;0,1+$B$3,1))</f>
        <v/>
      </c>
      <c r="AZ89">
        <f>IF($B$1+49&gt;90,AY89,(AY89+IF($B$1+49&lt;=$B89,12*$B$7,-12*$B$6*(1+$B$4)^49))*IF(AY89+IF($B$1+49&lt;=$B89,12*$B$7,-12*$B$6*(1+$B$4)^49)&gt;0,1+$B$3,1))</f>
        <v/>
      </c>
      <c r="BA89">
        <f>IF($B$1+50&gt;90,AZ89,(AZ89+IF($B$1+50&lt;=$B89,12*$B$7,-12*$B$6*(1+$B$4)^50))*IF(AZ89+IF($B$1+50&lt;=$B89,12*$B$7,-12*$B$6*(1+$B$4)^50)&gt;0,1+$B$3,1))</f>
        <v/>
      </c>
      <c r="BB89">
        <f>IF($B$1+51&gt;90,BA89,(BA89+IF($B$1+51&lt;=$B89,12*$B$7,-12*$B$6*(1+$B$4)^51))*IF(BA89+IF($B$1+51&lt;=$B89,12*$B$7,-12*$B$6*(1+$B$4)^51)&gt;0,1+$B$3,1))</f>
        <v/>
      </c>
      <c r="BC89">
        <f>IF($B$1+52&gt;90,BB89,(BB89+IF($B$1+52&lt;=$B89,12*$B$7,-12*$B$6*(1+$B$4)^52))*IF(BB89+IF($B$1+52&lt;=$B89,12*$B$7,-12*$B$6*(1+$B$4)^52)&gt;0,1+$B$3,1))</f>
        <v/>
      </c>
      <c r="BD89">
        <f>IF($B$1+53&gt;90,BC89,(BC89+IF($B$1+53&lt;=$B89,12*$B$7,-12*$B$6*(1+$B$4)^53))*IF(BC89+IF($B$1+53&lt;=$B89,12*$B$7,-12*$B$6*(1+$B$4)^53)&gt;0,1+$B$3,1))</f>
        <v/>
      </c>
      <c r="BE89">
        <f>IF($B$1+54&gt;90,BD89,(BD89+IF($B$1+54&lt;=$B89,12*$B$7,-12*$B$6*(1+$B$4)^54))*IF(BD89+IF($B$1+54&lt;=$B89,12*$B$7,-12*$B$6*(1+$B$4)^54)&gt;0,1+$B$3,1))</f>
        <v/>
      </c>
      <c r="BF89">
        <f>IF($B$1+55&gt;90,BE89,(BE89+IF($B$1+55&lt;=$B89,12*$B$7,-12*$B$6*(1+$B$4)^55))*IF(BE89+IF($B$1+55&lt;=$B89,12*$B$7,-12*$B$6*(1+$B$4)^55)&gt;0,1+$B$3,1))</f>
        <v/>
      </c>
      <c r="BG89">
        <f>IF($B$1+56&gt;90,BF89,(BF89+IF($B$1+56&lt;=$B89,12*$B$7,-12*$B$6*(1+$B$4)^56))*IF(BF89+IF($B$1+56&lt;=$B89,12*$B$7,-12*$B$6*(1+$B$4)^56)&gt;0,1+$B$3,1))</f>
        <v/>
      </c>
      <c r="BH89">
        <f>IF($B$1+57&gt;90,BG89,(BG89+IF($B$1+57&lt;=$B89,12*$B$7,-12*$B$6*(1+$B$4)^57))*IF(BG89+IF($B$1+57&lt;=$B89,12*$B$7,-12*$B$6*(1+$B$4)^57)&gt;0,1+$B$3,1))</f>
        <v/>
      </c>
      <c r="BI89">
        <f>IF($B$1+58&gt;90,BH89,(BH89+IF($B$1+58&lt;=$B89,12*$B$7,-12*$B$6*(1+$B$4)^58))*IF(BH89+IF($B$1+58&lt;=$B89,12*$B$7,-12*$B$6*(1+$B$4)^58)&gt;0,1+$B$3,1))</f>
        <v/>
      </c>
      <c r="BJ89">
        <f>IF($B$1+59&gt;90,BI89,(BI89+IF($B$1+59&lt;=$B89,12*$B$7,-12*$B$6*(1+$B$4)^59))*IF(BI89+IF($B$1+59&lt;=$B89,12*$B$7,-12*$B$6*(1+$B$4)^59)&gt;0,1+$B$3,1))</f>
        <v/>
      </c>
      <c r="BK89">
        <f>IF($B$1+60&gt;90,BJ89,(BJ89+IF($B$1+60&lt;=$B89,12*$B$7,-12*$B$6*(1+$B$4)^60))*IF(BJ89+IF($B$1+60&lt;=$B89,12*$B$7,-12*$B$6*(1+$B$4)^60)&gt;0,1+$B$3,1))</f>
        <v/>
      </c>
      <c r="BL89">
        <f>IF($B$1+61&gt;90,BK89,(BK89+IF($B$1+61&lt;=$B89,12*$B$7,-12*$B$6*(1+$B$4)^61))*IF(BK89+IF($B$1+61&lt;=$B89,12*$B$7,-12*$B$6*(1+$B$4)^61)&gt;0,1+$B$3,1))</f>
        <v/>
      </c>
      <c r="BM89">
        <f>IF($B$1+62&gt;90,BL89,(BL89+IF($B$1+62&lt;=$B89,12*$B$7,-12*$B$6*(1+$B$4)^62))*IF(BL89+IF($B$1+62&lt;=$B89,12*$B$7,-12*$B$6*(1+$B$4)^62)&gt;0,1+$B$3,1))</f>
        <v/>
      </c>
      <c r="BN89">
        <f>IF($B$1+63&gt;90,BM89,(BM89+IF($B$1+63&lt;=$B89,12*$B$7,-12*$B$6*(1+$B$4)^63))*IF(BM89+IF($B$1+63&lt;=$B89,12*$B$7,-12*$B$6*(1+$B$4)^63)&gt;0,1+$B$3,1))</f>
        <v/>
      </c>
      <c r="BO89">
        <f>IF($B$1+64&gt;90,BN89,(BN89+IF($B$1+64&lt;=$B89,12*$B$7,-12*$B$6*(1+$B$4)^64))*IF(BN89+IF($B$1+64&lt;=$B89,12*$B$7,-12*$B$6*(1+$B$4)^64)&gt;0,1+$B$3,1))</f>
        <v/>
      </c>
      <c r="BP89">
        <f>IF($B$1+65&gt;90,BO89,(BO89+IF($B$1+65&lt;=$B89,12*$B$7,-12*$B$6*(1+$B$4)^65))*IF(BO89+IF($B$1+65&lt;=$B89,12*$B$7,-12*$B$6*(1+$B$4)^65)&gt;0,1+$B$3,1))</f>
        <v/>
      </c>
      <c r="BQ89">
        <f>IF($B$1+66&gt;90,BP89,(BP89+IF($B$1+66&lt;=$B89,12*$B$7,-12*$B$6*(1+$B$4)^66))*IF(BP89+IF($B$1+66&lt;=$B89,12*$B$7,-12*$B$6*(1+$B$4)^66)&gt;0,1+$B$3,1))</f>
        <v/>
      </c>
      <c r="BR89">
        <f>IF($B$1+67&gt;90,BQ89,(BQ89+IF($B$1+67&lt;=$B89,12*$B$7,-12*$B$6*(1+$B$4)^67))*IF(BQ89+IF($B$1+67&lt;=$B89,12*$B$7,-12*$B$6*(1+$B$4)^67)&gt;0,1+$B$3,1))</f>
        <v/>
      </c>
      <c r="BS89">
        <f>IF($B$1+68&gt;90,BR89,(BR89+IF($B$1+68&lt;=$B89,12*$B$7,-12*$B$6*(1+$B$4)^68))*IF(BR89+IF($B$1+68&lt;=$B89,12*$B$7,-12*$B$6*(1+$B$4)^68)&gt;0,1+$B$3,1))</f>
        <v/>
      </c>
      <c r="BT89">
        <f>IF($B$1+69&gt;90,BS89,(BS89+IF($B$1+69&lt;=$B89,12*$B$7,-12*$B$6*(1+$B$4)^69))*IF(BS89+IF($B$1+69&lt;=$B89,12*$B$7,-12*$B$6*(1+$B$4)^69)&gt;0,1+$B$3,1))</f>
        <v/>
      </c>
      <c r="BU89">
        <f>IF($B$1+70&gt;90,BT89,(BT89+IF($B$1+70&lt;=$B89,12*$B$7,-12*$B$6*(1+$B$4)^70))*IF(BT89+IF($B$1+70&lt;=$B89,12*$B$7,-12*$B$6*(1+$B$4)^70)&gt;0,1+$B$3,1))</f>
        <v/>
      </c>
      <c r="BV89">
        <f>BU89</f>
        <v/>
      </c>
      <c r="BW89">
        <f>IF(AND($B89&lt;=70,BV89&gt;0),$B89,999)</f>
        <v/>
      </c>
    </row>
    <row r="90">
      <c r="A90" t="n">
        <v>50</v>
      </c>
      <c r="B90">
        <f>$B$1+50</f>
        <v/>
      </c>
      <c r="C90">
        <f>$B$2</f>
        <v/>
      </c>
      <c r="D90">
        <f>IF($B$1+1&gt;90,C90,(C90+IF($B$1+1&lt;=$B90,12*$B$7,-12*$B$6*(1+$B$4)^1))*IF(C90+IF($B$1+1&lt;=$B90,12*$B$7,-12*$B$6*(1+$B$4)^1)&gt;0,1+$B$3,1))</f>
        <v/>
      </c>
      <c r="E90">
        <f>IF($B$1+2&gt;90,D90,(D90+IF($B$1+2&lt;=$B90,12*$B$7,-12*$B$6*(1+$B$4)^2))*IF(D90+IF($B$1+2&lt;=$B90,12*$B$7,-12*$B$6*(1+$B$4)^2)&gt;0,1+$B$3,1))</f>
        <v/>
      </c>
      <c r="F90">
        <f>IF($B$1+3&gt;90,E90,(E90+IF($B$1+3&lt;=$B90,12*$B$7,-12*$B$6*(1+$B$4)^3))*IF(E90+IF($B$1+3&lt;=$B90,12*$B$7,-12*$B$6*(1+$B$4)^3)&gt;0,1+$B$3,1))</f>
        <v/>
      </c>
      <c r="G90">
        <f>IF($B$1+4&gt;90,F90,(F90+IF($B$1+4&lt;=$B90,12*$B$7,-12*$B$6*(1+$B$4)^4))*IF(F90+IF($B$1+4&lt;=$B90,12*$B$7,-12*$B$6*(1+$B$4)^4)&gt;0,1+$B$3,1))</f>
        <v/>
      </c>
      <c r="H90">
        <f>IF($B$1+5&gt;90,G90,(G90+IF($B$1+5&lt;=$B90,12*$B$7,-12*$B$6*(1+$B$4)^5))*IF(G90+IF($B$1+5&lt;=$B90,12*$B$7,-12*$B$6*(1+$B$4)^5)&gt;0,1+$B$3,1))</f>
        <v/>
      </c>
      <c r="I90">
        <f>IF($B$1+6&gt;90,H90,(H90+IF($B$1+6&lt;=$B90,12*$B$7,-12*$B$6*(1+$B$4)^6))*IF(H90+IF($B$1+6&lt;=$B90,12*$B$7,-12*$B$6*(1+$B$4)^6)&gt;0,1+$B$3,1))</f>
        <v/>
      </c>
      <c r="J90">
        <f>IF($B$1+7&gt;90,I90,(I90+IF($B$1+7&lt;=$B90,12*$B$7,-12*$B$6*(1+$B$4)^7))*IF(I90+IF($B$1+7&lt;=$B90,12*$B$7,-12*$B$6*(1+$B$4)^7)&gt;0,1+$B$3,1))</f>
        <v/>
      </c>
      <c r="K90">
        <f>IF($B$1+8&gt;90,J90,(J90+IF($B$1+8&lt;=$B90,12*$B$7,-12*$B$6*(1+$B$4)^8))*IF(J90+IF($B$1+8&lt;=$B90,12*$B$7,-12*$B$6*(1+$B$4)^8)&gt;0,1+$B$3,1))</f>
        <v/>
      </c>
      <c r="L90">
        <f>IF($B$1+9&gt;90,K90,(K90+IF($B$1+9&lt;=$B90,12*$B$7,-12*$B$6*(1+$B$4)^9))*IF(K90+IF($B$1+9&lt;=$B90,12*$B$7,-12*$B$6*(1+$B$4)^9)&gt;0,1+$B$3,1))</f>
        <v/>
      </c>
      <c r="M90">
        <f>IF($B$1+10&gt;90,L90,(L90+IF($B$1+10&lt;=$B90,12*$B$7,-12*$B$6*(1+$B$4)^10))*IF(L90+IF($B$1+10&lt;=$B90,12*$B$7,-12*$B$6*(1+$B$4)^10)&gt;0,1+$B$3,1))</f>
        <v/>
      </c>
      <c r="N90">
        <f>IF($B$1+11&gt;90,M90,(M90+IF($B$1+11&lt;=$B90,12*$B$7,-12*$B$6*(1+$B$4)^11))*IF(M90+IF($B$1+11&lt;=$B90,12*$B$7,-12*$B$6*(1+$B$4)^11)&gt;0,1+$B$3,1))</f>
        <v/>
      </c>
      <c r="O90">
        <f>IF($B$1+12&gt;90,N90,(N90+IF($B$1+12&lt;=$B90,12*$B$7,-12*$B$6*(1+$B$4)^12))*IF(N90+IF($B$1+12&lt;=$B90,12*$B$7,-12*$B$6*(1+$B$4)^12)&gt;0,1+$B$3,1))</f>
        <v/>
      </c>
      <c r="P90">
        <f>IF($B$1+13&gt;90,O90,(O90+IF($B$1+13&lt;=$B90,12*$B$7,-12*$B$6*(1+$B$4)^13))*IF(O90+IF($B$1+13&lt;=$B90,12*$B$7,-12*$B$6*(1+$B$4)^13)&gt;0,1+$B$3,1))</f>
        <v/>
      </c>
      <c r="Q90">
        <f>IF($B$1+14&gt;90,P90,(P90+IF($B$1+14&lt;=$B90,12*$B$7,-12*$B$6*(1+$B$4)^14))*IF(P90+IF($B$1+14&lt;=$B90,12*$B$7,-12*$B$6*(1+$B$4)^14)&gt;0,1+$B$3,1))</f>
        <v/>
      </c>
      <c r="R90">
        <f>IF($B$1+15&gt;90,Q90,(Q90+IF($B$1+15&lt;=$B90,12*$B$7,-12*$B$6*(1+$B$4)^15))*IF(Q90+IF($B$1+15&lt;=$B90,12*$B$7,-12*$B$6*(1+$B$4)^15)&gt;0,1+$B$3,1))</f>
        <v/>
      </c>
      <c r="S90">
        <f>IF($B$1+16&gt;90,R90,(R90+IF($B$1+16&lt;=$B90,12*$B$7,-12*$B$6*(1+$B$4)^16))*IF(R90+IF($B$1+16&lt;=$B90,12*$B$7,-12*$B$6*(1+$B$4)^16)&gt;0,1+$B$3,1))</f>
        <v/>
      </c>
      <c r="T90">
        <f>IF($B$1+17&gt;90,S90,(S90+IF($B$1+17&lt;=$B90,12*$B$7,-12*$B$6*(1+$B$4)^17))*IF(S90+IF($B$1+17&lt;=$B90,12*$B$7,-12*$B$6*(1+$B$4)^17)&gt;0,1+$B$3,1))</f>
        <v/>
      </c>
      <c r="U90">
        <f>IF($B$1+18&gt;90,T90,(T90+IF($B$1+18&lt;=$B90,12*$B$7,-12*$B$6*(1+$B$4)^18))*IF(T90+IF($B$1+18&lt;=$B90,12*$B$7,-12*$B$6*(1+$B$4)^18)&gt;0,1+$B$3,1))</f>
        <v/>
      </c>
      <c r="V90">
        <f>IF($B$1+19&gt;90,U90,(U90+IF($B$1+19&lt;=$B90,12*$B$7,-12*$B$6*(1+$B$4)^19))*IF(U90+IF($B$1+19&lt;=$B90,12*$B$7,-12*$B$6*(1+$B$4)^19)&gt;0,1+$B$3,1))</f>
        <v/>
      </c>
      <c r="W90">
        <f>IF($B$1+20&gt;90,V90,(V90+IF($B$1+20&lt;=$B90,12*$B$7,-12*$B$6*(1+$B$4)^20))*IF(V90+IF($B$1+20&lt;=$B90,12*$B$7,-12*$B$6*(1+$B$4)^20)&gt;0,1+$B$3,1))</f>
        <v/>
      </c>
      <c r="X90">
        <f>IF($B$1+21&gt;90,W90,(W90+IF($B$1+21&lt;=$B90,12*$B$7,-12*$B$6*(1+$B$4)^21))*IF(W90+IF($B$1+21&lt;=$B90,12*$B$7,-12*$B$6*(1+$B$4)^21)&gt;0,1+$B$3,1))</f>
        <v/>
      </c>
      <c r="Y90">
        <f>IF($B$1+22&gt;90,X90,(X90+IF($B$1+22&lt;=$B90,12*$B$7,-12*$B$6*(1+$B$4)^22))*IF(X90+IF($B$1+22&lt;=$B90,12*$B$7,-12*$B$6*(1+$B$4)^22)&gt;0,1+$B$3,1))</f>
        <v/>
      </c>
      <c r="Z90">
        <f>IF($B$1+23&gt;90,Y90,(Y90+IF($B$1+23&lt;=$B90,12*$B$7,-12*$B$6*(1+$B$4)^23))*IF(Y90+IF($B$1+23&lt;=$B90,12*$B$7,-12*$B$6*(1+$B$4)^23)&gt;0,1+$B$3,1))</f>
        <v/>
      </c>
      <c r="AA90">
        <f>IF($B$1+24&gt;90,Z90,(Z90+IF($B$1+24&lt;=$B90,12*$B$7,-12*$B$6*(1+$B$4)^24))*IF(Z90+IF($B$1+24&lt;=$B90,12*$B$7,-12*$B$6*(1+$B$4)^24)&gt;0,1+$B$3,1))</f>
        <v/>
      </c>
      <c r="AB90">
        <f>IF($B$1+25&gt;90,AA90,(AA90+IF($B$1+25&lt;=$B90,12*$B$7,-12*$B$6*(1+$B$4)^25))*IF(AA90+IF($B$1+25&lt;=$B90,12*$B$7,-12*$B$6*(1+$B$4)^25)&gt;0,1+$B$3,1))</f>
        <v/>
      </c>
      <c r="AC90">
        <f>IF($B$1+26&gt;90,AB90,(AB90+IF($B$1+26&lt;=$B90,12*$B$7,-12*$B$6*(1+$B$4)^26))*IF(AB90+IF($B$1+26&lt;=$B90,12*$B$7,-12*$B$6*(1+$B$4)^26)&gt;0,1+$B$3,1))</f>
        <v/>
      </c>
      <c r="AD90">
        <f>IF($B$1+27&gt;90,AC90,(AC90+IF($B$1+27&lt;=$B90,12*$B$7,-12*$B$6*(1+$B$4)^27))*IF(AC90+IF($B$1+27&lt;=$B90,12*$B$7,-12*$B$6*(1+$B$4)^27)&gt;0,1+$B$3,1))</f>
        <v/>
      </c>
      <c r="AE90">
        <f>IF($B$1+28&gt;90,AD90,(AD90+IF($B$1+28&lt;=$B90,12*$B$7,-12*$B$6*(1+$B$4)^28))*IF(AD90+IF($B$1+28&lt;=$B90,12*$B$7,-12*$B$6*(1+$B$4)^28)&gt;0,1+$B$3,1))</f>
        <v/>
      </c>
      <c r="AF90">
        <f>IF($B$1+29&gt;90,AE90,(AE90+IF($B$1+29&lt;=$B90,12*$B$7,-12*$B$6*(1+$B$4)^29))*IF(AE90+IF($B$1+29&lt;=$B90,12*$B$7,-12*$B$6*(1+$B$4)^29)&gt;0,1+$B$3,1))</f>
        <v/>
      </c>
      <c r="AG90">
        <f>IF($B$1+30&gt;90,AF90,(AF90+IF($B$1+30&lt;=$B90,12*$B$7,-12*$B$6*(1+$B$4)^30))*IF(AF90+IF($B$1+30&lt;=$B90,12*$B$7,-12*$B$6*(1+$B$4)^30)&gt;0,1+$B$3,1))</f>
        <v/>
      </c>
      <c r="AH90">
        <f>IF($B$1+31&gt;90,AG90,(AG90+IF($B$1+31&lt;=$B90,12*$B$7,-12*$B$6*(1+$B$4)^31))*IF(AG90+IF($B$1+31&lt;=$B90,12*$B$7,-12*$B$6*(1+$B$4)^31)&gt;0,1+$B$3,1))</f>
        <v/>
      </c>
      <c r="AI90">
        <f>IF($B$1+32&gt;90,AH90,(AH90+IF($B$1+32&lt;=$B90,12*$B$7,-12*$B$6*(1+$B$4)^32))*IF(AH90+IF($B$1+32&lt;=$B90,12*$B$7,-12*$B$6*(1+$B$4)^32)&gt;0,1+$B$3,1))</f>
        <v/>
      </c>
      <c r="AJ90">
        <f>IF($B$1+33&gt;90,AI90,(AI90+IF($B$1+33&lt;=$B90,12*$B$7,-12*$B$6*(1+$B$4)^33))*IF(AI90+IF($B$1+33&lt;=$B90,12*$B$7,-12*$B$6*(1+$B$4)^33)&gt;0,1+$B$3,1))</f>
        <v/>
      </c>
      <c r="AK90">
        <f>IF($B$1+34&gt;90,AJ90,(AJ90+IF($B$1+34&lt;=$B90,12*$B$7,-12*$B$6*(1+$B$4)^34))*IF(AJ90+IF($B$1+34&lt;=$B90,12*$B$7,-12*$B$6*(1+$B$4)^34)&gt;0,1+$B$3,1))</f>
        <v/>
      </c>
      <c r="AL90">
        <f>IF($B$1+35&gt;90,AK90,(AK90+IF($B$1+35&lt;=$B90,12*$B$7,-12*$B$6*(1+$B$4)^35))*IF(AK90+IF($B$1+35&lt;=$B90,12*$B$7,-12*$B$6*(1+$B$4)^35)&gt;0,1+$B$3,1))</f>
        <v/>
      </c>
      <c r="AM90">
        <f>IF($B$1+36&gt;90,AL90,(AL90+IF($B$1+36&lt;=$B90,12*$B$7,-12*$B$6*(1+$B$4)^36))*IF(AL90+IF($B$1+36&lt;=$B90,12*$B$7,-12*$B$6*(1+$B$4)^36)&gt;0,1+$B$3,1))</f>
        <v/>
      </c>
      <c r="AN90">
        <f>IF($B$1+37&gt;90,AM90,(AM90+IF($B$1+37&lt;=$B90,12*$B$7,-12*$B$6*(1+$B$4)^37))*IF(AM90+IF($B$1+37&lt;=$B90,12*$B$7,-12*$B$6*(1+$B$4)^37)&gt;0,1+$B$3,1))</f>
        <v/>
      </c>
      <c r="AO90">
        <f>IF($B$1+38&gt;90,AN90,(AN90+IF($B$1+38&lt;=$B90,12*$B$7,-12*$B$6*(1+$B$4)^38))*IF(AN90+IF($B$1+38&lt;=$B90,12*$B$7,-12*$B$6*(1+$B$4)^38)&gt;0,1+$B$3,1))</f>
        <v/>
      </c>
      <c r="AP90">
        <f>IF($B$1+39&gt;90,AO90,(AO90+IF($B$1+39&lt;=$B90,12*$B$7,-12*$B$6*(1+$B$4)^39))*IF(AO90+IF($B$1+39&lt;=$B90,12*$B$7,-12*$B$6*(1+$B$4)^39)&gt;0,1+$B$3,1))</f>
        <v/>
      </c>
      <c r="AQ90">
        <f>IF($B$1+40&gt;90,AP90,(AP90+IF($B$1+40&lt;=$B90,12*$B$7,-12*$B$6*(1+$B$4)^40))*IF(AP90+IF($B$1+40&lt;=$B90,12*$B$7,-12*$B$6*(1+$B$4)^40)&gt;0,1+$B$3,1))</f>
        <v/>
      </c>
      <c r="AR90">
        <f>IF($B$1+41&gt;90,AQ90,(AQ90+IF($B$1+41&lt;=$B90,12*$B$7,-12*$B$6*(1+$B$4)^41))*IF(AQ90+IF($B$1+41&lt;=$B90,12*$B$7,-12*$B$6*(1+$B$4)^41)&gt;0,1+$B$3,1))</f>
        <v/>
      </c>
      <c r="AS90">
        <f>IF($B$1+42&gt;90,AR90,(AR90+IF($B$1+42&lt;=$B90,12*$B$7,-12*$B$6*(1+$B$4)^42))*IF(AR90+IF($B$1+42&lt;=$B90,12*$B$7,-12*$B$6*(1+$B$4)^42)&gt;0,1+$B$3,1))</f>
        <v/>
      </c>
      <c r="AT90">
        <f>IF($B$1+43&gt;90,AS90,(AS90+IF($B$1+43&lt;=$B90,12*$B$7,-12*$B$6*(1+$B$4)^43))*IF(AS90+IF($B$1+43&lt;=$B90,12*$B$7,-12*$B$6*(1+$B$4)^43)&gt;0,1+$B$3,1))</f>
        <v/>
      </c>
      <c r="AU90">
        <f>IF($B$1+44&gt;90,AT90,(AT90+IF($B$1+44&lt;=$B90,12*$B$7,-12*$B$6*(1+$B$4)^44))*IF(AT90+IF($B$1+44&lt;=$B90,12*$B$7,-12*$B$6*(1+$B$4)^44)&gt;0,1+$B$3,1))</f>
        <v/>
      </c>
      <c r="AV90">
        <f>IF($B$1+45&gt;90,AU90,(AU90+IF($B$1+45&lt;=$B90,12*$B$7,-12*$B$6*(1+$B$4)^45))*IF(AU90+IF($B$1+45&lt;=$B90,12*$B$7,-12*$B$6*(1+$B$4)^45)&gt;0,1+$B$3,1))</f>
        <v/>
      </c>
      <c r="AW90">
        <f>IF($B$1+46&gt;90,AV90,(AV90+IF($B$1+46&lt;=$B90,12*$B$7,-12*$B$6*(1+$B$4)^46))*IF(AV90+IF($B$1+46&lt;=$B90,12*$B$7,-12*$B$6*(1+$B$4)^46)&gt;0,1+$B$3,1))</f>
        <v/>
      </c>
      <c r="AX90">
        <f>IF($B$1+47&gt;90,AW90,(AW90+IF($B$1+47&lt;=$B90,12*$B$7,-12*$B$6*(1+$B$4)^47))*IF(AW90+IF($B$1+47&lt;=$B90,12*$B$7,-12*$B$6*(1+$B$4)^47)&gt;0,1+$B$3,1))</f>
        <v/>
      </c>
      <c r="AY90">
        <f>IF($B$1+48&gt;90,AX90,(AX90+IF($B$1+48&lt;=$B90,12*$B$7,-12*$B$6*(1+$B$4)^48))*IF(AX90+IF($B$1+48&lt;=$B90,12*$B$7,-12*$B$6*(1+$B$4)^48)&gt;0,1+$B$3,1))</f>
        <v/>
      </c>
      <c r="AZ90">
        <f>IF($B$1+49&gt;90,AY90,(AY90+IF($B$1+49&lt;=$B90,12*$B$7,-12*$B$6*(1+$B$4)^49))*IF(AY90+IF($B$1+49&lt;=$B90,12*$B$7,-12*$B$6*(1+$B$4)^49)&gt;0,1+$B$3,1))</f>
        <v/>
      </c>
      <c r="BA90">
        <f>IF($B$1+50&gt;90,AZ90,(AZ90+IF($B$1+50&lt;=$B90,12*$B$7,-12*$B$6*(1+$B$4)^50))*IF(AZ90+IF($B$1+50&lt;=$B90,12*$B$7,-12*$B$6*(1+$B$4)^50)&gt;0,1+$B$3,1))</f>
        <v/>
      </c>
      <c r="BB90">
        <f>IF($B$1+51&gt;90,BA90,(BA90+IF($B$1+51&lt;=$B90,12*$B$7,-12*$B$6*(1+$B$4)^51))*IF(BA90+IF($B$1+51&lt;=$B90,12*$B$7,-12*$B$6*(1+$B$4)^51)&gt;0,1+$B$3,1))</f>
        <v/>
      </c>
      <c r="BC90">
        <f>IF($B$1+52&gt;90,BB90,(BB90+IF($B$1+52&lt;=$B90,12*$B$7,-12*$B$6*(1+$B$4)^52))*IF(BB90+IF($B$1+52&lt;=$B90,12*$B$7,-12*$B$6*(1+$B$4)^52)&gt;0,1+$B$3,1))</f>
        <v/>
      </c>
      <c r="BD90">
        <f>IF($B$1+53&gt;90,BC90,(BC90+IF($B$1+53&lt;=$B90,12*$B$7,-12*$B$6*(1+$B$4)^53))*IF(BC90+IF($B$1+53&lt;=$B90,12*$B$7,-12*$B$6*(1+$B$4)^53)&gt;0,1+$B$3,1))</f>
        <v/>
      </c>
      <c r="BE90">
        <f>IF($B$1+54&gt;90,BD90,(BD90+IF($B$1+54&lt;=$B90,12*$B$7,-12*$B$6*(1+$B$4)^54))*IF(BD90+IF($B$1+54&lt;=$B90,12*$B$7,-12*$B$6*(1+$B$4)^54)&gt;0,1+$B$3,1))</f>
        <v/>
      </c>
      <c r="BF90">
        <f>IF($B$1+55&gt;90,BE90,(BE90+IF($B$1+55&lt;=$B90,12*$B$7,-12*$B$6*(1+$B$4)^55))*IF(BE90+IF($B$1+55&lt;=$B90,12*$B$7,-12*$B$6*(1+$B$4)^55)&gt;0,1+$B$3,1))</f>
        <v/>
      </c>
      <c r="BG90">
        <f>IF($B$1+56&gt;90,BF90,(BF90+IF($B$1+56&lt;=$B90,12*$B$7,-12*$B$6*(1+$B$4)^56))*IF(BF90+IF($B$1+56&lt;=$B90,12*$B$7,-12*$B$6*(1+$B$4)^56)&gt;0,1+$B$3,1))</f>
        <v/>
      </c>
      <c r="BH90">
        <f>IF($B$1+57&gt;90,BG90,(BG90+IF($B$1+57&lt;=$B90,12*$B$7,-12*$B$6*(1+$B$4)^57))*IF(BG90+IF($B$1+57&lt;=$B90,12*$B$7,-12*$B$6*(1+$B$4)^57)&gt;0,1+$B$3,1))</f>
        <v/>
      </c>
      <c r="BI90">
        <f>IF($B$1+58&gt;90,BH90,(BH90+IF($B$1+58&lt;=$B90,12*$B$7,-12*$B$6*(1+$B$4)^58))*IF(BH90+IF($B$1+58&lt;=$B90,12*$B$7,-12*$B$6*(1+$B$4)^58)&gt;0,1+$B$3,1))</f>
        <v/>
      </c>
      <c r="BJ90">
        <f>IF($B$1+59&gt;90,BI90,(BI90+IF($B$1+59&lt;=$B90,12*$B$7,-12*$B$6*(1+$B$4)^59))*IF(BI90+IF($B$1+59&lt;=$B90,12*$B$7,-12*$B$6*(1+$B$4)^59)&gt;0,1+$B$3,1))</f>
        <v/>
      </c>
      <c r="BK90">
        <f>IF($B$1+60&gt;90,BJ90,(BJ90+IF($B$1+60&lt;=$B90,12*$B$7,-12*$B$6*(1+$B$4)^60))*IF(BJ90+IF($B$1+60&lt;=$B90,12*$B$7,-12*$B$6*(1+$B$4)^60)&gt;0,1+$B$3,1))</f>
        <v/>
      </c>
      <c r="BL90">
        <f>IF($B$1+61&gt;90,BK90,(BK90+IF($B$1+61&lt;=$B90,12*$B$7,-12*$B$6*(1+$B$4)^61))*IF(BK90+IF($B$1+61&lt;=$B90,12*$B$7,-12*$B$6*(1+$B$4)^61)&gt;0,1+$B$3,1))</f>
        <v/>
      </c>
      <c r="BM90">
        <f>IF($B$1+62&gt;90,BL90,(BL90+IF($B$1+62&lt;=$B90,12*$B$7,-12*$B$6*(1+$B$4)^62))*IF(BL90+IF($B$1+62&lt;=$B90,12*$B$7,-12*$B$6*(1+$B$4)^62)&gt;0,1+$B$3,1))</f>
        <v/>
      </c>
      <c r="BN90">
        <f>IF($B$1+63&gt;90,BM90,(BM90+IF($B$1+63&lt;=$B90,12*$B$7,-12*$B$6*(1+$B$4)^63))*IF(BM90+IF($B$1+63&lt;=$B90,12*$B$7,-12*$B$6*(1+$B$4)^63)&gt;0,1+$B$3,1))</f>
        <v/>
      </c>
      <c r="BO90">
        <f>IF($B$1+64&gt;90,BN90,(BN90+IF($B$1+64&lt;=$B90,12*$B$7,-12*$B$6*(1+$B$4)^64))*IF(BN90+IF($B$1+64&lt;=$B90,12*$B$7,-12*$B$6*(1+$B$4)^64)&gt;0,1+$B$3,1))</f>
        <v/>
      </c>
      <c r="BP90">
        <f>IF($B$1+65&gt;90,BO90,(BO90+IF($B$1+65&lt;=$B90,12*$B$7,-12*$B$6*(1+$B$4)^65))*IF(BO90+IF($B$1+65&lt;=$B90,12*$B$7,-12*$B$6*(1+$B$4)^65)&gt;0,1+$B$3,1))</f>
        <v/>
      </c>
      <c r="BQ90">
        <f>IF($B$1+66&gt;90,BP90,(BP90+IF($B$1+66&lt;=$B90,12*$B$7,-12*$B$6*(1+$B$4)^66))*IF(BP90+IF($B$1+66&lt;=$B90,12*$B$7,-12*$B$6*(1+$B$4)^66)&gt;0,1+$B$3,1))</f>
        <v/>
      </c>
      <c r="BR90">
        <f>IF($B$1+67&gt;90,BQ90,(BQ90+IF($B$1+67&lt;=$B90,12*$B$7,-12*$B$6*(1+$B$4)^67))*IF(BQ90+IF($B$1+67&lt;=$B90,12*$B$7,-12*$B$6*(1+$B$4)^67)&gt;0,1+$B$3,1))</f>
        <v/>
      </c>
      <c r="BS90">
        <f>IF($B$1+68&gt;90,BR90,(BR90+IF($B$1+68&lt;=$B90,12*$B$7,-12*$B$6*(1+$B$4)^68))*IF(BR90+IF($B$1+68&lt;=$B90,12*$B$7,-12*$B$6*(1+$B$4)^68)&gt;0,1+$B$3,1))</f>
        <v/>
      </c>
      <c r="BT90">
        <f>IF($B$1+69&gt;90,BS90,(BS90+IF($B$1+69&lt;=$B90,12*$B$7,-12*$B$6*(1+$B$4)^69))*IF(BS90+IF($B$1+69&lt;=$B90,12*$B$7,-12*$B$6*(1+$B$4)^69)&gt;0,1+$B$3,1))</f>
        <v/>
      </c>
      <c r="BU90">
        <f>IF($B$1+70&gt;90,BT90,(BT90+IF($B$1+70&lt;=$B90,12*$B$7,-12*$B$6*(1+$B$4)^70))*IF(BT90+IF($B$1+70&lt;=$B90,12*$B$7,-12*$B$6*(1+$B$4)^70)&gt;0,1+$B$3,1))</f>
        <v/>
      </c>
      <c r="BV90">
        <f>BU90</f>
        <v/>
      </c>
      <c r="BW90">
        <f>IF(AND($B90&lt;=70,BV90&gt;0),$B90,999)</f>
        <v/>
      </c>
    </row>
    <row r="93">
      <c r="A93" t="inlineStr">
        <is>
          <t>결과 1</t>
        </is>
      </c>
      <c r="B93">
        <f>MIN(BW96:BW146)</f>
        <v/>
      </c>
      <c r="C93">
        <f>IF(B93=999,"",IF(B93=$B$1,$B$1,B93-1+(-INDEX(BV96:BV146,B93-$B$1))/(INDEX(BV96:BV146,B93-$B$1+1)-INDEX(BV96:BV146,B93-$B$1))))</f>
        <v/>
      </c>
      <c r="D93">
        <f>IF(C93="","",ROUND(C93*12,0))</f>
        <v/>
      </c>
    </row>
    <row r="95">
      <c r="A95" t="inlineStr">
        <is>
          <t>시나리오 1</t>
        </is>
      </c>
      <c r="B95" t="inlineStr">
        <is>
          <t>R</t>
        </is>
      </c>
      <c r="C95" t="n">
        <v>0</v>
      </c>
      <c r="D95" t="n">
        <v>1</v>
      </c>
      <c r="E95" t="n">
        <v>2</v>
      </c>
      <c r="F95" t="n">
        <v>3</v>
      </c>
      <c r="G95" t="n">
        <v>4</v>
      </c>
      <c r="H95" t="n">
        <v>5</v>
      </c>
      <c r="I95" t="n">
        <v>6</v>
      </c>
      <c r="J95" t="n">
        <v>7</v>
      </c>
      <c r="K95" t="n">
        <v>8</v>
      </c>
      <c r="L95" t="n">
        <v>9</v>
      </c>
      <c r="M95" t="n">
        <v>10</v>
      </c>
      <c r="N95" t="n">
        <v>11</v>
      </c>
      <c r="O95" t="n">
        <v>12</v>
      </c>
      <c r="P95" t="n">
        <v>13</v>
      </c>
      <c r="Q95" t="n">
        <v>14</v>
      </c>
      <c r="R95" t="n">
        <v>15</v>
      </c>
      <c r="S95" t="n">
        <v>16</v>
      </c>
      <c r="T95" t="n">
        <v>17</v>
      </c>
      <c r="U95" t="n">
        <v>18</v>
      </c>
      <c r="V95" t="n">
        <v>19</v>
      </c>
      <c r="W95" t="n">
        <v>20</v>
      </c>
      <c r="X95" t="n">
        <v>21</v>
      </c>
      <c r="Y95" t="n">
        <v>22</v>
      </c>
      <c r="Z95" t="n">
        <v>23</v>
      </c>
      <c r="AA95" t="n">
        <v>24</v>
      </c>
      <c r="AB95" t="n">
        <v>25</v>
      </c>
      <c r="AC95" t="n">
        <v>26</v>
      </c>
      <c r="AD95" t="n">
        <v>27</v>
      </c>
      <c r="AE95" t="n">
        <v>28</v>
      </c>
      <c r="AF95" t="n">
        <v>29</v>
      </c>
      <c r="AG95" t="n">
        <v>30</v>
      </c>
      <c r="AH95" t="n">
        <v>31</v>
      </c>
      <c r="AI95" t="n">
        <v>32</v>
      </c>
      <c r="AJ95" t="n">
        <v>33</v>
      </c>
      <c r="AK95" t="n">
        <v>34</v>
      </c>
      <c r="AL95" t="n">
        <v>35</v>
      </c>
      <c r="AM95" t="n">
        <v>36</v>
      </c>
      <c r="AN95" t="n">
        <v>37</v>
      </c>
      <c r="AO95" t="n">
        <v>38</v>
      </c>
      <c r="AP95" t="n">
        <v>39</v>
      </c>
      <c r="AQ95" t="n">
        <v>40</v>
      </c>
      <c r="AR95" t="n">
        <v>41</v>
      </c>
      <c r="AS95" t="n">
        <v>42</v>
      </c>
      <c r="AT95" t="n">
        <v>43</v>
      </c>
      <c r="AU95" t="n">
        <v>44</v>
      </c>
      <c r="AV95" t="n">
        <v>45</v>
      </c>
      <c r="AW95" t="n">
        <v>46</v>
      </c>
      <c r="AX95" t="n">
        <v>47</v>
      </c>
      <c r="AY95" t="n">
        <v>48</v>
      </c>
      <c r="AZ95" t="n">
        <v>49</v>
      </c>
      <c r="BA95" t="n">
        <v>50</v>
      </c>
      <c r="BB95" t="n">
        <v>51</v>
      </c>
      <c r="BC95" t="n">
        <v>52</v>
      </c>
      <c r="BD95" t="n">
        <v>53</v>
      </c>
      <c r="BE95" t="n">
        <v>54</v>
      </c>
      <c r="BF95" t="n">
        <v>55</v>
      </c>
      <c r="BG95" t="n">
        <v>56</v>
      </c>
      <c r="BH95" t="n">
        <v>57</v>
      </c>
      <c r="BI95" t="n">
        <v>58</v>
      </c>
      <c r="BJ95" t="n">
        <v>59</v>
      </c>
      <c r="BK95" t="n">
        <v>60</v>
      </c>
      <c r="BL95" t="n">
        <v>61</v>
      </c>
      <c r="BM95" t="n">
        <v>62</v>
      </c>
      <c r="BN95" t="n">
        <v>63</v>
      </c>
      <c r="BO95" t="n">
        <v>64</v>
      </c>
      <c r="BP95" t="n">
        <v>65</v>
      </c>
      <c r="BQ95" t="n">
        <v>66</v>
      </c>
      <c r="BR95" t="n">
        <v>67</v>
      </c>
      <c r="BS95" t="n">
        <v>68</v>
      </c>
      <c r="BT95" t="n">
        <v>69</v>
      </c>
      <c r="BU95" t="n">
        <v>70</v>
      </c>
      <c r="BV95" t="inlineStr">
        <is>
          <t>90세 자산</t>
        </is>
      </c>
      <c r="BW95" t="inlineStr">
        <is>
          <t>가능 R</t>
        </is>
      </c>
    </row>
    <row r="96">
      <c r="A96" t="n">
        <v>0</v>
      </c>
      <c r="B96">
        <f>$B$1+0</f>
        <v/>
      </c>
      <c r="C96">
        <f>$B$2</f>
        <v/>
      </c>
      <c r="D96">
        <f>IF($B$1+1&gt;90,C96,(C96+IF($B$1+1&lt;=$B96,12*($B$7-$B$10),-12*($B$6+$B$10)*(1+$B$4)^1))*IF(C96+IF($B$1+1&lt;=$B96,12*($B$7-$B$10),-12*($B$6+$B$10)*(1+$B$4)^1)&gt;0,1+$B$3,1))</f>
        <v/>
      </c>
      <c r="E96">
        <f>IF($B$1+2&gt;90,D96,(D96+IF($B$1+2&lt;=$B96,12*($B$7-$B$10),-12*($B$6+$B$10)*(1+$B$4)^2))*IF(D96+IF($B$1+2&lt;=$B96,12*($B$7-$B$10),-12*($B$6+$B$10)*(1+$B$4)^2)&gt;0,1+$B$3,1))</f>
        <v/>
      </c>
      <c r="F96">
        <f>IF($B$1+3&gt;90,E96,(E96+IF($B$1+3&lt;=$B96,12*($B$7-$B$10),-12*($B$6+$B$10)*(1+$B$4)^3))*IF(E96+IF($B$1+3&lt;=$B96,12*($B$7-$B$10),-12*($B$6+$B$10)*(1+$B$4)^3)&gt;0,1+$B$3,1))</f>
        <v/>
      </c>
      <c r="G96">
        <f>IF($B$1+4&gt;90,F96,(F96+IF($B$1+4&lt;=$B96,12*($B$7-$B$10),-12*($B$6+$B$10)*(1+$B$4)^4))*IF(F96+IF($B$1+4&lt;=$B96,12*($B$7-$B$10),-12*($B$6+$B$10)*(1+$B$4)^4)&gt;0,1+$B$3,1))</f>
        <v/>
      </c>
      <c r="H96">
        <f>IF($B$1+5&gt;90,G96,(G96+IF($B$1+5&lt;=$B96,12*($B$7-$B$10),-12*($B$6+$B$10)*(1+$B$4)^5))*IF(G96+IF($B$1+5&lt;=$B96,12*($B$7-$B$10),-12*($B$6+$B$10)*(1+$B$4)^5)&gt;0,1+$B$3,1))</f>
        <v/>
      </c>
      <c r="I96">
        <f>IF($B$1+6&gt;90,H96,(H96+IF($B$1+6&lt;=$B96,12*($B$7-$B$10),-12*($B$6+$B$10)*(1+$B$4)^6))*IF(H96+IF($B$1+6&lt;=$B96,12*($B$7-$B$10),-12*($B$6+$B$10)*(1+$B$4)^6)&gt;0,1+$B$3,1))</f>
        <v/>
      </c>
      <c r="J96">
        <f>IF($B$1+7&gt;90,I96,(I96+IF($B$1+7&lt;=$B96,12*($B$7-$B$10),-12*($B$6+$B$10)*(1+$B$4)^7))*IF(I96+IF($B$1+7&lt;=$B96,12*($B$7-$B$10),-12*($B$6+$B$10)*(1+$B$4)^7)&gt;0,1+$B$3,1))</f>
        <v/>
      </c>
      <c r="K96">
        <f>IF($B$1+8&gt;90,J96,(J96+IF($B$1+8&lt;=$B96,12*($B$7-$B$10),-12*($B$6+$B$10)*(1+$B$4)^8))*IF(J96+IF($B$1+8&lt;=$B96,12*($B$7-$B$10),-12*($B$6+$B$10)*(1+$B$4)^8)&gt;0,1+$B$3,1))</f>
        <v/>
      </c>
      <c r="L96">
        <f>IF($B$1+9&gt;90,K96,(K96+IF($B$1+9&lt;=$B96,12*($B$7-$B$10),-12*($B$6+$B$10)*(1+$B$4)^9))*IF(K96+IF($B$1+9&lt;=$B96,12*($B$7-$B$10),-12*($B$6+$B$10)*(1+$B$4)^9)&gt;0,1+$B$3,1))</f>
        <v/>
      </c>
      <c r="M96">
        <f>IF($B$1+10&gt;90,L96,(L96+IF($B$1+10&lt;=$B96,12*($B$7-$B$10),-12*($B$6+$B$10)*(1+$B$4)^10))*IF(L96+IF($B$1+10&lt;=$B96,12*($B$7-$B$10),-12*($B$6+$B$10)*(1+$B$4)^10)&gt;0,1+$B$3,1))</f>
        <v/>
      </c>
      <c r="N96">
        <f>IF($B$1+11&gt;90,M96,(M96+IF($B$1+11&lt;=$B96,12*($B$7-$B$10),-12*($B$6+$B$10)*(1+$B$4)^11))*IF(M96+IF($B$1+11&lt;=$B96,12*($B$7-$B$10),-12*($B$6+$B$10)*(1+$B$4)^11)&gt;0,1+$B$3,1))</f>
        <v/>
      </c>
      <c r="O96">
        <f>IF($B$1+12&gt;90,N96,(N96+IF($B$1+12&lt;=$B96,12*($B$7-$B$10),-12*($B$6+$B$10)*(1+$B$4)^12))*IF(N96+IF($B$1+12&lt;=$B96,12*($B$7-$B$10),-12*($B$6+$B$10)*(1+$B$4)^12)&gt;0,1+$B$3,1))</f>
        <v/>
      </c>
      <c r="P96">
        <f>IF($B$1+13&gt;90,O96,(O96+IF($B$1+13&lt;=$B96,12*($B$7-$B$10),-12*($B$6+$B$10)*(1+$B$4)^13))*IF(O96+IF($B$1+13&lt;=$B96,12*($B$7-$B$10),-12*($B$6+$B$10)*(1+$B$4)^13)&gt;0,1+$B$3,1))</f>
        <v/>
      </c>
      <c r="Q96">
        <f>IF($B$1+14&gt;90,P96,(P96+IF($B$1+14&lt;=$B96,12*($B$7-$B$10),-12*($B$6+$B$10)*(1+$B$4)^14))*IF(P96+IF($B$1+14&lt;=$B96,12*($B$7-$B$10),-12*($B$6+$B$10)*(1+$B$4)^14)&gt;0,1+$B$3,1))</f>
        <v/>
      </c>
      <c r="R96">
        <f>IF($B$1+15&gt;90,Q96,(Q96+IF($B$1+15&lt;=$B96,12*($B$7-$B$10),-12*($B$6+$B$10)*(1+$B$4)^15))*IF(Q96+IF($B$1+15&lt;=$B96,12*($B$7-$B$10),-12*($B$6+$B$10)*(1+$B$4)^15)&gt;0,1+$B$3,1))</f>
        <v/>
      </c>
      <c r="S96">
        <f>IF($B$1+16&gt;90,R96,(R96+IF($B$1+16&lt;=$B96,12*($B$7-$B$10),-12*($B$6+$B$10)*(1+$B$4)^16))*IF(R96+IF($B$1+16&lt;=$B96,12*($B$7-$B$10),-12*($B$6+$B$10)*(1+$B$4)^16)&gt;0,1+$B$3,1))</f>
        <v/>
      </c>
      <c r="T96">
        <f>IF($B$1+17&gt;90,S96,(S96+IF($B$1+17&lt;=$B96,12*($B$7-$B$10),-12*($B$6+$B$10)*(1+$B$4)^17))*IF(S96+IF($B$1+17&lt;=$B96,12*($B$7-$B$10),-12*($B$6+$B$10)*(1+$B$4)^17)&gt;0,1+$B$3,1))</f>
        <v/>
      </c>
      <c r="U96">
        <f>IF($B$1+18&gt;90,T96,(T96+IF($B$1+18&lt;=$B96,12*($B$7-$B$10),-12*($B$6+$B$10)*(1+$B$4)^18))*IF(T96+IF($B$1+18&lt;=$B96,12*($B$7-$B$10),-12*($B$6+$B$10)*(1+$B$4)^18)&gt;0,1+$B$3,1))</f>
        <v/>
      </c>
      <c r="V96">
        <f>IF($B$1+19&gt;90,U96,(U96+IF($B$1+19&lt;=$B96,12*($B$7-$B$10),-12*($B$6+$B$10)*(1+$B$4)^19))*IF(U96+IF($B$1+19&lt;=$B96,12*($B$7-$B$10),-12*($B$6+$B$10)*(1+$B$4)^19)&gt;0,1+$B$3,1))</f>
        <v/>
      </c>
      <c r="W96">
        <f>IF($B$1+20&gt;90,V96,(V96+IF($B$1+20&lt;=$B96,12*($B$7-$B$10),-12*($B$6+$B$10)*(1+$B$4)^20))*IF(V96+IF($B$1+20&lt;=$B96,12*($B$7-$B$10),-12*($B$6+$B$10)*(1+$B$4)^20)&gt;0,1+$B$3,1))</f>
        <v/>
      </c>
      <c r="X96">
        <f>IF($B$1+21&gt;90,W96,(W96+IF($B$1+21&lt;=$B96,12*($B$7-$B$10),-12*($B$6+$B$10)*(1+$B$4)^21))*IF(W96+IF($B$1+21&lt;=$B96,12*($B$7-$B$10),-12*($B$6+$B$10)*(1+$B$4)^21)&gt;0,1+$B$3,1))</f>
        <v/>
      </c>
      <c r="Y96">
        <f>IF($B$1+22&gt;90,X96,(X96+IF($B$1+22&lt;=$B96,12*($B$7-$B$10),-12*($B$6+$B$10)*(1+$B$4)^22))*IF(X96+IF($B$1+22&lt;=$B96,12*($B$7-$B$10),-12*($B$6+$B$10)*(1+$B$4)^22)&gt;0,1+$B$3,1))</f>
        <v/>
      </c>
      <c r="Z96">
        <f>IF($B$1+23&gt;90,Y96,(Y96+IF($B$1+23&lt;=$B96,12*($B$7-$B$10),-12*($B$6+$B$10)*(1+$B$4)^23))*IF(Y96+IF($B$1+23&lt;=$B96,12*($B$7-$B$10),-12*($B$6+$B$10)*(1+$B$4)^23)&gt;0,1+$B$3,1))</f>
        <v/>
      </c>
      <c r="AA96">
        <f>IF($B$1+24&gt;90,Z96,(Z96+IF($B$1+24&lt;=$B96,12*($B$7-$B$10),-12*($B$6+$B$10)*(1+$B$4)^24))*IF(Z96+IF($B$1+24&lt;=$B96,12*($B$7-$B$10),-12*($B$6+$B$10)*(1+$B$4)^24)&gt;0,1+$B$3,1))</f>
        <v/>
      </c>
      <c r="AB96">
        <f>IF($B$1+25&gt;90,AA96,(AA96+IF($B$1+25&lt;=$B96,12*($B$7-$B$10),-12*($B$6+$B$10)*(1+$B$4)^25))*IF(AA96+IF($B$1+25&lt;=$B96,12*($B$7-$B$10),-12*($B$6+$B$10)*(1+$B$4)^25)&gt;0,1+$B$3,1))</f>
        <v/>
      </c>
      <c r="AC96">
        <f>IF($B$1+26&gt;90,AB96,(AB96+IF($B$1+26&lt;=$B96,12*($B$7-$B$10),-12*($B$6+$B$10)*(1+$B$4)^26))*IF(AB96+IF($B$1+26&lt;=$B96,12*($B$7-$B$10),-12*($B$6+$B$10)*(1+$B$4)^26)&gt;0,1+$B$3,1))</f>
        <v/>
      </c>
      <c r="AD96">
        <f>IF($B$1+27&gt;90,AC96,(AC96+IF($B$1+27&lt;=$B96,12*($B$7-$B$10),-12*($B$6+$B$10)*(1+$B$4)^27))*IF(AC96+IF($B$1+27&lt;=$B96,12*($B$7-$B$10),-12*($B$6+$B$10)*(1+$B$4)^27)&gt;0,1+$B$3,1))</f>
        <v/>
      </c>
      <c r="AE96">
        <f>IF($B$1+28&gt;90,AD96,(AD96+IF($B$1+28&lt;=$B96,12*($B$7-$B$10),-12*($B$6+$B$10)*(1+$B$4)^28))*IF(AD96+IF($B$1+28&lt;=$B96,12*($B$7-$B$10),-12*($B$6+$B$10)*(1+$B$4)^28)&gt;0,1+$B$3,1))</f>
        <v/>
      </c>
      <c r="AF96">
        <f>IF($B$1+29&gt;90,AE96,(AE96+IF($B$1+29&lt;=$B96,12*($B$7-$B$10),-12*($B$6+$B$10)*(1+$B$4)^29))*IF(AE96+IF($B$1+29&lt;=$B96,12*($B$7-$B$10),-12*($B$6+$B$10)*(1+$B$4)^29)&gt;0,1+$B$3,1))</f>
        <v/>
      </c>
      <c r="AG96">
        <f>IF($B$1+30&gt;90,AF96,(AF96+IF($B$1+30&lt;=$B96,12*($B$7-$B$10),-12*($B$6+$B$10)*(1+$B$4)^30))*IF(AF96+IF($B$1+30&lt;=$B96,12*($B$7-$B$10),-12*($B$6+$B$10)*(1+$B$4)^30)&gt;0,1+$B$3,1))</f>
        <v/>
      </c>
      <c r="AH96">
        <f>IF($B$1+31&gt;90,AG96,(AG96+IF($B$1+31&lt;=$B96,12*($B$7-$B$10),-12*($B$6+$B$10)*(1+$B$4)^31))*IF(AG96+IF($B$1+31&lt;=$B96,12*($B$7-$B$10),-12*($B$6+$B$10)*(1+$B$4)^31)&gt;0,1+$B$3,1))</f>
        <v/>
      </c>
      <c r="AI96">
        <f>IF($B$1+32&gt;90,AH96,(AH96+IF($B$1+32&lt;=$B96,12*($B$7-$B$10),-12*($B$6+$B$10)*(1+$B$4)^32))*IF(AH96+IF($B$1+32&lt;=$B96,12*($B$7-$B$10),-12*($B$6+$B$10)*(1+$B$4)^32)&gt;0,1+$B$3,1))</f>
        <v/>
      </c>
      <c r="AJ96">
        <f>IF($B$1+33&gt;90,AI96,(AI96+IF($B$1+33&lt;=$B96,12*($B$7-$B$10),-12*($B$6+$B$10)*(1+$B$4)^33))*IF(AI96+IF($B$1+33&lt;=$B96,12*($B$7-$B$10),-12*($B$6+$B$10)*(1+$B$4)^33)&gt;0,1+$B$3,1))</f>
        <v/>
      </c>
      <c r="AK96">
        <f>IF($B$1+34&gt;90,AJ96,(AJ96+IF($B$1+34&lt;=$B96,12*($B$7-$B$10),-12*($B$6+$B$10)*(1+$B$4)^34))*IF(AJ96+IF($B$1+34&lt;=$B96,12*($B$7-$B$10),-12*($B$6+$B$10)*(1+$B$4)^34)&gt;0,1+$B$3,1))</f>
        <v/>
      </c>
      <c r="AL96">
        <f>IF($B$1+35&gt;90,AK96,(AK96+IF($B$1+35&lt;=$B96,12*($B$7-$B$10),-12*($B$6+$B$10)*(1+$B$4)^35))*IF(AK96+IF($B$1+35&lt;=$B96,12*($B$7-$B$10),-12*($B$6+$B$10)*(1+$B$4)^35)&gt;0,1+$B$3,1))</f>
        <v/>
      </c>
      <c r="AM96">
        <f>IF($B$1+36&gt;90,AL96,(AL96+IF($B$1+36&lt;=$B96,12*($B$7-$B$10),-12*($B$6+$B$10)*(1+$B$4)^36))*IF(AL96+IF($B$1+36&lt;=$B96,12*($B$7-$B$10),-12*($B$6+$B$10)*(1+$B$4)^36)&gt;0,1+$B$3,1))</f>
        <v/>
      </c>
      <c r="AN96">
        <f>IF($B$1+37&gt;90,AM96,(AM96+IF($B$1+37&lt;=$B96,12*($B$7-$B$10),-12*($B$6+$B$10)*(1+$B$4)^37))*IF(AM96+IF($B$1+37&lt;=$B96,12*($B$7-$B$10),-12*($B$6+$B$10)*(1+$B$4)^37)&gt;0,1+$B$3,1))</f>
        <v/>
      </c>
      <c r="AO96">
        <f>IF($B$1+38&gt;90,AN96,(AN96+IF($B$1+38&lt;=$B96,12*($B$7-$B$10),-12*($B$6+$B$10)*(1+$B$4)^38))*IF(AN96+IF($B$1+38&lt;=$B96,12*($B$7-$B$10),-12*($B$6+$B$10)*(1+$B$4)^38)&gt;0,1+$B$3,1))</f>
        <v/>
      </c>
      <c r="AP96">
        <f>IF($B$1+39&gt;90,AO96,(AO96+IF($B$1+39&lt;=$B96,12*($B$7-$B$10),-12*($B$6+$B$10)*(1+$B$4)^39))*IF(AO96+IF($B$1+39&lt;=$B96,12*($B$7-$B$10),-12*($B$6+$B$10)*(1+$B$4)^39)&gt;0,1+$B$3,1))</f>
        <v/>
      </c>
      <c r="AQ96">
        <f>IF($B$1+40&gt;90,AP96,(AP96+IF($B$1+40&lt;=$B96,12*($B$7-$B$10),-12*($B$6+$B$10)*(1+$B$4)^40))*IF(AP96+IF($B$1+40&lt;=$B96,12*($B$7-$B$10),-12*($B$6+$B$10)*(1+$B$4)^40)&gt;0,1+$B$3,1))</f>
        <v/>
      </c>
      <c r="AR96">
        <f>IF($B$1+41&gt;90,AQ96,(AQ96+IF($B$1+41&lt;=$B96,12*($B$7-$B$10),-12*($B$6+$B$10)*(1+$B$4)^41))*IF(AQ96+IF($B$1+41&lt;=$B96,12*($B$7-$B$10),-12*($B$6+$B$10)*(1+$B$4)^41)&gt;0,1+$B$3,1))</f>
        <v/>
      </c>
      <c r="AS96">
        <f>IF($B$1+42&gt;90,AR96,(AR96+IF($B$1+42&lt;=$B96,12*($B$7-$B$10),-12*($B$6+$B$10)*(1+$B$4)^42))*IF(AR96+IF($B$1+42&lt;=$B96,12*($B$7-$B$10),-12*($B$6+$B$10)*(1+$B$4)^42)&gt;0,1+$B$3,1))</f>
        <v/>
      </c>
      <c r="AT96">
        <f>IF($B$1+43&gt;90,AS96,(AS96+IF($B$1+43&lt;=$B96,12*($B$7-$B$10),-12*($B$6+$B$10)*(1+$B$4)^43))*IF(AS96+IF($B$1+43&lt;=$B96,12*($B$7-$B$10),-12*($B$6+$B$10)*(1+$B$4)^43)&gt;0,1+$B$3,1))</f>
        <v/>
      </c>
      <c r="AU96">
        <f>IF($B$1+44&gt;90,AT96,(AT96+IF($B$1+44&lt;=$B96,12*($B$7-$B$10),-12*($B$6+$B$10)*(1+$B$4)^44))*IF(AT96+IF($B$1+44&lt;=$B96,12*($B$7-$B$10),-12*($B$6+$B$10)*(1+$B$4)^44)&gt;0,1+$B$3,1))</f>
        <v/>
      </c>
      <c r="AV96">
        <f>IF($B$1+45&gt;90,AU96,(AU96+IF($B$1+45&lt;=$B96,12*($B$7-$B$10),-12*($B$6+$B$10)*(1+$B$4)^45))*IF(AU96+IF($B$1+45&lt;=$B96,12*($B$7-$B$10),-12*($B$6+$B$10)*(1+$B$4)^45)&gt;0,1+$B$3,1))</f>
        <v/>
      </c>
      <c r="AW96">
        <f>IF($B$1+46&gt;90,AV96,(AV96+IF($B$1+46&lt;=$B96,12*($B$7-$B$10),-12*($B$6+$B$10)*(1+$B$4)^46))*IF(AV96+IF($B$1+46&lt;=$B96,12*($B$7-$B$10),-12*($B$6+$B$10)*(1+$B$4)^46)&gt;0,1+$B$3,1))</f>
        <v/>
      </c>
      <c r="AX96">
        <f>IF($B$1+47&gt;90,AW96,(AW96+IF($B$1+47&lt;=$B96,12*($B$7-$B$10),-12*($B$6+$B$10)*(1+$B$4)^47))*IF(AW96+IF($B$1+47&lt;=$B96,12*($B$7-$B$10),-12*($B$6+$B$10)*(1+$B$4)^47)&gt;0,1+$B$3,1))</f>
        <v/>
      </c>
      <c r="AY96">
        <f>IF($B$1+48&gt;90,AX96,(AX96+IF($B$1+48&lt;=$B96,12*($B$7-$B$10),-12*($B$6+$B$10)*(1+$B$4)^48))*IF(AX96+IF($B$1+48&lt;=$B96,12*($B$7-$B$10),-12*($B$6+$B$10)*(1+$B$4)^48)&gt;0,1+$B$3,1))</f>
        <v/>
      </c>
      <c r="AZ96">
        <f>IF($B$1+49&gt;90,AY96,(AY96+IF($B$1+49&lt;=$B96,12*($B$7-$B$10),-12*($B$6+$B$10)*(1+$B$4)^49))*IF(AY96+IF($B$1+49&lt;=$B96,12*($B$7-$B$10),-12*($B$6+$B$10)*(1+$B$4)^49)&gt;0,1+$B$3,1))</f>
        <v/>
      </c>
      <c r="BA96">
        <f>IF($B$1+50&gt;90,AZ96,(AZ96+IF($B$1+50&lt;=$B96,12*($B$7-$B$10),-12*($B$6+$B$10)*(1+$B$4)^50))*IF(AZ96+IF($B$1+50&lt;=$B96,12*($B$7-$B$10),-12*($B$6+$B$10)*(1+$B$4)^50)&gt;0,1+$B$3,1))</f>
        <v/>
      </c>
      <c r="BB96">
        <f>IF($B$1+51&gt;90,BA96,(BA96+IF($B$1+51&lt;=$B96,12*($B$7-$B$10),-12*($B$6+$B$10)*(1+$B$4)^51))*IF(BA96+IF($B$1+51&lt;=$B96,12*($B$7-$B$10),-12*($B$6+$B$10)*(1+$B$4)^51)&gt;0,1+$B$3,1))</f>
        <v/>
      </c>
      <c r="BC96">
        <f>IF($B$1+52&gt;90,BB96,(BB96+IF($B$1+52&lt;=$B96,12*($B$7-$B$10),-12*($B$6+$B$10)*(1+$B$4)^52))*IF(BB96+IF($B$1+52&lt;=$B96,12*($B$7-$B$10),-12*($B$6+$B$10)*(1+$B$4)^52)&gt;0,1+$B$3,1))</f>
        <v/>
      </c>
      <c r="BD96">
        <f>IF($B$1+53&gt;90,BC96,(BC96+IF($B$1+53&lt;=$B96,12*($B$7-$B$10),-12*($B$6+$B$10)*(1+$B$4)^53))*IF(BC96+IF($B$1+53&lt;=$B96,12*($B$7-$B$10),-12*($B$6+$B$10)*(1+$B$4)^53)&gt;0,1+$B$3,1))</f>
        <v/>
      </c>
      <c r="BE96">
        <f>IF($B$1+54&gt;90,BD96,(BD96+IF($B$1+54&lt;=$B96,12*($B$7-$B$10),-12*($B$6+$B$10)*(1+$B$4)^54))*IF(BD96+IF($B$1+54&lt;=$B96,12*($B$7-$B$10),-12*($B$6+$B$10)*(1+$B$4)^54)&gt;0,1+$B$3,1))</f>
        <v/>
      </c>
      <c r="BF96">
        <f>IF($B$1+55&gt;90,BE96,(BE96+IF($B$1+55&lt;=$B96,12*($B$7-$B$10),-12*($B$6+$B$10)*(1+$B$4)^55))*IF(BE96+IF($B$1+55&lt;=$B96,12*($B$7-$B$10),-12*($B$6+$B$10)*(1+$B$4)^55)&gt;0,1+$B$3,1))</f>
        <v/>
      </c>
      <c r="BG96">
        <f>IF($B$1+56&gt;90,BF96,(BF96+IF($B$1+56&lt;=$B96,12*($B$7-$B$10),-12*($B$6+$B$10)*(1+$B$4)^56))*IF(BF96+IF($B$1+56&lt;=$B96,12*($B$7-$B$10),-12*($B$6+$B$10)*(1+$B$4)^56)&gt;0,1+$B$3,1))</f>
        <v/>
      </c>
      <c r="BH96">
        <f>IF($B$1+57&gt;90,BG96,(BG96+IF($B$1+57&lt;=$B96,12*($B$7-$B$10),-12*($B$6+$B$10)*(1+$B$4)^57))*IF(BG96+IF($B$1+57&lt;=$B96,12*($B$7-$B$10),-12*($B$6+$B$10)*(1+$B$4)^57)&gt;0,1+$B$3,1))</f>
        <v/>
      </c>
      <c r="BI96">
        <f>IF($B$1+58&gt;90,BH96,(BH96+IF($B$1+58&lt;=$B96,12*($B$7-$B$10),-12*($B$6+$B$10)*(1+$B$4)^58))*IF(BH96+IF($B$1+58&lt;=$B96,12*($B$7-$B$10),-12*($B$6+$B$10)*(1+$B$4)^58)&gt;0,1+$B$3,1))</f>
        <v/>
      </c>
      <c r="BJ96">
        <f>IF($B$1+59&gt;90,BI96,(BI96+IF($B$1+59&lt;=$B96,12*($B$7-$B$10),-12*($B$6+$B$10)*(1+$B$4)^59))*IF(BI96+IF($B$1+59&lt;=$B96,12*($B$7-$B$10),-12*($B$6+$B$10)*(1+$B$4)^59)&gt;0,1+$B$3,1))</f>
        <v/>
      </c>
      <c r="BK96">
        <f>IF($B$1+60&gt;90,BJ96,(BJ96+IF($B$1+60&lt;=$B96,12*($B$7-$B$10),-12*($B$6+$B$10)*(1+$B$4)^60))*IF(BJ96+IF($B$1+60&lt;=$B96,12*($B$7-$B$10),-12*($B$6+$B$10)*(1+$B$4)^60)&gt;0,1+$B$3,1))</f>
        <v/>
      </c>
      <c r="BL96">
        <f>IF($B$1+61&gt;90,BK96,(BK96+IF($B$1+61&lt;=$B96,12*($B$7-$B$10),-12*($B$6+$B$10)*(1+$B$4)^61))*IF(BK96+IF($B$1+61&lt;=$B96,12*($B$7-$B$10),-12*($B$6+$B$10)*(1+$B$4)^61)&gt;0,1+$B$3,1))</f>
        <v/>
      </c>
      <c r="BM96">
        <f>IF($B$1+62&gt;90,BL96,(BL96+IF($B$1+62&lt;=$B96,12*($B$7-$B$10),-12*($B$6+$B$10)*(1+$B$4)^62))*IF(BL96+IF($B$1+62&lt;=$B96,12*($B$7-$B$10),-12*($B$6+$B$10)*(1+$B$4)^62)&gt;0,1+$B$3,1))</f>
        <v/>
      </c>
      <c r="BN96">
        <f>IF($B$1+63&gt;90,BM96,(BM96+IF($B$1+63&lt;=$B96,12*($B$7-$B$10),-12*($B$6+$B$10)*(1+$B$4)^63))*IF(BM96+IF($B$1+63&lt;=$B96,12*($B$7-$B$10),-12*($B$6+$B$10)*(1+$B$4)^63)&gt;0,1+$B$3,1))</f>
        <v/>
      </c>
      <c r="BO96">
        <f>IF($B$1+64&gt;90,BN96,(BN96+IF($B$1+64&lt;=$B96,12*($B$7-$B$10),-12*($B$6+$B$10)*(1+$B$4)^64))*IF(BN96+IF($B$1+64&lt;=$B96,12*($B$7-$B$10),-12*($B$6+$B$10)*(1+$B$4)^64)&gt;0,1+$B$3,1))</f>
        <v/>
      </c>
      <c r="BP96">
        <f>IF($B$1+65&gt;90,BO96,(BO96+IF($B$1+65&lt;=$B96,12*($B$7-$B$10),-12*($B$6+$B$10)*(1+$B$4)^65))*IF(BO96+IF($B$1+65&lt;=$B96,12*($B$7-$B$10),-12*($B$6+$B$10)*(1+$B$4)^65)&gt;0,1+$B$3,1))</f>
        <v/>
      </c>
      <c r="BQ96">
        <f>IF($B$1+66&gt;90,BP96,(BP96+IF($B$1+66&lt;=$B96,12*($B$7-$B$10),-12*($B$6+$B$10)*(1+$B$4)^66))*IF(BP96+IF($B$1+66&lt;=$B96,12*($B$7-$B$10),-12*($B$6+$B$10)*(1+$B$4)^66)&gt;0,1+$B$3,1))</f>
        <v/>
      </c>
      <c r="BR96">
        <f>IF($B$1+67&gt;90,BQ96,(BQ96+IF($B$1+67&lt;=$B96,12*($B$7-$B$10),-12*($B$6+$B$10)*(1+$B$4)^67))*IF(BQ96+IF($B$1+67&lt;=$B96,12*($B$7-$B$10),-12*($B$6+$B$10)*(1+$B$4)^67)&gt;0,1+$B$3,1))</f>
        <v/>
      </c>
      <c r="BS96">
        <f>IF($B$1+68&gt;90,BR96,(BR96+IF($B$1+68&lt;=$B96,12*($B$7-$B$10),-12*($B$6+$B$10)*(1+$B$4)^68))*IF(BR96+IF($B$1+68&lt;=$B96,12*($B$7-$B$10),-12*($B$6+$B$10)*(1+$B$4)^68)&gt;0,1+$B$3,1))</f>
        <v/>
      </c>
      <c r="BT96">
        <f>IF($B$1+69&gt;90,BS96,(BS96+IF($B$1+69&lt;=$B96,12*($B$7-$B$10),-12*($B$6+$B$10)*(1+$B$4)^69))*IF(BS96+IF($B$1+69&lt;=$B96,12*($B$7-$B$10),-12*($B$6+$B$10)*(1+$B$4)^69)&gt;0,1+$B$3,1))</f>
        <v/>
      </c>
      <c r="BU96">
        <f>IF($B$1+70&gt;90,BT96,(BT96+IF($B$1+70&lt;=$B96,12*($B$7-$B$10),-12*($B$6+$B$10)*(1+$B$4)^70))*IF(BT96+IF($B$1+70&lt;=$B96,12*($B$7-$B$10),-12*($B$6+$B$10)*(1+$B$4)^70)&gt;0,1+$B$3,1))</f>
        <v/>
      </c>
      <c r="BV96">
        <f>BU96</f>
        <v/>
      </c>
      <c r="BW96">
        <f>IF(AND($B96&lt;=70,BV96&gt;0),$B96,999)</f>
        <v/>
      </c>
    </row>
    <row r="97">
      <c r="A97" t="n">
        <v>1</v>
      </c>
      <c r="B97">
        <f>$B$1+1</f>
        <v/>
      </c>
      <c r="C97">
        <f>$B$2</f>
        <v/>
      </c>
      <c r="D97">
        <f>IF($B$1+1&gt;90,C97,(C97+IF($B$1+1&lt;=$B97,12*($B$7-$B$10),-12*($B$6+$B$10)*(1+$B$4)^1))*IF(C97+IF($B$1+1&lt;=$B97,12*($B$7-$B$10),-12*($B$6+$B$10)*(1+$B$4)^1)&gt;0,1+$B$3,1))</f>
        <v/>
      </c>
      <c r="E97">
        <f>IF($B$1+2&gt;90,D97,(D97+IF($B$1+2&lt;=$B97,12*($B$7-$B$10),-12*($B$6+$B$10)*(1+$B$4)^2))*IF(D97+IF($B$1+2&lt;=$B97,12*($B$7-$B$10),-12*($B$6+$B$10)*(1+$B$4)^2)&gt;0,1+$B$3,1))</f>
        <v/>
      </c>
      <c r="F97">
        <f>IF($B$1+3&gt;90,E97,(E97+IF($B$1+3&lt;=$B97,12*($B$7-$B$10),-12*($B$6+$B$10)*(1+$B$4)^3))*IF(E97+IF($B$1+3&lt;=$B97,12*($B$7-$B$10),-12*($B$6+$B$10)*(1+$B$4)^3)&gt;0,1+$B$3,1))</f>
        <v/>
      </c>
      <c r="G97">
        <f>IF($B$1+4&gt;90,F97,(F97+IF($B$1+4&lt;=$B97,12*($B$7-$B$10),-12*($B$6+$B$10)*(1+$B$4)^4))*IF(F97+IF($B$1+4&lt;=$B97,12*($B$7-$B$10),-12*($B$6+$B$10)*(1+$B$4)^4)&gt;0,1+$B$3,1))</f>
        <v/>
      </c>
      <c r="H97">
        <f>IF($B$1+5&gt;90,G97,(G97+IF($B$1+5&lt;=$B97,12*($B$7-$B$10),-12*($B$6+$B$10)*(1+$B$4)^5))*IF(G97+IF($B$1+5&lt;=$B97,12*($B$7-$B$10),-12*($B$6+$B$10)*(1+$B$4)^5)&gt;0,1+$B$3,1))</f>
        <v/>
      </c>
      <c r="I97">
        <f>IF($B$1+6&gt;90,H97,(H97+IF($B$1+6&lt;=$B97,12*($B$7-$B$10),-12*($B$6+$B$10)*(1+$B$4)^6))*IF(H97+IF($B$1+6&lt;=$B97,12*($B$7-$B$10),-12*($B$6+$B$10)*(1+$B$4)^6)&gt;0,1+$B$3,1))</f>
        <v/>
      </c>
      <c r="J97">
        <f>IF($B$1+7&gt;90,I97,(I97+IF($B$1+7&lt;=$B97,12*($B$7-$B$10),-12*($B$6+$B$10)*(1+$B$4)^7))*IF(I97+IF($B$1+7&lt;=$B97,12*($B$7-$B$10),-12*($B$6+$B$10)*(1+$B$4)^7)&gt;0,1+$B$3,1))</f>
        <v/>
      </c>
      <c r="K97">
        <f>IF($B$1+8&gt;90,J97,(J97+IF($B$1+8&lt;=$B97,12*($B$7-$B$10),-12*($B$6+$B$10)*(1+$B$4)^8))*IF(J97+IF($B$1+8&lt;=$B97,12*($B$7-$B$10),-12*($B$6+$B$10)*(1+$B$4)^8)&gt;0,1+$B$3,1))</f>
        <v/>
      </c>
      <c r="L97">
        <f>IF($B$1+9&gt;90,K97,(K97+IF($B$1+9&lt;=$B97,12*($B$7-$B$10),-12*($B$6+$B$10)*(1+$B$4)^9))*IF(K97+IF($B$1+9&lt;=$B97,12*($B$7-$B$10),-12*($B$6+$B$10)*(1+$B$4)^9)&gt;0,1+$B$3,1))</f>
        <v/>
      </c>
      <c r="M97">
        <f>IF($B$1+10&gt;90,L97,(L97+IF($B$1+10&lt;=$B97,12*($B$7-$B$10),-12*($B$6+$B$10)*(1+$B$4)^10))*IF(L97+IF($B$1+10&lt;=$B97,12*($B$7-$B$10),-12*($B$6+$B$10)*(1+$B$4)^10)&gt;0,1+$B$3,1))</f>
        <v/>
      </c>
      <c r="N97">
        <f>IF($B$1+11&gt;90,M97,(M97+IF($B$1+11&lt;=$B97,12*($B$7-$B$10),-12*($B$6+$B$10)*(1+$B$4)^11))*IF(M97+IF($B$1+11&lt;=$B97,12*($B$7-$B$10),-12*($B$6+$B$10)*(1+$B$4)^11)&gt;0,1+$B$3,1))</f>
        <v/>
      </c>
      <c r="O97">
        <f>IF($B$1+12&gt;90,N97,(N97+IF($B$1+12&lt;=$B97,12*($B$7-$B$10),-12*($B$6+$B$10)*(1+$B$4)^12))*IF(N97+IF($B$1+12&lt;=$B97,12*($B$7-$B$10),-12*($B$6+$B$10)*(1+$B$4)^12)&gt;0,1+$B$3,1))</f>
        <v/>
      </c>
      <c r="P97">
        <f>IF($B$1+13&gt;90,O97,(O97+IF($B$1+13&lt;=$B97,12*($B$7-$B$10),-12*($B$6+$B$10)*(1+$B$4)^13))*IF(O97+IF($B$1+13&lt;=$B97,12*($B$7-$B$10),-12*($B$6+$B$10)*(1+$B$4)^13)&gt;0,1+$B$3,1))</f>
        <v/>
      </c>
      <c r="Q97">
        <f>IF($B$1+14&gt;90,P97,(P97+IF($B$1+14&lt;=$B97,12*($B$7-$B$10),-12*($B$6+$B$10)*(1+$B$4)^14))*IF(P97+IF($B$1+14&lt;=$B97,12*($B$7-$B$10),-12*($B$6+$B$10)*(1+$B$4)^14)&gt;0,1+$B$3,1))</f>
        <v/>
      </c>
      <c r="R97">
        <f>IF($B$1+15&gt;90,Q97,(Q97+IF($B$1+15&lt;=$B97,12*($B$7-$B$10),-12*($B$6+$B$10)*(1+$B$4)^15))*IF(Q97+IF($B$1+15&lt;=$B97,12*($B$7-$B$10),-12*($B$6+$B$10)*(1+$B$4)^15)&gt;0,1+$B$3,1))</f>
        <v/>
      </c>
      <c r="S97">
        <f>IF($B$1+16&gt;90,R97,(R97+IF($B$1+16&lt;=$B97,12*($B$7-$B$10),-12*($B$6+$B$10)*(1+$B$4)^16))*IF(R97+IF($B$1+16&lt;=$B97,12*($B$7-$B$10),-12*($B$6+$B$10)*(1+$B$4)^16)&gt;0,1+$B$3,1))</f>
        <v/>
      </c>
      <c r="T97">
        <f>IF($B$1+17&gt;90,S97,(S97+IF($B$1+17&lt;=$B97,12*($B$7-$B$10),-12*($B$6+$B$10)*(1+$B$4)^17))*IF(S97+IF($B$1+17&lt;=$B97,12*($B$7-$B$10),-12*($B$6+$B$10)*(1+$B$4)^17)&gt;0,1+$B$3,1))</f>
        <v/>
      </c>
      <c r="U97">
        <f>IF($B$1+18&gt;90,T97,(T97+IF($B$1+18&lt;=$B97,12*($B$7-$B$10),-12*($B$6+$B$10)*(1+$B$4)^18))*IF(T97+IF($B$1+18&lt;=$B97,12*($B$7-$B$10),-12*($B$6+$B$10)*(1+$B$4)^18)&gt;0,1+$B$3,1))</f>
        <v/>
      </c>
      <c r="V97">
        <f>IF($B$1+19&gt;90,U97,(U97+IF($B$1+19&lt;=$B97,12*($B$7-$B$10),-12*($B$6+$B$10)*(1+$B$4)^19))*IF(U97+IF($B$1+19&lt;=$B97,12*($B$7-$B$10),-12*($B$6+$B$10)*(1+$B$4)^19)&gt;0,1+$B$3,1))</f>
        <v/>
      </c>
      <c r="W97">
        <f>IF($B$1+20&gt;90,V97,(V97+IF($B$1+20&lt;=$B97,12*($B$7-$B$10),-12*($B$6+$B$10)*(1+$B$4)^20))*IF(V97+IF($B$1+20&lt;=$B97,12*($B$7-$B$10),-12*($B$6+$B$10)*(1+$B$4)^20)&gt;0,1+$B$3,1))</f>
        <v/>
      </c>
      <c r="X97">
        <f>IF($B$1+21&gt;90,W97,(W97+IF($B$1+21&lt;=$B97,12*($B$7-$B$10),-12*($B$6+$B$10)*(1+$B$4)^21))*IF(W97+IF($B$1+21&lt;=$B97,12*($B$7-$B$10),-12*($B$6+$B$10)*(1+$B$4)^21)&gt;0,1+$B$3,1))</f>
        <v/>
      </c>
      <c r="Y97">
        <f>IF($B$1+22&gt;90,X97,(X97+IF($B$1+22&lt;=$B97,12*($B$7-$B$10),-12*($B$6+$B$10)*(1+$B$4)^22))*IF(X97+IF($B$1+22&lt;=$B97,12*($B$7-$B$10),-12*($B$6+$B$10)*(1+$B$4)^22)&gt;0,1+$B$3,1))</f>
        <v/>
      </c>
      <c r="Z97">
        <f>IF($B$1+23&gt;90,Y97,(Y97+IF($B$1+23&lt;=$B97,12*($B$7-$B$10),-12*($B$6+$B$10)*(1+$B$4)^23))*IF(Y97+IF($B$1+23&lt;=$B97,12*($B$7-$B$10),-12*($B$6+$B$10)*(1+$B$4)^23)&gt;0,1+$B$3,1))</f>
        <v/>
      </c>
      <c r="AA97">
        <f>IF($B$1+24&gt;90,Z97,(Z97+IF($B$1+24&lt;=$B97,12*($B$7-$B$10),-12*($B$6+$B$10)*(1+$B$4)^24))*IF(Z97+IF($B$1+24&lt;=$B97,12*($B$7-$B$10),-12*($B$6+$B$10)*(1+$B$4)^24)&gt;0,1+$B$3,1))</f>
        <v/>
      </c>
      <c r="AB97">
        <f>IF($B$1+25&gt;90,AA97,(AA97+IF($B$1+25&lt;=$B97,12*($B$7-$B$10),-12*($B$6+$B$10)*(1+$B$4)^25))*IF(AA97+IF($B$1+25&lt;=$B97,12*($B$7-$B$10),-12*($B$6+$B$10)*(1+$B$4)^25)&gt;0,1+$B$3,1))</f>
        <v/>
      </c>
      <c r="AC97">
        <f>IF($B$1+26&gt;90,AB97,(AB97+IF($B$1+26&lt;=$B97,12*($B$7-$B$10),-12*($B$6+$B$10)*(1+$B$4)^26))*IF(AB97+IF($B$1+26&lt;=$B97,12*($B$7-$B$10),-12*($B$6+$B$10)*(1+$B$4)^26)&gt;0,1+$B$3,1))</f>
        <v/>
      </c>
      <c r="AD97">
        <f>IF($B$1+27&gt;90,AC97,(AC97+IF($B$1+27&lt;=$B97,12*($B$7-$B$10),-12*($B$6+$B$10)*(1+$B$4)^27))*IF(AC97+IF($B$1+27&lt;=$B97,12*($B$7-$B$10),-12*($B$6+$B$10)*(1+$B$4)^27)&gt;0,1+$B$3,1))</f>
        <v/>
      </c>
      <c r="AE97">
        <f>IF($B$1+28&gt;90,AD97,(AD97+IF($B$1+28&lt;=$B97,12*($B$7-$B$10),-12*($B$6+$B$10)*(1+$B$4)^28))*IF(AD97+IF($B$1+28&lt;=$B97,12*($B$7-$B$10),-12*($B$6+$B$10)*(1+$B$4)^28)&gt;0,1+$B$3,1))</f>
        <v/>
      </c>
      <c r="AF97">
        <f>IF($B$1+29&gt;90,AE97,(AE97+IF($B$1+29&lt;=$B97,12*($B$7-$B$10),-12*($B$6+$B$10)*(1+$B$4)^29))*IF(AE97+IF($B$1+29&lt;=$B97,12*($B$7-$B$10),-12*($B$6+$B$10)*(1+$B$4)^29)&gt;0,1+$B$3,1))</f>
        <v/>
      </c>
      <c r="AG97">
        <f>IF($B$1+30&gt;90,AF97,(AF97+IF($B$1+30&lt;=$B97,12*($B$7-$B$10),-12*($B$6+$B$10)*(1+$B$4)^30))*IF(AF97+IF($B$1+30&lt;=$B97,12*($B$7-$B$10),-12*($B$6+$B$10)*(1+$B$4)^30)&gt;0,1+$B$3,1))</f>
        <v/>
      </c>
      <c r="AH97">
        <f>IF($B$1+31&gt;90,AG97,(AG97+IF($B$1+31&lt;=$B97,12*($B$7-$B$10),-12*($B$6+$B$10)*(1+$B$4)^31))*IF(AG97+IF($B$1+31&lt;=$B97,12*($B$7-$B$10),-12*($B$6+$B$10)*(1+$B$4)^31)&gt;0,1+$B$3,1))</f>
        <v/>
      </c>
      <c r="AI97">
        <f>IF($B$1+32&gt;90,AH97,(AH97+IF($B$1+32&lt;=$B97,12*($B$7-$B$10),-12*($B$6+$B$10)*(1+$B$4)^32))*IF(AH97+IF($B$1+32&lt;=$B97,12*($B$7-$B$10),-12*($B$6+$B$10)*(1+$B$4)^32)&gt;0,1+$B$3,1))</f>
        <v/>
      </c>
      <c r="AJ97">
        <f>IF($B$1+33&gt;90,AI97,(AI97+IF($B$1+33&lt;=$B97,12*($B$7-$B$10),-12*($B$6+$B$10)*(1+$B$4)^33))*IF(AI97+IF($B$1+33&lt;=$B97,12*($B$7-$B$10),-12*($B$6+$B$10)*(1+$B$4)^33)&gt;0,1+$B$3,1))</f>
        <v/>
      </c>
      <c r="AK97">
        <f>IF($B$1+34&gt;90,AJ97,(AJ97+IF($B$1+34&lt;=$B97,12*($B$7-$B$10),-12*($B$6+$B$10)*(1+$B$4)^34))*IF(AJ97+IF($B$1+34&lt;=$B97,12*($B$7-$B$10),-12*($B$6+$B$10)*(1+$B$4)^34)&gt;0,1+$B$3,1))</f>
        <v/>
      </c>
      <c r="AL97">
        <f>IF($B$1+35&gt;90,AK97,(AK97+IF($B$1+35&lt;=$B97,12*($B$7-$B$10),-12*($B$6+$B$10)*(1+$B$4)^35))*IF(AK97+IF($B$1+35&lt;=$B97,12*($B$7-$B$10),-12*($B$6+$B$10)*(1+$B$4)^35)&gt;0,1+$B$3,1))</f>
        <v/>
      </c>
      <c r="AM97">
        <f>IF($B$1+36&gt;90,AL97,(AL97+IF($B$1+36&lt;=$B97,12*($B$7-$B$10),-12*($B$6+$B$10)*(1+$B$4)^36))*IF(AL97+IF($B$1+36&lt;=$B97,12*($B$7-$B$10),-12*($B$6+$B$10)*(1+$B$4)^36)&gt;0,1+$B$3,1))</f>
        <v/>
      </c>
      <c r="AN97">
        <f>IF($B$1+37&gt;90,AM97,(AM97+IF($B$1+37&lt;=$B97,12*($B$7-$B$10),-12*($B$6+$B$10)*(1+$B$4)^37))*IF(AM97+IF($B$1+37&lt;=$B97,12*($B$7-$B$10),-12*($B$6+$B$10)*(1+$B$4)^37)&gt;0,1+$B$3,1))</f>
        <v/>
      </c>
      <c r="AO97">
        <f>IF($B$1+38&gt;90,AN97,(AN97+IF($B$1+38&lt;=$B97,12*($B$7-$B$10),-12*($B$6+$B$10)*(1+$B$4)^38))*IF(AN97+IF($B$1+38&lt;=$B97,12*($B$7-$B$10),-12*($B$6+$B$10)*(1+$B$4)^38)&gt;0,1+$B$3,1))</f>
        <v/>
      </c>
      <c r="AP97">
        <f>IF($B$1+39&gt;90,AO97,(AO97+IF($B$1+39&lt;=$B97,12*($B$7-$B$10),-12*($B$6+$B$10)*(1+$B$4)^39))*IF(AO97+IF($B$1+39&lt;=$B97,12*($B$7-$B$10),-12*($B$6+$B$10)*(1+$B$4)^39)&gt;0,1+$B$3,1))</f>
        <v/>
      </c>
      <c r="AQ97">
        <f>IF($B$1+40&gt;90,AP97,(AP97+IF($B$1+40&lt;=$B97,12*($B$7-$B$10),-12*($B$6+$B$10)*(1+$B$4)^40))*IF(AP97+IF($B$1+40&lt;=$B97,12*($B$7-$B$10),-12*($B$6+$B$10)*(1+$B$4)^40)&gt;0,1+$B$3,1))</f>
        <v/>
      </c>
      <c r="AR97">
        <f>IF($B$1+41&gt;90,AQ97,(AQ97+IF($B$1+41&lt;=$B97,12*($B$7-$B$10),-12*($B$6+$B$10)*(1+$B$4)^41))*IF(AQ97+IF($B$1+41&lt;=$B97,12*($B$7-$B$10),-12*($B$6+$B$10)*(1+$B$4)^41)&gt;0,1+$B$3,1))</f>
        <v/>
      </c>
      <c r="AS97">
        <f>IF($B$1+42&gt;90,AR97,(AR97+IF($B$1+42&lt;=$B97,12*($B$7-$B$10),-12*($B$6+$B$10)*(1+$B$4)^42))*IF(AR97+IF($B$1+42&lt;=$B97,12*($B$7-$B$10),-12*($B$6+$B$10)*(1+$B$4)^42)&gt;0,1+$B$3,1))</f>
        <v/>
      </c>
      <c r="AT97">
        <f>IF($B$1+43&gt;90,AS97,(AS97+IF($B$1+43&lt;=$B97,12*($B$7-$B$10),-12*($B$6+$B$10)*(1+$B$4)^43))*IF(AS97+IF($B$1+43&lt;=$B97,12*($B$7-$B$10),-12*($B$6+$B$10)*(1+$B$4)^43)&gt;0,1+$B$3,1))</f>
        <v/>
      </c>
      <c r="AU97">
        <f>IF($B$1+44&gt;90,AT97,(AT97+IF($B$1+44&lt;=$B97,12*($B$7-$B$10),-12*($B$6+$B$10)*(1+$B$4)^44))*IF(AT97+IF($B$1+44&lt;=$B97,12*($B$7-$B$10),-12*($B$6+$B$10)*(1+$B$4)^44)&gt;0,1+$B$3,1))</f>
        <v/>
      </c>
      <c r="AV97">
        <f>IF($B$1+45&gt;90,AU97,(AU97+IF($B$1+45&lt;=$B97,12*($B$7-$B$10),-12*($B$6+$B$10)*(1+$B$4)^45))*IF(AU97+IF($B$1+45&lt;=$B97,12*($B$7-$B$10),-12*($B$6+$B$10)*(1+$B$4)^45)&gt;0,1+$B$3,1))</f>
        <v/>
      </c>
      <c r="AW97">
        <f>IF($B$1+46&gt;90,AV97,(AV97+IF($B$1+46&lt;=$B97,12*($B$7-$B$10),-12*($B$6+$B$10)*(1+$B$4)^46))*IF(AV97+IF($B$1+46&lt;=$B97,12*($B$7-$B$10),-12*($B$6+$B$10)*(1+$B$4)^46)&gt;0,1+$B$3,1))</f>
        <v/>
      </c>
      <c r="AX97">
        <f>IF($B$1+47&gt;90,AW97,(AW97+IF($B$1+47&lt;=$B97,12*($B$7-$B$10),-12*($B$6+$B$10)*(1+$B$4)^47))*IF(AW97+IF($B$1+47&lt;=$B97,12*($B$7-$B$10),-12*($B$6+$B$10)*(1+$B$4)^47)&gt;0,1+$B$3,1))</f>
        <v/>
      </c>
      <c r="AY97">
        <f>IF($B$1+48&gt;90,AX97,(AX97+IF($B$1+48&lt;=$B97,12*($B$7-$B$10),-12*($B$6+$B$10)*(1+$B$4)^48))*IF(AX97+IF($B$1+48&lt;=$B97,12*($B$7-$B$10),-12*($B$6+$B$10)*(1+$B$4)^48)&gt;0,1+$B$3,1))</f>
        <v/>
      </c>
      <c r="AZ97">
        <f>IF($B$1+49&gt;90,AY97,(AY97+IF($B$1+49&lt;=$B97,12*($B$7-$B$10),-12*($B$6+$B$10)*(1+$B$4)^49))*IF(AY97+IF($B$1+49&lt;=$B97,12*($B$7-$B$10),-12*($B$6+$B$10)*(1+$B$4)^49)&gt;0,1+$B$3,1))</f>
        <v/>
      </c>
      <c r="BA97">
        <f>IF($B$1+50&gt;90,AZ97,(AZ97+IF($B$1+50&lt;=$B97,12*($B$7-$B$10),-12*($B$6+$B$10)*(1+$B$4)^50))*IF(AZ97+IF($B$1+50&lt;=$B97,12*($B$7-$B$10),-12*($B$6+$B$10)*(1+$B$4)^50)&gt;0,1+$B$3,1))</f>
        <v/>
      </c>
      <c r="BB97">
        <f>IF($B$1+51&gt;90,BA97,(BA97+IF($B$1+51&lt;=$B97,12*($B$7-$B$10),-12*($B$6+$B$10)*(1+$B$4)^51))*IF(BA97+IF($B$1+51&lt;=$B97,12*($B$7-$B$10),-12*($B$6+$B$10)*(1+$B$4)^51)&gt;0,1+$B$3,1))</f>
        <v/>
      </c>
      <c r="BC97">
        <f>IF($B$1+52&gt;90,BB97,(BB97+IF($B$1+52&lt;=$B97,12*($B$7-$B$10),-12*($B$6+$B$10)*(1+$B$4)^52))*IF(BB97+IF($B$1+52&lt;=$B97,12*($B$7-$B$10),-12*($B$6+$B$10)*(1+$B$4)^52)&gt;0,1+$B$3,1))</f>
        <v/>
      </c>
      <c r="BD97">
        <f>IF($B$1+53&gt;90,BC97,(BC97+IF($B$1+53&lt;=$B97,12*($B$7-$B$10),-12*($B$6+$B$10)*(1+$B$4)^53))*IF(BC97+IF($B$1+53&lt;=$B97,12*($B$7-$B$10),-12*($B$6+$B$10)*(1+$B$4)^53)&gt;0,1+$B$3,1))</f>
        <v/>
      </c>
      <c r="BE97">
        <f>IF($B$1+54&gt;90,BD97,(BD97+IF($B$1+54&lt;=$B97,12*($B$7-$B$10),-12*($B$6+$B$10)*(1+$B$4)^54))*IF(BD97+IF($B$1+54&lt;=$B97,12*($B$7-$B$10),-12*($B$6+$B$10)*(1+$B$4)^54)&gt;0,1+$B$3,1))</f>
        <v/>
      </c>
      <c r="BF97">
        <f>IF($B$1+55&gt;90,BE97,(BE97+IF($B$1+55&lt;=$B97,12*($B$7-$B$10),-12*($B$6+$B$10)*(1+$B$4)^55))*IF(BE97+IF($B$1+55&lt;=$B97,12*($B$7-$B$10),-12*($B$6+$B$10)*(1+$B$4)^55)&gt;0,1+$B$3,1))</f>
        <v/>
      </c>
      <c r="BG97">
        <f>IF($B$1+56&gt;90,BF97,(BF97+IF($B$1+56&lt;=$B97,12*($B$7-$B$10),-12*($B$6+$B$10)*(1+$B$4)^56))*IF(BF97+IF($B$1+56&lt;=$B97,12*($B$7-$B$10),-12*($B$6+$B$10)*(1+$B$4)^56)&gt;0,1+$B$3,1))</f>
        <v/>
      </c>
      <c r="BH97">
        <f>IF($B$1+57&gt;90,BG97,(BG97+IF($B$1+57&lt;=$B97,12*($B$7-$B$10),-12*($B$6+$B$10)*(1+$B$4)^57))*IF(BG97+IF($B$1+57&lt;=$B97,12*($B$7-$B$10),-12*($B$6+$B$10)*(1+$B$4)^57)&gt;0,1+$B$3,1))</f>
        <v/>
      </c>
      <c r="BI97">
        <f>IF($B$1+58&gt;90,BH97,(BH97+IF($B$1+58&lt;=$B97,12*($B$7-$B$10),-12*($B$6+$B$10)*(1+$B$4)^58))*IF(BH97+IF($B$1+58&lt;=$B97,12*($B$7-$B$10),-12*($B$6+$B$10)*(1+$B$4)^58)&gt;0,1+$B$3,1))</f>
        <v/>
      </c>
      <c r="BJ97">
        <f>IF($B$1+59&gt;90,BI97,(BI97+IF($B$1+59&lt;=$B97,12*($B$7-$B$10),-12*($B$6+$B$10)*(1+$B$4)^59))*IF(BI97+IF($B$1+59&lt;=$B97,12*($B$7-$B$10),-12*($B$6+$B$10)*(1+$B$4)^59)&gt;0,1+$B$3,1))</f>
        <v/>
      </c>
      <c r="BK97">
        <f>IF($B$1+60&gt;90,BJ97,(BJ97+IF($B$1+60&lt;=$B97,12*($B$7-$B$10),-12*($B$6+$B$10)*(1+$B$4)^60))*IF(BJ97+IF($B$1+60&lt;=$B97,12*($B$7-$B$10),-12*($B$6+$B$10)*(1+$B$4)^60)&gt;0,1+$B$3,1))</f>
        <v/>
      </c>
      <c r="BL97">
        <f>IF($B$1+61&gt;90,BK97,(BK97+IF($B$1+61&lt;=$B97,12*($B$7-$B$10),-12*($B$6+$B$10)*(1+$B$4)^61))*IF(BK97+IF($B$1+61&lt;=$B97,12*($B$7-$B$10),-12*($B$6+$B$10)*(1+$B$4)^61)&gt;0,1+$B$3,1))</f>
        <v/>
      </c>
      <c r="BM97">
        <f>IF($B$1+62&gt;90,BL97,(BL97+IF($B$1+62&lt;=$B97,12*($B$7-$B$10),-12*($B$6+$B$10)*(1+$B$4)^62))*IF(BL97+IF($B$1+62&lt;=$B97,12*($B$7-$B$10),-12*($B$6+$B$10)*(1+$B$4)^62)&gt;0,1+$B$3,1))</f>
        <v/>
      </c>
      <c r="BN97">
        <f>IF($B$1+63&gt;90,BM97,(BM97+IF($B$1+63&lt;=$B97,12*($B$7-$B$10),-12*($B$6+$B$10)*(1+$B$4)^63))*IF(BM97+IF($B$1+63&lt;=$B97,12*($B$7-$B$10),-12*($B$6+$B$10)*(1+$B$4)^63)&gt;0,1+$B$3,1))</f>
        <v/>
      </c>
      <c r="BO97">
        <f>IF($B$1+64&gt;90,BN97,(BN97+IF($B$1+64&lt;=$B97,12*($B$7-$B$10),-12*($B$6+$B$10)*(1+$B$4)^64))*IF(BN97+IF($B$1+64&lt;=$B97,12*($B$7-$B$10),-12*($B$6+$B$10)*(1+$B$4)^64)&gt;0,1+$B$3,1))</f>
        <v/>
      </c>
      <c r="BP97">
        <f>IF($B$1+65&gt;90,BO97,(BO97+IF($B$1+65&lt;=$B97,12*($B$7-$B$10),-12*($B$6+$B$10)*(1+$B$4)^65))*IF(BO97+IF($B$1+65&lt;=$B97,12*($B$7-$B$10),-12*($B$6+$B$10)*(1+$B$4)^65)&gt;0,1+$B$3,1))</f>
        <v/>
      </c>
      <c r="BQ97">
        <f>IF($B$1+66&gt;90,BP97,(BP97+IF($B$1+66&lt;=$B97,12*($B$7-$B$10),-12*($B$6+$B$10)*(1+$B$4)^66))*IF(BP97+IF($B$1+66&lt;=$B97,12*($B$7-$B$10),-12*($B$6+$B$10)*(1+$B$4)^66)&gt;0,1+$B$3,1))</f>
        <v/>
      </c>
      <c r="BR97">
        <f>IF($B$1+67&gt;90,BQ97,(BQ97+IF($B$1+67&lt;=$B97,12*($B$7-$B$10),-12*($B$6+$B$10)*(1+$B$4)^67))*IF(BQ97+IF($B$1+67&lt;=$B97,12*($B$7-$B$10),-12*($B$6+$B$10)*(1+$B$4)^67)&gt;0,1+$B$3,1))</f>
        <v/>
      </c>
      <c r="BS97">
        <f>IF($B$1+68&gt;90,BR97,(BR97+IF($B$1+68&lt;=$B97,12*($B$7-$B$10),-12*($B$6+$B$10)*(1+$B$4)^68))*IF(BR97+IF($B$1+68&lt;=$B97,12*($B$7-$B$10),-12*($B$6+$B$10)*(1+$B$4)^68)&gt;0,1+$B$3,1))</f>
        <v/>
      </c>
      <c r="BT97">
        <f>IF($B$1+69&gt;90,BS97,(BS97+IF($B$1+69&lt;=$B97,12*($B$7-$B$10),-12*($B$6+$B$10)*(1+$B$4)^69))*IF(BS97+IF($B$1+69&lt;=$B97,12*($B$7-$B$10),-12*($B$6+$B$10)*(1+$B$4)^69)&gt;0,1+$B$3,1))</f>
        <v/>
      </c>
      <c r="BU97">
        <f>IF($B$1+70&gt;90,BT97,(BT97+IF($B$1+70&lt;=$B97,12*($B$7-$B$10),-12*($B$6+$B$10)*(1+$B$4)^70))*IF(BT97+IF($B$1+70&lt;=$B97,12*($B$7-$B$10),-12*($B$6+$B$10)*(1+$B$4)^70)&gt;0,1+$B$3,1))</f>
        <v/>
      </c>
      <c r="BV97">
        <f>BU97</f>
        <v/>
      </c>
      <c r="BW97">
        <f>IF(AND($B97&lt;=70,BV97&gt;0),$B97,999)</f>
        <v/>
      </c>
    </row>
    <row r="98">
      <c r="A98" t="n">
        <v>2</v>
      </c>
      <c r="B98">
        <f>$B$1+2</f>
        <v/>
      </c>
      <c r="C98">
        <f>$B$2</f>
        <v/>
      </c>
      <c r="D98">
        <f>IF($B$1+1&gt;90,C98,(C98+IF($B$1+1&lt;=$B98,12*($B$7-$B$10),-12*($B$6+$B$10)*(1+$B$4)^1))*IF(C98+IF($B$1+1&lt;=$B98,12*($B$7-$B$10),-12*($B$6+$B$10)*(1+$B$4)^1)&gt;0,1+$B$3,1))</f>
        <v/>
      </c>
      <c r="E98">
        <f>IF($B$1+2&gt;90,D98,(D98+IF($B$1+2&lt;=$B98,12*($B$7-$B$10),-12*($B$6+$B$10)*(1+$B$4)^2))*IF(D98+IF($B$1+2&lt;=$B98,12*($B$7-$B$10),-12*($B$6+$B$10)*(1+$B$4)^2)&gt;0,1+$B$3,1))</f>
        <v/>
      </c>
      <c r="F98">
        <f>IF($B$1+3&gt;90,E98,(E98+IF($B$1+3&lt;=$B98,12*($B$7-$B$10),-12*($B$6+$B$10)*(1+$B$4)^3))*IF(E98+IF($B$1+3&lt;=$B98,12*($B$7-$B$10),-12*($B$6+$B$10)*(1+$B$4)^3)&gt;0,1+$B$3,1))</f>
        <v/>
      </c>
      <c r="G98">
        <f>IF($B$1+4&gt;90,F98,(F98+IF($B$1+4&lt;=$B98,12*($B$7-$B$10),-12*($B$6+$B$10)*(1+$B$4)^4))*IF(F98+IF($B$1+4&lt;=$B98,12*($B$7-$B$10),-12*($B$6+$B$10)*(1+$B$4)^4)&gt;0,1+$B$3,1))</f>
        <v/>
      </c>
      <c r="H98">
        <f>IF($B$1+5&gt;90,G98,(G98+IF($B$1+5&lt;=$B98,12*($B$7-$B$10),-12*($B$6+$B$10)*(1+$B$4)^5))*IF(G98+IF($B$1+5&lt;=$B98,12*($B$7-$B$10),-12*($B$6+$B$10)*(1+$B$4)^5)&gt;0,1+$B$3,1))</f>
        <v/>
      </c>
      <c r="I98">
        <f>IF($B$1+6&gt;90,H98,(H98+IF($B$1+6&lt;=$B98,12*($B$7-$B$10),-12*($B$6+$B$10)*(1+$B$4)^6))*IF(H98+IF($B$1+6&lt;=$B98,12*($B$7-$B$10),-12*($B$6+$B$10)*(1+$B$4)^6)&gt;0,1+$B$3,1))</f>
        <v/>
      </c>
      <c r="J98">
        <f>IF($B$1+7&gt;90,I98,(I98+IF($B$1+7&lt;=$B98,12*($B$7-$B$10),-12*($B$6+$B$10)*(1+$B$4)^7))*IF(I98+IF($B$1+7&lt;=$B98,12*($B$7-$B$10),-12*($B$6+$B$10)*(1+$B$4)^7)&gt;0,1+$B$3,1))</f>
        <v/>
      </c>
      <c r="K98">
        <f>IF($B$1+8&gt;90,J98,(J98+IF($B$1+8&lt;=$B98,12*($B$7-$B$10),-12*($B$6+$B$10)*(1+$B$4)^8))*IF(J98+IF($B$1+8&lt;=$B98,12*($B$7-$B$10),-12*($B$6+$B$10)*(1+$B$4)^8)&gt;0,1+$B$3,1))</f>
        <v/>
      </c>
      <c r="L98">
        <f>IF($B$1+9&gt;90,K98,(K98+IF($B$1+9&lt;=$B98,12*($B$7-$B$10),-12*($B$6+$B$10)*(1+$B$4)^9))*IF(K98+IF($B$1+9&lt;=$B98,12*($B$7-$B$10),-12*($B$6+$B$10)*(1+$B$4)^9)&gt;0,1+$B$3,1))</f>
        <v/>
      </c>
      <c r="M98">
        <f>IF($B$1+10&gt;90,L98,(L98+IF($B$1+10&lt;=$B98,12*($B$7-$B$10),-12*($B$6+$B$10)*(1+$B$4)^10))*IF(L98+IF($B$1+10&lt;=$B98,12*($B$7-$B$10),-12*($B$6+$B$10)*(1+$B$4)^10)&gt;0,1+$B$3,1))</f>
        <v/>
      </c>
      <c r="N98">
        <f>IF($B$1+11&gt;90,M98,(M98+IF($B$1+11&lt;=$B98,12*($B$7-$B$10),-12*($B$6+$B$10)*(1+$B$4)^11))*IF(M98+IF($B$1+11&lt;=$B98,12*($B$7-$B$10),-12*($B$6+$B$10)*(1+$B$4)^11)&gt;0,1+$B$3,1))</f>
        <v/>
      </c>
      <c r="O98">
        <f>IF($B$1+12&gt;90,N98,(N98+IF($B$1+12&lt;=$B98,12*($B$7-$B$10),-12*($B$6+$B$10)*(1+$B$4)^12))*IF(N98+IF($B$1+12&lt;=$B98,12*($B$7-$B$10),-12*($B$6+$B$10)*(1+$B$4)^12)&gt;0,1+$B$3,1))</f>
        <v/>
      </c>
      <c r="P98">
        <f>IF($B$1+13&gt;90,O98,(O98+IF($B$1+13&lt;=$B98,12*($B$7-$B$10),-12*($B$6+$B$10)*(1+$B$4)^13))*IF(O98+IF($B$1+13&lt;=$B98,12*($B$7-$B$10),-12*($B$6+$B$10)*(1+$B$4)^13)&gt;0,1+$B$3,1))</f>
        <v/>
      </c>
      <c r="Q98">
        <f>IF($B$1+14&gt;90,P98,(P98+IF($B$1+14&lt;=$B98,12*($B$7-$B$10),-12*($B$6+$B$10)*(1+$B$4)^14))*IF(P98+IF($B$1+14&lt;=$B98,12*($B$7-$B$10),-12*($B$6+$B$10)*(1+$B$4)^14)&gt;0,1+$B$3,1))</f>
        <v/>
      </c>
      <c r="R98">
        <f>IF($B$1+15&gt;90,Q98,(Q98+IF($B$1+15&lt;=$B98,12*($B$7-$B$10),-12*($B$6+$B$10)*(1+$B$4)^15))*IF(Q98+IF($B$1+15&lt;=$B98,12*($B$7-$B$10),-12*($B$6+$B$10)*(1+$B$4)^15)&gt;0,1+$B$3,1))</f>
        <v/>
      </c>
      <c r="S98">
        <f>IF($B$1+16&gt;90,R98,(R98+IF($B$1+16&lt;=$B98,12*($B$7-$B$10),-12*($B$6+$B$10)*(1+$B$4)^16))*IF(R98+IF($B$1+16&lt;=$B98,12*($B$7-$B$10),-12*($B$6+$B$10)*(1+$B$4)^16)&gt;0,1+$B$3,1))</f>
        <v/>
      </c>
      <c r="T98">
        <f>IF($B$1+17&gt;90,S98,(S98+IF($B$1+17&lt;=$B98,12*($B$7-$B$10),-12*($B$6+$B$10)*(1+$B$4)^17))*IF(S98+IF($B$1+17&lt;=$B98,12*($B$7-$B$10),-12*($B$6+$B$10)*(1+$B$4)^17)&gt;0,1+$B$3,1))</f>
        <v/>
      </c>
      <c r="U98">
        <f>IF($B$1+18&gt;90,T98,(T98+IF($B$1+18&lt;=$B98,12*($B$7-$B$10),-12*($B$6+$B$10)*(1+$B$4)^18))*IF(T98+IF($B$1+18&lt;=$B98,12*($B$7-$B$10),-12*($B$6+$B$10)*(1+$B$4)^18)&gt;0,1+$B$3,1))</f>
        <v/>
      </c>
      <c r="V98">
        <f>IF($B$1+19&gt;90,U98,(U98+IF($B$1+19&lt;=$B98,12*($B$7-$B$10),-12*($B$6+$B$10)*(1+$B$4)^19))*IF(U98+IF($B$1+19&lt;=$B98,12*($B$7-$B$10),-12*($B$6+$B$10)*(1+$B$4)^19)&gt;0,1+$B$3,1))</f>
        <v/>
      </c>
      <c r="W98">
        <f>IF($B$1+20&gt;90,V98,(V98+IF($B$1+20&lt;=$B98,12*($B$7-$B$10),-12*($B$6+$B$10)*(1+$B$4)^20))*IF(V98+IF($B$1+20&lt;=$B98,12*($B$7-$B$10),-12*($B$6+$B$10)*(1+$B$4)^20)&gt;0,1+$B$3,1))</f>
        <v/>
      </c>
      <c r="X98">
        <f>IF($B$1+21&gt;90,W98,(W98+IF($B$1+21&lt;=$B98,12*($B$7-$B$10),-12*($B$6+$B$10)*(1+$B$4)^21))*IF(W98+IF($B$1+21&lt;=$B98,12*($B$7-$B$10),-12*($B$6+$B$10)*(1+$B$4)^21)&gt;0,1+$B$3,1))</f>
        <v/>
      </c>
      <c r="Y98">
        <f>IF($B$1+22&gt;90,X98,(X98+IF($B$1+22&lt;=$B98,12*($B$7-$B$10),-12*($B$6+$B$10)*(1+$B$4)^22))*IF(X98+IF($B$1+22&lt;=$B98,12*($B$7-$B$10),-12*($B$6+$B$10)*(1+$B$4)^22)&gt;0,1+$B$3,1))</f>
        <v/>
      </c>
      <c r="Z98">
        <f>IF($B$1+23&gt;90,Y98,(Y98+IF($B$1+23&lt;=$B98,12*($B$7-$B$10),-12*($B$6+$B$10)*(1+$B$4)^23))*IF(Y98+IF($B$1+23&lt;=$B98,12*($B$7-$B$10),-12*($B$6+$B$10)*(1+$B$4)^23)&gt;0,1+$B$3,1))</f>
        <v/>
      </c>
      <c r="AA98">
        <f>IF($B$1+24&gt;90,Z98,(Z98+IF($B$1+24&lt;=$B98,12*($B$7-$B$10),-12*($B$6+$B$10)*(1+$B$4)^24))*IF(Z98+IF($B$1+24&lt;=$B98,12*($B$7-$B$10),-12*($B$6+$B$10)*(1+$B$4)^24)&gt;0,1+$B$3,1))</f>
        <v/>
      </c>
      <c r="AB98">
        <f>IF($B$1+25&gt;90,AA98,(AA98+IF($B$1+25&lt;=$B98,12*($B$7-$B$10),-12*($B$6+$B$10)*(1+$B$4)^25))*IF(AA98+IF($B$1+25&lt;=$B98,12*($B$7-$B$10),-12*($B$6+$B$10)*(1+$B$4)^25)&gt;0,1+$B$3,1))</f>
        <v/>
      </c>
      <c r="AC98">
        <f>IF($B$1+26&gt;90,AB98,(AB98+IF($B$1+26&lt;=$B98,12*($B$7-$B$10),-12*($B$6+$B$10)*(1+$B$4)^26))*IF(AB98+IF($B$1+26&lt;=$B98,12*($B$7-$B$10),-12*($B$6+$B$10)*(1+$B$4)^26)&gt;0,1+$B$3,1))</f>
        <v/>
      </c>
      <c r="AD98">
        <f>IF($B$1+27&gt;90,AC98,(AC98+IF($B$1+27&lt;=$B98,12*($B$7-$B$10),-12*($B$6+$B$10)*(1+$B$4)^27))*IF(AC98+IF($B$1+27&lt;=$B98,12*($B$7-$B$10),-12*($B$6+$B$10)*(1+$B$4)^27)&gt;0,1+$B$3,1))</f>
        <v/>
      </c>
      <c r="AE98">
        <f>IF($B$1+28&gt;90,AD98,(AD98+IF($B$1+28&lt;=$B98,12*($B$7-$B$10),-12*($B$6+$B$10)*(1+$B$4)^28))*IF(AD98+IF($B$1+28&lt;=$B98,12*($B$7-$B$10),-12*($B$6+$B$10)*(1+$B$4)^28)&gt;0,1+$B$3,1))</f>
        <v/>
      </c>
      <c r="AF98">
        <f>IF($B$1+29&gt;90,AE98,(AE98+IF($B$1+29&lt;=$B98,12*($B$7-$B$10),-12*($B$6+$B$10)*(1+$B$4)^29))*IF(AE98+IF($B$1+29&lt;=$B98,12*($B$7-$B$10),-12*($B$6+$B$10)*(1+$B$4)^29)&gt;0,1+$B$3,1))</f>
        <v/>
      </c>
      <c r="AG98">
        <f>IF($B$1+30&gt;90,AF98,(AF98+IF($B$1+30&lt;=$B98,12*($B$7-$B$10),-12*($B$6+$B$10)*(1+$B$4)^30))*IF(AF98+IF($B$1+30&lt;=$B98,12*($B$7-$B$10),-12*($B$6+$B$10)*(1+$B$4)^30)&gt;0,1+$B$3,1))</f>
        <v/>
      </c>
      <c r="AH98">
        <f>IF($B$1+31&gt;90,AG98,(AG98+IF($B$1+31&lt;=$B98,12*($B$7-$B$10),-12*($B$6+$B$10)*(1+$B$4)^31))*IF(AG98+IF($B$1+31&lt;=$B98,12*($B$7-$B$10),-12*($B$6+$B$10)*(1+$B$4)^31)&gt;0,1+$B$3,1))</f>
        <v/>
      </c>
      <c r="AI98">
        <f>IF($B$1+32&gt;90,AH98,(AH98+IF($B$1+32&lt;=$B98,12*($B$7-$B$10),-12*($B$6+$B$10)*(1+$B$4)^32))*IF(AH98+IF($B$1+32&lt;=$B98,12*($B$7-$B$10),-12*($B$6+$B$10)*(1+$B$4)^32)&gt;0,1+$B$3,1))</f>
        <v/>
      </c>
      <c r="AJ98">
        <f>IF($B$1+33&gt;90,AI98,(AI98+IF($B$1+33&lt;=$B98,12*($B$7-$B$10),-12*($B$6+$B$10)*(1+$B$4)^33))*IF(AI98+IF($B$1+33&lt;=$B98,12*($B$7-$B$10),-12*($B$6+$B$10)*(1+$B$4)^33)&gt;0,1+$B$3,1))</f>
        <v/>
      </c>
      <c r="AK98">
        <f>IF($B$1+34&gt;90,AJ98,(AJ98+IF($B$1+34&lt;=$B98,12*($B$7-$B$10),-12*($B$6+$B$10)*(1+$B$4)^34))*IF(AJ98+IF($B$1+34&lt;=$B98,12*($B$7-$B$10),-12*($B$6+$B$10)*(1+$B$4)^34)&gt;0,1+$B$3,1))</f>
        <v/>
      </c>
      <c r="AL98">
        <f>IF($B$1+35&gt;90,AK98,(AK98+IF($B$1+35&lt;=$B98,12*($B$7-$B$10),-12*($B$6+$B$10)*(1+$B$4)^35))*IF(AK98+IF($B$1+35&lt;=$B98,12*($B$7-$B$10),-12*($B$6+$B$10)*(1+$B$4)^35)&gt;0,1+$B$3,1))</f>
        <v/>
      </c>
      <c r="AM98">
        <f>IF($B$1+36&gt;90,AL98,(AL98+IF($B$1+36&lt;=$B98,12*($B$7-$B$10),-12*($B$6+$B$10)*(1+$B$4)^36))*IF(AL98+IF($B$1+36&lt;=$B98,12*($B$7-$B$10),-12*($B$6+$B$10)*(1+$B$4)^36)&gt;0,1+$B$3,1))</f>
        <v/>
      </c>
      <c r="AN98">
        <f>IF($B$1+37&gt;90,AM98,(AM98+IF($B$1+37&lt;=$B98,12*($B$7-$B$10),-12*($B$6+$B$10)*(1+$B$4)^37))*IF(AM98+IF($B$1+37&lt;=$B98,12*($B$7-$B$10),-12*($B$6+$B$10)*(1+$B$4)^37)&gt;0,1+$B$3,1))</f>
        <v/>
      </c>
      <c r="AO98">
        <f>IF($B$1+38&gt;90,AN98,(AN98+IF($B$1+38&lt;=$B98,12*($B$7-$B$10),-12*($B$6+$B$10)*(1+$B$4)^38))*IF(AN98+IF($B$1+38&lt;=$B98,12*($B$7-$B$10),-12*($B$6+$B$10)*(1+$B$4)^38)&gt;0,1+$B$3,1))</f>
        <v/>
      </c>
      <c r="AP98">
        <f>IF($B$1+39&gt;90,AO98,(AO98+IF($B$1+39&lt;=$B98,12*($B$7-$B$10),-12*($B$6+$B$10)*(1+$B$4)^39))*IF(AO98+IF($B$1+39&lt;=$B98,12*($B$7-$B$10),-12*($B$6+$B$10)*(1+$B$4)^39)&gt;0,1+$B$3,1))</f>
        <v/>
      </c>
      <c r="AQ98">
        <f>IF($B$1+40&gt;90,AP98,(AP98+IF($B$1+40&lt;=$B98,12*($B$7-$B$10),-12*($B$6+$B$10)*(1+$B$4)^40))*IF(AP98+IF($B$1+40&lt;=$B98,12*($B$7-$B$10),-12*($B$6+$B$10)*(1+$B$4)^40)&gt;0,1+$B$3,1))</f>
        <v/>
      </c>
      <c r="AR98">
        <f>IF($B$1+41&gt;90,AQ98,(AQ98+IF($B$1+41&lt;=$B98,12*($B$7-$B$10),-12*($B$6+$B$10)*(1+$B$4)^41))*IF(AQ98+IF($B$1+41&lt;=$B98,12*($B$7-$B$10),-12*($B$6+$B$10)*(1+$B$4)^41)&gt;0,1+$B$3,1))</f>
        <v/>
      </c>
      <c r="AS98">
        <f>IF($B$1+42&gt;90,AR98,(AR98+IF($B$1+42&lt;=$B98,12*($B$7-$B$10),-12*($B$6+$B$10)*(1+$B$4)^42))*IF(AR98+IF($B$1+42&lt;=$B98,12*($B$7-$B$10),-12*($B$6+$B$10)*(1+$B$4)^42)&gt;0,1+$B$3,1))</f>
        <v/>
      </c>
      <c r="AT98">
        <f>IF($B$1+43&gt;90,AS98,(AS98+IF($B$1+43&lt;=$B98,12*($B$7-$B$10),-12*($B$6+$B$10)*(1+$B$4)^43))*IF(AS98+IF($B$1+43&lt;=$B98,12*($B$7-$B$10),-12*($B$6+$B$10)*(1+$B$4)^43)&gt;0,1+$B$3,1))</f>
        <v/>
      </c>
      <c r="AU98">
        <f>IF($B$1+44&gt;90,AT98,(AT98+IF($B$1+44&lt;=$B98,12*($B$7-$B$10),-12*($B$6+$B$10)*(1+$B$4)^44))*IF(AT98+IF($B$1+44&lt;=$B98,12*($B$7-$B$10),-12*($B$6+$B$10)*(1+$B$4)^44)&gt;0,1+$B$3,1))</f>
        <v/>
      </c>
      <c r="AV98">
        <f>IF($B$1+45&gt;90,AU98,(AU98+IF($B$1+45&lt;=$B98,12*($B$7-$B$10),-12*($B$6+$B$10)*(1+$B$4)^45))*IF(AU98+IF($B$1+45&lt;=$B98,12*($B$7-$B$10),-12*($B$6+$B$10)*(1+$B$4)^45)&gt;0,1+$B$3,1))</f>
        <v/>
      </c>
      <c r="AW98">
        <f>IF($B$1+46&gt;90,AV98,(AV98+IF($B$1+46&lt;=$B98,12*($B$7-$B$10),-12*($B$6+$B$10)*(1+$B$4)^46))*IF(AV98+IF($B$1+46&lt;=$B98,12*($B$7-$B$10),-12*($B$6+$B$10)*(1+$B$4)^46)&gt;0,1+$B$3,1))</f>
        <v/>
      </c>
      <c r="AX98">
        <f>IF($B$1+47&gt;90,AW98,(AW98+IF($B$1+47&lt;=$B98,12*($B$7-$B$10),-12*($B$6+$B$10)*(1+$B$4)^47))*IF(AW98+IF($B$1+47&lt;=$B98,12*($B$7-$B$10),-12*($B$6+$B$10)*(1+$B$4)^47)&gt;0,1+$B$3,1))</f>
        <v/>
      </c>
      <c r="AY98">
        <f>IF($B$1+48&gt;90,AX98,(AX98+IF($B$1+48&lt;=$B98,12*($B$7-$B$10),-12*($B$6+$B$10)*(1+$B$4)^48))*IF(AX98+IF($B$1+48&lt;=$B98,12*($B$7-$B$10),-12*($B$6+$B$10)*(1+$B$4)^48)&gt;0,1+$B$3,1))</f>
        <v/>
      </c>
      <c r="AZ98">
        <f>IF($B$1+49&gt;90,AY98,(AY98+IF($B$1+49&lt;=$B98,12*($B$7-$B$10),-12*($B$6+$B$10)*(1+$B$4)^49))*IF(AY98+IF($B$1+49&lt;=$B98,12*($B$7-$B$10),-12*($B$6+$B$10)*(1+$B$4)^49)&gt;0,1+$B$3,1))</f>
        <v/>
      </c>
      <c r="BA98">
        <f>IF($B$1+50&gt;90,AZ98,(AZ98+IF($B$1+50&lt;=$B98,12*($B$7-$B$10),-12*($B$6+$B$10)*(1+$B$4)^50))*IF(AZ98+IF($B$1+50&lt;=$B98,12*($B$7-$B$10),-12*($B$6+$B$10)*(1+$B$4)^50)&gt;0,1+$B$3,1))</f>
        <v/>
      </c>
      <c r="BB98">
        <f>IF($B$1+51&gt;90,BA98,(BA98+IF($B$1+51&lt;=$B98,12*($B$7-$B$10),-12*($B$6+$B$10)*(1+$B$4)^51))*IF(BA98+IF($B$1+51&lt;=$B98,12*($B$7-$B$10),-12*($B$6+$B$10)*(1+$B$4)^51)&gt;0,1+$B$3,1))</f>
        <v/>
      </c>
      <c r="BC98">
        <f>IF($B$1+52&gt;90,BB98,(BB98+IF($B$1+52&lt;=$B98,12*($B$7-$B$10),-12*($B$6+$B$10)*(1+$B$4)^52))*IF(BB98+IF($B$1+52&lt;=$B98,12*($B$7-$B$10),-12*($B$6+$B$10)*(1+$B$4)^52)&gt;0,1+$B$3,1))</f>
        <v/>
      </c>
      <c r="BD98">
        <f>IF($B$1+53&gt;90,BC98,(BC98+IF($B$1+53&lt;=$B98,12*($B$7-$B$10),-12*($B$6+$B$10)*(1+$B$4)^53))*IF(BC98+IF($B$1+53&lt;=$B98,12*($B$7-$B$10),-12*($B$6+$B$10)*(1+$B$4)^53)&gt;0,1+$B$3,1))</f>
        <v/>
      </c>
      <c r="BE98">
        <f>IF($B$1+54&gt;90,BD98,(BD98+IF($B$1+54&lt;=$B98,12*($B$7-$B$10),-12*($B$6+$B$10)*(1+$B$4)^54))*IF(BD98+IF($B$1+54&lt;=$B98,12*($B$7-$B$10),-12*($B$6+$B$10)*(1+$B$4)^54)&gt;0,1+$B$3,1))</f>
        <v/>
      </c>
      <c r="BF98">
        <f>IF($B$1+55&gt;90,BE98,(BE98+IF($B$1+55&lt;=$B98,12*($B$7-$B$10),-12*($B$6+$B$10)*(1+$B$4)^55))*IF(BE98+IF($B$1+55&lt;=$B98,12*($B$7-$B$10),-12*($B$6+$B$10)*(1+$B$4)^55)&gt;0,1+$B$3,1))</f>
        <v/>
      </c>
      <c r="BG98">
        <f>IF($B$1+56&gt;90,BF98,(BF98+IF($B$1+56&lt;=$B98,12*($B$7-$B$10),-12*($B$6+$B$10)*(1+$B$4)^56))*IF(BF98+IF($B$1+56&lt;=$B98,12*($B$7-$B$10),-12*($B$6+$B$10)*(1+$B$4)^56)&gt;0,1+$B$3,1))</f>
        <v/>
      </c>
      <c r="BH98">
        <f>IF($B$1+57&gt;90,BG98,(BG98+IF($B$1+57&lt;=$B98,12*($B$7-$B$10),-12*($B$6+$B$10)*(1+$B$4)^57))*IF(BG98+IF($B$1+57&lt;=$B98,12*($B$7-$B$10),-12*($B$6+$B$10)*(1+$B$4)^57)&gt;0,1+$B$3,1))</f>
        <v/>
      </c>
      <c r="BI98">
        <f>IF($B$1+58&gt;90,BH98,(BH98+IF($B$1+58&lt;=$B98,12*($B$7-$B$10),-12*($B$6+$B$10)*(1+$B$4)^58))*IF(BH98+IF($B$1+58&lt;=$B98,12*($B$7-$B$10),-12*($B$6+$B$10)*(1+$B$4)^58)&gt;0,1+$B$3,1))</f>
        <v/>
      </c>
      <c r="BJ98">
        <f>IF($B$1+59&gt;90,BI98,(BI98+IF($B$1+59&lt;=$B98,12*($B$7-$B$10),-12*($B$6+$B$10)*(1+$B$4)^59))*IF(BI98+IF($B$1+59&lt;=$B98,12*($B$7-$B$10),-12*($B$6+$B$10)*(1+$B$4)^59)&gt;0,1+$B$3,1))</f>
        <v/>
      </c>
      <c r="BK98">
        <f>IF($B$1+60&gt;90,BJ98,(BJ98+IF($B$1+60&lt;=$B98,12*($B$7-$B$10),-12*($B$6+$B$10)*(1+$B$4)^60))*IF(BJ98+IF($B$1+60&lt;=$B98,12*($B$7-$B$10),-12*($B$6+$B$10)*(1+$B$4)^60)&gt;0,1+$B$3,1))</f>
        <v/>
      </c>
      <c r="BL98">
        <f>IF($B$1+61&gt;90,BK98,(BK98+IF($B$1+61&lt;=$B98,12*($B$7-$B$10),-12*($B$6+$B$10)*(1+$B$4)^61))*IF(BK98+IF($B$1+61&lt;=$B98,12*($B$7-$B$10),-12*($B$6+$B$10)*(1+$B$4)^61)&gt;0,1+$B$3,1))</f>
        <v/>
      </c>
      <c r="BM98">
        <f>IF($B$1+62&gt;90,BL98,(BL98+IF($B$1+62&lt;=$B98,12*($B$7-$B$10),-12*($B$6+$B$10)*(1+$B$4)^62))*IF(BL98+IF($B$1+62&lt;=$B98,12*($B$7-$B$10),-12*($B$6+$B$10)*(1+$B$4)^62)&gt;0,1+$B$3,1))</f>
        <v/>
      </c>
      <c r="BN98">
        <f>IF($B$1+63&gt;90,BM98,(BM98+IF($B$1+63&lt;=$B98,12*($B$7-$B$10),-12*($B$6+$B$10)*(1+$B$4)^63))*IF(BM98+IF($B$1+63&lt;=$B98,12*($B$7-$B$10),-12*($B$6+$B$10)*(1+$B$4)^63)&gt;0,1+$B$3,1))</f>
        <v/>
      </c>
      <c r="BO98">
        <f>IF($B$1+64&gt;90,BN98,(BN98+IF($B$1+64&lt;=$B98,12*($B$7-$B$10),-12*($B$6+$B$10)*(1+$B$4)^64))*IF(BN98+IF($B$1+64&lt;=$B98,12*($B$7-$B$10),-12*($B$6+$B$10)*(1+$B$4)^64)&gt;0,1+$B$3,1))</f>
        <v/>
      </c>
      <c r="BP98">
        <f>IF($B$1+65&gt;90,BO98,(BO98+IF($B$1+65&lt;=$B98,12*($B$7-$B$10),-12*($B$6+$B$10)*(1+$B$4)^65))*IF(BO98+IF($B$1+65&lt;=$B98,12*($B$7-$B$10),-12*($B$6+$B$10)*(1+$B$4)^65)&gt;0,1+$B$3,1))</f>
        <v/>
      </c>
      <c r="BQ98">
        <f>IF($B$1+66&gt;90,BP98,(BP98+IF($B$1+66&lt;=$B98,12*($B$7-$B$10),-12*($B$6+$B$10)*(1+$B$4)^66))*IF(BP98+IF($B$1+66&lt;=$B98,12*($B$7-$B$10),-12*($B$6+$B$10)*(1+$B$4)^66)&gt;0,1+$B$3,1))</f>
        <v/>
      </c>
      <c r="BR98">
        <f>IF($B$1+67&gt;90,BQ98,(BQ98+IF($B$1+67&lt;=$B98,12*($B$7-$B$10),-12*($B$6+$B$10)*(1+$B$4)^67))*IF(BQ98+IF($B$1+67&lt;=$B98,12*($B$7-$B$10),-12*($B$6+$B$10)*(1+$B$4)^67)&gt;0,1+$B$3,1))</f>
        <v/>
      </c>
      <c r="BS98">
        <f>IF($B$1+68&gt;90,BR98,(BR98+IF($B$1+68&lt;=$B98,12*($B$7-$B$10),-12*($B$6+$B$10)*(1+$B$4)^68))*IF(BR98+IF($B$1+68&lt;=$B98,12*($B$7-$B$10),-12*($B$6+$B$10)*(1+$B$4)^68)&gt;0,1+$B$3,1))</f>
        <v/>
      </c>
      <c r="BT98">
        <f>IF($B$1+69&gt;90,BS98,(BS98+IF($B$1+69&lt;=$B98,12*($B$7-$B$10),-12*($B$6+$B$10)*(1+$B$4)^69))*IF(BS98+IF($B$1+69&lt;=$B98,12*($B$7-$B$10),-12*($B$6+$B$10)*(1+$B$4)^69)&gt;0,1+$B$3,1))</f>
        <v/>
      </c>
      <c r="BU98">
        <f>IF($B$1+70&gt;90,BT98,(BT98+IF($B$1+70&lt;=$B98,12*($B$7-$B$10),-12*($B$6+$B$10)*(1+$B$4)^70))*IF(BT98+IF($B$1+70&lt;=$B98,12*($B$7-$B$10),-12*($B$6+$B$10)*(1+$B$4)^70)&gt;0,1+$B$3,1))</f>
        <v/>
      </c>
      <c r="BV98">
        <f>BU98</f>
        <v/>
      </c>
      <c r="BW98">
        <f>IF(AND($B98&lt;=70,BV98&gt;0),$B98,999)</f>
        <v/>
      </c>
    </row>
    <row r="99">
      <c r="A99" t="n">
        <v>3</v>
      </c>
      <c r="B99">
        <f>$B$1+3</f>
        <v/>
      </c>
      <c r="C99">
        <f>$B$2</f>
        <v/>
      </c>
      <c r="D99">
        <f>IF($B$1+1&gt;90,C99,(C99+IF($B$1+1&lt;=$B99,12*($B$7-$B$10),-12*($B$6+$B$10)*(1+$B$4)^1))*IF(C99+IF($B$1+1&lt;=$B99,12*($B$7-$B$10),-12*($B$6+$B$10)*(1+$B$4)^1)&gt;0,1+$B$3,1))</f>
        <v/>
      </c>
      <c r="E99">
        <f>IF($B$1+2&gt;90,D99,(D99+IF($B$1+2&lt;=$B99,12*($B$7-$B$10),-12*($B$6+$B$10)*(1+$B$4)^2))*IF(D99+IF($B$1+2&lt;=$B99,12*($B$7-$B$10),-12*($B$6+$B$10)*(1+$B$4)^2)&gt;0,1+$B$3,1))</f>
        <v/>
      </c>
      <c r="F99">
        <f>IF($B$1+3&gt;90,E99,(E99+IF($B$1+3&lt;=$B99,12*($B$7-$B$10),-12*($B$6+$B$10)*(1+$B$4)^3))*IF(E99+IF($B$1+3&lt;=$B99,12*($B$7-$B$10),-12*($B$6+$B$10)*(1+$B$4)^3)&gt;0,1+$B$3,1))</f>
        <v/>
      </c>
      <c r="G99">
        <f>IF($B$1+4&gt;90,F99,(F99+IF($B$1+4&lt;=$B99,12*($B$7-$B$10),-12*($B$6+$B$10)*(1+$B$4)^4))*IF(F99+IF($B$1+4&lt;=$B99,12*($B$7-$B$10),-12*($B$6+$B$10)*(1+$B$4)^4)&gt;0,1+$B$3,1))</f>
        <v/>
      </c>
      <c r="H99">
        <f>IF($B$1+5&gt;90,G99,(G99+IF($B$1+5&lt;=$B99,12*($B$7-$B$10),-12*($B$6+$B$10)*(1+$B$4)^5))*IF(G99+IF($B$1+5&lt;=$B99,12*($B$7-$B$10),-12*($B$6+$B$10)*(1+$B$4)^5)&gt;0,1+$B$3,1))</f>
        <v/>
      </c>
      <c r="I99">
        <f>IF($B$1+6&gt;90,H99,(H99+IF($B$1+6&lt;=$B99,12*($B$7-$B$10),-12*($B$6+$B$10)*(1+$B$4)^6))*IF(H99+IF($B$1+6&lt;=$B99,12*($B$7-$B$10),-12*($B$6+$B$10)*(1+$B$4)^6)&gt;0,1+$B$3,1))</f>
        <v/>
      </c>
      <c r="J99">
        <f>IF($B$1+7&gt;90,I99,(I99+IF($B$1+7&lt;=$B99,12*($B$7-$B$10),-12*($B$6+$B$10)*(1+$B$4)^7))*IF(I99+IF($B$1+7&lt;=$B99,12*($B$7-$B$10),-12*($B$6+$B$10)*(1+$B$4)^7)&gt;0,1+$B$3,1))</f>
        <v/>
      </c>
      <c r="K99">
        <f>IF($B$1+8&gt;90,J99,(J99+IF($B$1+8&lt;=$B99,12*($B$7-$B$10),-12*($B$6+$B$10)*(1+$B$4)^8))*IF(J99+IF($B$1+8&lt;=$B99,12*($B$7-$B$10),-12*($B$6+$B$10)*(1+$B$4)^8)&gt;0,1+$B$3,1))</f>
        <v/>
      </c>
      <c r="L99">
        <f>IF($B$1+9&gt;90,K99,(K99+IF($B$1+9&lt;=$B99,12*($B$7-$B$10),-12*($B$6+$B$10)*(1+$B$4)^9))*IF(K99+IF($B$1+9&lt;=$B99,12*($B$7-$B$10),-12*($B$6+$B$10)*(1+$B$4)^9)&gt;0,1+$B$3,1))</f>
        <v/>
      </c>
      <c r="M99">
        <f>IF($B$1+10&gt;90,L99,(L99+IF($B$1+10&lt;=$B99,12*($B$7-$B$10),-12*($B$6+$B$10)*(1+$B$4)^10))*IF(L99+IF($B$1+10&lt;=$B99,12*($B$7-$B$10),-12*($B$6+$B$10)*(1+$B$4)^10)&gt;0,1+$B$3,1))</f>
        <v/>
      </c>
      <c r="N99">
        <f>IF($B$1+11&gt;90,M99,(M99+IF($B$1+11&lt;=$B99,12*($B$7-$B$10),-12*($B$6+$B$10)*(1+$B$4)^11))*IF(M99+IF($B$1+11&lt;=$B99,12*($B$7-$B$10),-12*($B$6+$B$10)*(1+$B$4)^11)&gt;0,1+$B$3,1))</f>
        <v/>
      </c>
      <c r="O99">
        <f>IF($B$1+12&gt;90,N99,(N99+IF($B$1+12&lt;=$B99,12*($B$7-$B$10),-12*($B$6+$B$10)*(1+$B$4)^12))*IF(N99+IF($B$1+12&lt;=$B99,12*($B$7-$B$10),-12*($B$6+$B$10)*(1+$B$4)^12)&gt;0,1+$B$3,1))</f>
        <v/>
      </c>
      <c r="P99">
        <f>IF($B$1+13&gt;90,O99,(O99+IF($B$1+13&lt;=$B99,12*($B$7-$B$10),-12*($B$6+$B$10)*(1+$B$4)^13))*IF(O99+IF($B$1+13&lt;=$B99,12*($B$7-$B$10),-12*($B$6+$B$10)*(1+$B$4)^13)&gt;0,1+$B$3,1))</f>
        <v/>
      </c>
      <c r="Q99">
        <f>IF($B$1+14&gt;90,P99,(P99+IF($B$1+14&lt;=$B99,12*($B$7-$B$10),-12*($B$6+$B$10)*(1+$B$4)^14))*IF(P99+IF($B$1+14&lt;=$B99,12*($B$7-$B$10),-12*($B$6+$B$10)*(1+$B$4)^14)&gt;0,1+$B$3,1))</f>
        <v/>
      </c>
      <c r="R99">
        <f>IF($B$1+15&gt;90,Q99,(Q99+IF($B$1+15&lt;=$B99,12*($B$7-$B$10),-12*($B$6+$B$10)*(1+$B$4)^15))*IF(Q99+IF($B$1+15&lt;=$B99,12*($B$7-$B$10),-12*($B$6+$B$10)*(1+$B$4)^15)&gt;0,1+$B$3,1))</f>
        <v/>
      </c>
      <c r="S99">
        <f>IF($B$1+16&gt;90,R99,(R99+IF($B$1+16&lt;=$B99,12*($B$7-$B$10),-12*($B$6+$B$10)*(1+$B$4)^16))*IF(R99+IF($B$1+16&lt;=$B99,12*($B$7-$B$10),-12*($B$6+$B$10)*(1+$B$4)^16)&gt;0,1+$B$3,1))</f>
        <v/>
      </c>
      <c r="T99">
        <f>IF($B$1+17&gt;90,S99,(S99+IF($B$1+17&lt;=$B99,12*($B$7-$B$10),-12*($B$6+$B$10)*(1+$B$4)^17))*IF(S99+IF($B$1+17&lt;=$B99,12*($B$7-$B$10),-12*($B$6+$B$10)*(1+$B$4)^17)&gt;0,1+$B$3,1))</f>
        <v/>
      </c>
      <c r="U99">
        <f>IF($B$1+18&gt;90,T99,(T99+IF($B$1+18&lt;=$B99,12*($B$7-$B$10),-12*($B$6+$B$10)*(1+$B$4)^18))*IF(T99+IF($B$1+18&lt;=$B99,12*($B$7-$B$10),-12*($B$6+$B$10)*(1+$B$4)^18)&gt;0,1+$B$3,1))</f>
        <v/>
      </c>
      <c r="V99">
        <f>IF($B$1+19&gt;90,U99,(U99+IF($B$1+19&lt;=$B99,12*($B$7-$B$10),-12*($B$6+$B$10)*(1+$B$4)^19))*IF(U99+IF($B$1+19&lt;=$B99,12*($B$7-$B$10),-12*($B$6+$B$10)*(1+$B$4)^19)&gt;0,1+$B$3,1))</f>
        <v/>
      </c>
      <c r="W99">
        <f>IF($B$1+20&gt;90,V99,(V99+IF($B$1+20&lt;=$B99,12*($B$7-$B$10),-12*($B$6+$B$10)*(1+$B$4)^20))*IF(V99+IF($B$1+20&lt;=$B99,12*($B$7-$B$10),-12*($B$6+$B$10)*(1+$B$4)^20)&gt;0,1+$B$3,1))</f>
        <v/>
      </c>
      <c r="X99">
        <f>IF($B$1+21&gt;90,W99,(W99+IF($B$1+21&lt;=$B99,12*($B$7-$B$10),-12*($B$6+$B$10)*(1+$B$4)^21))*IF(W99+IF($B$1+21&lt;=$B99,12*($B$7-$B$10),-12*($B$6+$B$10)*(1+$B$4)^21)&gt;0,1+$B$3,1))</f>
        <v/>
      </c>
      <c r="Y99">
        <f>IF($B$1+22&gt;90,X99,(X99+IF($B$1+22&lt;=$B99,12*($B$7-$B$10),-12*($B$6+$B$10)*(1+$B$4)^22))*IF(X99+IF($B$1+22&lt;=$B99,12*($B$7-$B$10),-12*($B$6+$B$10)*(1+$B$4)^22)&gt;0,1+$B$3,1))</f>
        <v/>
      </c>
      <c r="Z99">
        <f>IF($B$1+23&gt;90,Y99,(Y99+IF($B$1+23&lt;=$B99,12*($B$7-$B$10),-12*($B$6+$B$10)*(1+$B$4)^23))*IF(Y99+IF($B$1+23&lt;=$B99,12*($B$7-$B$10),-12*($B$6+$B$10)*(1+$B$4)^23)&gt;0,1+$B$3,1))</f>
        <v/>
      </c>
      <c r="AA99">
        <f>IF($B$1+24&gt;90,Z99,(Z99+IF($B$1+24&lt;=$B99,12*($B$7-$B$10),-12*($B$6+$B$10)*(1+$B$4)^24))*IF(Z99+IF($B$1+24&lt;=$B99,12*($B$7-$B$10),-12*($B$6+$B$10)*(1+$B$4)^24)&gt;0,1+$B$3,1))</f>
        <v/>
      </c>
      <c r="AB99">
        <f>IF($B$1+25&gt;90,AA99,(AA99+IF($B$1+25&lt;=$B99,12*($B$7-$B$10),-12*($B$6+$B$10)*(1+$B$4)^25))*IF(AA99+IF($B$1+25&lt;=$B99,12*($B$7-$B$10),-12*($B$6+$B$10)*(1+$B$4)^25)&gt;0,1+$B$3,1))</f>
        <v/>
      </c>
      <c r="AC99">
        <f>IF($B$1+26&gt;90,AB99,(AB99+IF($B$1+26&lt;=$B99,12*($B$7-$B$10),-12*($B$6+$B$10)*(1+$B$4)^26))*IF(AB99+IF($B$1+26&lt;=$B99,12*($B$7-$B$10),-12*($B$6+$B$10)*(1+$B$4)^26)&gt;0,1+$B$3,1))</f>
        <v/>
      </c>
      <c r="AD99">
        <f>IF($B$1+27&gt;90,AC99,(AC99+IF($B$1+27&lt;=$B99,12*($B$7-$B$10),-12*($B$6+$B$10)*(1+$B$4)^27))*IF(AC99+IF($B$1+27&lt;=$B99,12*($B$7-$B$10),-12*($B$6+$B$10)*(1+$B$4)^27)&gt;0,1+$B$3,1))</f>
        <v/>
      </c>
      <c r="AE99">
        <f>IF($B$1+28&gt;90,AD99,(AD99+IF($B$1+28&lt;=$B99,12*($B$7-$B$10),-12*($B$6+$B$10)*(1+$B$4)^28))*IF(AD99+IF($B$1+28&lt;=$B99,12*($B$7-$B$10),-12*($B$6+$B$10)*(1+$B$4)^28)&gt;0,1+$B$3,1))</f>
        <v/>
      </c>
      <c r="AF99">
        <f>IF($B$1+29&gt;90,AE99,(AE99+IF($B$1+29&lt;=$B99,12*($B$7-$B$10),-12*($B$6+$B$10)*(1+$B$4)^29))*IF(AE99+IF($B$1+29&lt;=$B99,12*($B$7-$B$10),-12*($B$6+$B$10)*(1+$B$4)^29)&gt;0,1+$B$3,1))</f>
        <v/>
      </c>
      <c r="AG99">
        <f>IF($B$1+30&gt;90,AF99,(AF99+IF($B$1+30&lt;=$B99,12*($B$7-$B$10),-12*($B$6+$B$10)*(1+$B$4)^30))*IF(AF99+IF($B$1+30&lt;=$B99,12*($B$7-$B$10),-12*($B$6+$B$10)*(1+$B$4)^30)&gt;0,1+$B$3,1))</f>
        <v/>
      </c>
      <c r="AH99">
        <f>IF($B$1+31&gt;90,AG99,(AG99+IF($B$1+31&lt;=$B99,12*($B$7-$B$10),-12*($B$6+$B$10)*(1+$B$4)^31))*IF(AG99+IF($B$1+31&lt;=$B99,12*($B$7-$B$10),-12*($B$6+$B$10)*(1+$B$4)^31)&gt;0,1+$B$3,1))</f>
        <v/>
      </c>
      <c r="AI99">
        <f>IF($B$1+32&gt;90,AH99,(AH99+IF($B$1+32&lt;=$B99,12*($B$7-$B$10),-12*($B$6+$B$10)*(1+$B$4)^32))*IF(AH99+IF($B$1+32&lt;=$B99,12*($B$7-$B$10),-12*($B$6+$B$10)*(1+$B$4)^32)&gt;0,1+$B$3,1))</f>
        <v/>
      </c>
      <c r="AJ99">
        <f>IF($B$1+33&gt;90,AI99,(AI99+IF($B$1+33&lt;=$B99,12*($B$7-$B$10),-12*($B$6+$B$10)*(1+$B$4)^33))*IF(AI99+IF($B$1+33&lt;=$B99,12*($B$7-$B$10),-12*($B$6+$B$10)*(1+$B$4)^33)&gt;0,1+$B$3,1))</f>
        <v/>
      </c>
      <c r="AK99">
        <f>IF($B$1+34&gt;90,AJ99,(AJ99+IF($B$1+34&lt;=$B99,12*($B$7-$B$10),-12*($B$6+$B$10)*(1+$B$4)^34))*IF(AJ99+IF($B$1+34&lt;=$B99,12*($B$7-$B$10),-12*($B$6+$B$10)*(1+$B$4)^34)&gt;0,1+$B$3,1))</f>
        <v/>
      </c>
      <c r="AL99">
        <f>IF($B$1+35&gt;90,AK99,(AK99+IF($B$1+35&lt;=$B99,12*($B$7-$B$10),-12*($B$6+$B$10)*(1+$B$4)^35))*IF(AK99+IF($B$1+35&lt;=$B99,12*($B$7-$B$10),-12*($B$6+$B$10)*(1+$B$4)^35)&gt;0,1+$B$3,1))</f>
        <v/>
      </c>
      <c r="AM99">
        <f>IF($B$1+36&gt;90,AL99,(AL99+IF($B$1+36&lt;=$B99,12*($B$7-$B$10),-12*($B$6+$B$10)*(1+$B$4)^36))*IF(AL99+IF($B$1+36&lt;=$B99,12*($B$7-$B$10),-12*($B$6+$B$10)*(1+$B$4)^36)&gt;0,1+$B$3,1))</f>
        <v/>
      </c>
      <c r="AN99">
        <f>IF($B$1+37&gt;90,AM99,(AM99+IF($B$1+37&lt;=$B99,12*($B$7-$B$10),-12*($B$6+$B$10)*(1+$B$4)^37))*IF(AM99+IF($B$1+37&lt;=$B99,12*($B$7-$B$10),-12*($B$6+$B$10)*(1+$B$4)^37)&gt;0,1+$B$3,1))</f>
        <v/>
      </c>
      <c r="AO99">
        <f>IF($B$1+38&gt;90,AN99,(AN99+IF($B$1+38&lt;=$B99,12*($B$7-$B$10),-12*($B$6+$B$10)*(1+$B$4)^38))*IF(AN99+IF($B$1+38&lt;=$B99,12*($B$7-$B$10),-12*($B$6+$B$10)*(1+$B$4)^38)&gt;0,1+$B$3,1))</f>
        <v/>
      </c>
      <c r="AP99">
        <f>IF($B$1+39&gt;90,AO99,(AO99+IF($B$1+39&lt;=$B99,12*($B$7-$B$10),-12*($B$6+$B$10)*(1+$B$4)^39))*IF(AO99+IF($B$1+39&lt;=$B99,12*($B$7-$B$10),-12*($B$6+$B$10)*(1+$B$4)^39)&gt;0,1+$B$3,1))</f>
        <v/>
      </c>
      <c r="AQ99">
        <f>IF($B$1+40&gt;90,AP99,(AP99+IF($B$1+40&lt;=$B99,12*($B$7-$B$10),-12*($B$6+$B$10)*(1+$B$4)^40))*IF(AP99+IF($B$1+40&lt;=$B99,12*($B$7-$B$10),-12*($B$6+$B$10)*(1+$B$4)^40)&gt;0,1+$B$3,1))</f>
        <v/>
      </c>
      <c r="AR99">
        <f>IF($B$1+41&gt;90,AQ99,(AQ99+IF($B$1+41&lt;=$B99,12*($B$7-$B$10),-12*($B$6+$B$10)*(1+$B$4)^41))*IF(AQ99+IF($B$1+41&lt;=$B99,12*($B$7-$B$10),-12*($B$6+$B$10)*(1+$B$4)^41)&gt;0,1+$B$3,1))</f>
        <v/>
      </c>
      <c r="AS99">
        <f>IF($B$1+42&gt;90,AR99,(AR99+IF($B$1+42&lt;=$B99,12*($B$7-$B$10),-12*($B$6+$B$10)*(1+$B$4)^42))*IF(AR99+IF($B$1+42&lt;=$B99,12*($B$7-$B$10),-12*($B$6+$B$10)*(1+$B$4)^42)&gt;0,1+$B$3,1))</f>
        <v/>
      </c>
      <c r="AT99">
        <f>IF($B$1+43&gt;90,AS99,(AS99+IF($B$1+43&lt;=$B99,12*($B$7-$B$10),-12*($B$6+$B$10)*(1+$B$4)^43))*IF(AS99+IF($B$1+43&lt;=$B99,12*($B$7-$B$10),-12*($B$6+$B$10)*(1+$B$4)^43)&gt;0,1+$B$3,1))</f>
        <v/>
      </c>
      <c r="AU99">
        <f>IF($B$1+44&gt;90,AT99,(AT99+IF($B$1+44&lt;=$B99,12*($B$7-$B$10),-12*($B$6+$B$10)*(1+$B$4)^44))*IF(AT99+IF($B$1+44&lt;=$B99,12*($B$7-$B$10),-12*($B$6+$B$10)*(1+$B$4)^44)&gt;0,1+$B$3,1))</f>
        <v/>
      </c>
      <c r="AV99">
        <f>IF($B$1+45&gt;90,AU99,(AU99+IF($B$1+45&lt;=$B99,12*($B$7-$B$10),-12*($B$6+$B$10)*(1+$B$4)^45))*IF(AU99+IF($B$1+45&lt;=$B99,12*($B$7-$B$10),-12*($B$6+$B$10)*(1+$B$4)^45)&gt;0,1+$B$3,1))</f>
        <v/>
      </c>
      <c r="AW99">
        <f>IF($B$1+46&gt;90,AV99,(AV99+IF($B$1+46&lt;=$B99,12*($B$7-$B$10),-12*($B$6+$B$10)*(1+$B$4)^46))*IF(AV99+IF($B$1+46&lt;=$B99,12*($B$7-$B$10),-12*($B$6+$B$10)*(1+$B$4)^46)&gt;0,1+$B$3,1))</f>
        <v/>
      </c>
      <c r="AX99">
        <f>IF($B$1+47&gt;90,AW99,(AW99+IF($B$1+47&lt;=$B99,12*($B$7-$B$10),-12*($B$6+$B$10)*(1+$B$4)^47))*IF(AW99+IF($B$1+47&lt;=$B99,12*($B$7-$B$10),-12*($B$6+$B$10)*(1+$B$4)^47)&gt;0,1+$B$3,1))</f>
        <v/>
      </c>
      <c r="AY99">
        <f>IF($B$1+48&gt;90,AX99,(AX99+IF($B$1+48&lt;=$B99,12*($B$7-$B$10),-12*($B$6+$B$10)*(1+$B$4)^48))*IF(AX99+IF($B$1+48&lt;=$B99,12*($B$7-$B$10),-12*($B$6+$B$10)*(1+$B$4)^48)&gt;0,1+$B$3,1))</f>
        <v/>
      </c>
      <c r="AZ99">
        <f>IF($B$1+49&gt;90,AY99,(AY99+IF($B$1+49&lt;=$B99,12*($B$7-$B$10),-12*($B$6+$B$10)*(1+$B$4)^49))*IF(AY99+IF($B$1+49&lt;=$B99,12*($B$7-$B$10),-12*($B$6+$B$10)*(1+$B$4)^49)&gt;0,1+$B$3,1))</f>
        <v/>
      </c>
      <c r="BA99">
        <f>IF($B$1+50&gt;90,AZ99,(AZ99+IF($B$1+50&lt;=$B99,12*($B$7-$B$10),-12*($B$6+$B$10)*(1+$B$4)^50))*IF(AZ99+IF($B$1+50&lt;=$B99,12*($B$7-$B$10),-12*($B$6+$B$10)*(1+$B$4)^50)&gt;0,1+$B$3,1))</f>
        <v/>
      </c>
      <c r="BB99">
        <f>IF($B$1+51&gt;90,BA99,(BA99+IF($B$1+51&lt;=$B99,12*($B$7-$B$10),-12*($B$6+$B$10)*(1+$B$4)^51))*IF(BA99+IF($B$1+51&lt;=$B99,12*($B$7-$B$10),-12*($B$6+$B$10)*(1+$B$4)^51)&gt;0,1+$B$3,1))</f>
        <v/>
      </c>
      <c r="BC99">
        <f>IF($B$1+52&gt;90,BB99,(BB99+IF($B$1+52&lt;=$B99,12*($B$7-$B$10),-12*($B$6+$B$10)*(1+$B$4)^52))*IF(BB99+IF($B$1+52&lt;=$B99,12*($B$7-$B$10),-12*($B$6+$B$10)*(1+$B$4)^52)&gt;0,1+$B$3,1))</f>
        <v/>
      </c>
      <c r="BD99">
        <f>IF($B$1+53&gt;90,BC99,(BC99+IF($B$1+53&lt;=$B99,12*($B$7-$B$10),-12*($B$6+$B$10)*(1+$B$4)^53))*IF(BC99+IF($B$1+53&lt;=$B99,12*($B$7-$B$10),-12*($B$6+$B$10)*(1+$B$4)^53)&gt;0,1+$B$3,1))</f>
        <v/>
      </c>
      <c r="BE99">
        <f>IF($B$1+54&gt;90,BD99,(BD99+IF($B$1+54&lt;=$B99,12*($B$7-$B$10),-12*($B$6+$B$10)*(1+$B$4)^54))*IF(BD99+IF($B$1+54&lt;=$B99,12*($B$7-$B$10),-12*($B$6+$B$10)*(1+$B$4)^54)&gt;0,1+$B$3,1))</f>
        <v/>
      </c>
      <c r="BF99">
        <f>IF($B$1+55&gt;90,BE99,(BE99+IF($B$1+55&lt;=$B99,12*($B$7-$B$10),-12*($B$6+$B$10)*(1+$B$4)^55))*IF(BE99+IF($B$1+55&lt;=$B99,12*($B$7-$B$10),-12*($B$6+$B$10)*(1+$B$4)^55)&gt;0,1+$B$3,1))</f>
        <v/>
      </c>
      <c r="BG99">
        <f>IF($B$1+56&gt;90,BF99,(BF99+IF($B$1+56&lt;=$B99,12*($B$7-$B$10),-12*($B$6+$B$10)*(1+$B$4)^56))*IF(BF99+IF($B$1+56&lt;=$B99,12*($B$7-$B$10),-12*($B$6+$B$10)*(1+$B$4)^56)&gt;0,1+$B$3,1))</f>
        <v/>
      </c>
      <c r="BH99">
        <f>IF($B$1+57&gt;90,BG99,(BG99+IF($B$1+57&lt;=$B99,12*($B$7-$B$10),-12*($B$6+$B$10)*(1+$B$4)^57))*IF(BG99+IF($B$1+57&lt;=$B99,12*($B$7-$B$10),-12*($B$6+$B$10)*(1+$B$4)^57)&gt;0,1+$B$3,1))</f>
        <v/>
      </c>
      <c r="BI99">
        <f>IF($B$1+58&gt;90,BH99,(BH99+IF($B$1+58&lt;=$B99,12*($B$7-$B$10),-12*($B$6+$B$10)*(1+$B$4)^58))*IF(BH99+IF($B$1+58&lt;=$B99,12*($B$7-$B$10),-12*($B$6+$B$10)*(1+$B$4)^58)&gt;0,1+$B$3,1))</f>
        <v/>
      </c>
      <c r="BJ99">
        <f>IF($B$1+59&gt;90,BI99,(BI99+IF($B$1+59&lt;=$B99,12*($B$7-$B$10),-12*($B$6+$B$10)*(1+$B$4)^59))*IF(BI99+IF($B$1+59&lt;=$B99,12*($B$7-$B$10),-12*($B$6+$B$10)*(1+$B$4)^59)&gt;0,1+$B$3,1))</f>
        <v/>
      </c>
      <c r="BK99">
        <f>IF($B$1+60&gt;90,BJ99,(BJ99+IF($B$1+60&lt;=$B99,12*($B$7-$B$10),-12*($B$6+$B$10)*(1+$B$4)^60))*IF(BJ99+IF($B$1+60&lt;=$B99,12*($B$7-$B$10),-12*($B$6+$B$10)*(1+$B$4)^60)&gt;0,1+$B$3,1))</f>
        <v/>
      </c>
      <c r="BL99">
        <f>IF($B$1+61&gt;90,BK99,(BK99+IF($B$1+61&lt;=$B99,12*($B$7-$B$10),-12*($B$6+$B$10)*(1+$B$4)^61))*IF(BK99+IF($B$1+61&lt;=$B99,12*($B$7-$B$10),-12*($B$6+$B$10)*(1+$B$4)^61)&gt;0,1+$B$3,1))</f>
        <v/>
      </c>
      <c r="BM99">
        <f>IF($B$1+62&gt;90,BL99,(BL99+IF($B$1+62&lt;=$B99,12*($B$7-$B$10),-12*($B$6+$B$10)*(1+$B$4)^62))*IF(BL99+IF($B$1+62&lt;=$B99,12*($B$7-$B$10),-12*($B$6+$B$10)*(1+$B$4)^62)&gt;0,1+$B$3,1))</f>
        <v/>
      </c>
      <c r="BN99">
        <f>IF($B$1+63&gt;90,BM99,(BM99+IF($B$1+63&lt;=$B99,12*($B$7-$B$10),-12*($B$6+$B$10)*(1+$B$4)^63))*IF(BM99+IF($B$1+63&lt;=$B99,12*($B$7-$B$10),-12*($B$6+$B$10)*(1+$B$4)^63)&gt;0,1+$B$3,1))</f>
        <v/>
      </c>
      <c r="BO99">
        <f>IF($B$1+64&gt;90,BN99,(BN99+IF($B$1+64&lt;=$B99,12*($B$7-$B$10),-12*($B$6+$B$10)*(1+$B$4)^64))*IF(BN99+IF($B$1+64&lt;=$B99,12*($B$7-$B$10),-12*($B$6+$B$10)*(1+$B$4)^64)&gt;0,1+$B$3,1))</f>
        <v/>
      </c>
      <c r="BP99">
        <f>IF($B$1+65&gt;90,BO99,(BO99+IF($B$1+65&lt;=$B99,12*($B$7-$B$10),-12*($B$6+$B$10)*(1+$B$4)^65))*IF(BO99+IF($B$1+65&lt;=$B99,12*($B$7-$B$10),-12*($B$6+$B$10)*(1+$B$4)^65)&gt;0,1+$B$3,1))</f>
        <v/>
      </c>
      <c r="BQ99">
        <f>IF($B$1+66&gt;90,BP99,(BP99+IF($B$1+66&lt;=$B99,12*($B$7-$B$10),-12*($B$6+$B$10)*(1+$B$4)^66))*IF(BP99+IF($B$1+66&lt;=$B99,12*($B$7-$B$10),-12*($B$6+$B$10)*(1+$B$4)^66)&gt;0,1+$B$3,1))</f>
        <v/>
      </c>
      <c r="BR99">
        <f>IF($B$1+67&gt;90,BQ99,(BQ99+IF($B$1+67&lt;=$B99,12*($B$7-$B$10),-12*($B$6+$B$10)*(1+$B$4)^67))*IF(BQ99+IF($B$1+67&lt;=$B99,12*($B$7-$B$10),-12*($B$6+$B$10)*(1+$B$4)^67)&gt;0,1+$B$3,1))</f>
        <v/>
      </c>
      <c r="BS99">
        <f>IF($B$1+68&gt;90,BR99,(BR99+IF($B$1+68&lt;=$B99,12*($B$7-$B$10),-12*($B$6+$B$10)*(1+$B$4)^68))*IF(BR99+IF($B$1+68&lt;=$B99,12*($B$7-$B$10),-12*($B$6+$B$10)*(1+$B$4)^68)&gt;0,1+$B$3,1))</f>
        <v/>
      </c>
      <c r="BT99">
        <f>IF($B$1+69&gt;90,BS99,(BS99+IF($B$1+69&lt;=$B99,12*($B$7-$B$10),-12*($B$6+$B$10)*(1+$B$4)^69))*IF(BS99+IF($B$1+69&lt;=$B99,12*($B$7-$B$10),-12*($B$6+$B$10)*(1+$B$4)^69)&gt;0,1+$B$3,1))</f>
        <v/>
      </c>
      <c r="BU99">
        <f>IF($B$1+70&gt;90,BT99,(BT99+IF($B$1+70&lt;=$B99,12*($B$7-$B$10),-12*($B$6+$B$10)*(1+$B$4)^70))*IF(BT99+IF($B$1+70&lt;=$B99,12*($B$7-$B$10),-12*($B$6+$B$10)*(1+$B$4)^70)&gt;0,1+$B$3,1))</f>
        <v/>
      </c>
      <c r="BV99">
        <f>BU99</f>
        <v/>
      </c>
      <c r="BW99">
        <f>IF(AND($B99&lt;=70,BV99&gt;0),$B99,999)</f>
        <v/>
      </c>
    </row>
    <row r="100">
      <c r="A100" t="n">
        <v>4</v>
      </c>
      <c r="B100">
        <f>$B$1+4</f>
        <v/>
      </c>
      <c r="C100">
        <f>$B$2</f>
        <v/>
      </c>
      <c r="D100">
        <f>IF($B$1+1&gt;90,C100,(C100+IF($B$1+1&lt;=$B100,12*($B$7-$B$10),-12*($B$6+$B$10)*(1+$B$4)^1))*IF(C100+IF($B$1+1&lt;=$B100,12*($B$7-$B$10),-12*($B$6+$B$10)*(1+$B$4)^1)&gt;0,1+$B$3,1))</f>
        <v/>
      </c>
      <c r="E100">
        <f>IF($B$1+2&gt;90,D100,(D100+IF($B$1+2&lt;=$B100,12*($B$7-$B$10),-12*($B$6+$B$10)*(1+$B$4)^2))*IF(D100+IF($B$1+2&lt;=$B100,12*($B$7-$B$10),-12*($B$6+$B$10)*(1+$B$4)^2)&gt;0,1+$B$3,1))</f>
        <v/>
      </c>
      <c r="F100">
        <f>IF($B$1+3&gt;90,E100,(E100+IF($B$1+3&lt;=$B100,12*($B$7-$B$10),-12*($B$6+$B$10)*(1+$B$4)^3))*IF(E100+IF($B$1+3&lt;=$B100,12*($B$7-$B$10),-12*($B$6+$B$10)*(1+$B$4)^3)&gt;0,1+$B$3,1))</f>
        <v/>
      </c>
      <c r="G100">
        <f>IF($B$1+4&gt;90,F100,(F100+IF($B$1+4&lt;=$B100,12*($B$7-$B$10),-12*($B$6+$B$10)*(1+$B$4)^4))*IF(F100+IF($B$1+4&lt;=$B100,12*($B$7-$B$10),-12*($B$6+$B$10)*(1+$B$4)^4)&gt;0,1+$B$3,1))</f>
        <v/>
      </c>
      <c r="H100">
        <f>IF($B$1+5&gt;90,G100,(G100+IF($B$1+5&lt;=$B100,12*($B$7-$B$10),-12*($B$6+$B$10)*(1+$B$4)^5))*IF(G100+IF($B$1+5&lt;=$B100,12*($B$7-$B$10),-12*($B$6+$B$10)*(1+$B$4)^5)&gt;0,1+$B$3,1))</f>
        <v/>
      </c>
      <c r="I100">
        <f>IF($B$1+6&gt;90,H100,(H100+IF($B$1+6&lt;=$B100,12*($B$7-$B$10),-12*($B$6+$B$10)*(1+$B$4)^6))*IF(H100+IF($B$1+6&lt;=$B100,12*($B$7-$B$10),-12*($B$6+$B$10)*(1+$B$4)^6)&gt;0,1+$B$3,1))</f>
        <v/>
      </c>
      <c r="J100">
        <f>IF($B$1+7&gt;90,I100,(I100+IF($B$1+7&lt;=$B100,12*($B$7-$B$10),-12*($B$6+$B$10)*(1+$B$4)^7))*IF(I100+IF($B$1+7&lt;=$B100,12*($B$7-$B$10),-12*($B$6+$B$10)*(1+$B$4)^7)&gt;0,1+$B$3,1))</f>
        <v/>
      </c>
      <c r="K100">
        <f>IF($B$1+8&gt;90,J100,(J100+IF($B$1+8&lt;=$B100,12*($B$7-$B$10),-12*($B$6+$B$10)*(1+$B$4)^8))*IF(J100+IF($B$1+8&lt;=$B100,12*($B$7-$B$10),-12*($B$6+$B$10)*(1+$B$4)^8)&gt;0,1+$B$3,1))</f>
        <v/>
      </c>
      <c r="L100">
        <f>IF($B$1+9&gt;90,K100,(K100+IF($B$1+9&lt;=$B100,12*($B$7-$B$10),-12*($B$6+$B$10)*(1+$B$4)^9))*IF(K100+IF($B$1+9&lt;=$B100,12*($B$7-$B$10),-12*($B$6+$B$10)*(1+$B$4)^9)&gt;0,1+$B$3,1))</f>
        <v/>
      </c>
      <c r="M100">
        <f>IF($B$1+10&gt;90,L100,(L100+IF($B$1+10&lt;=$B100,12*($B$7-$B$10),-12*($B$6+$B$10)*(1+$B$4)^10))*IF(L100+IF($B$1+10&lt;=$B100,12*($B$7-$B$10),-12*($B$6+$B$10)*(1+$B$4)^10)&gt;0,1+$B$3,1))</f>
        <v/>
      </c>
      <c r="N100">
        <f>IF($B$1+11&gt;90,M100,(M100+IF($B$1+11&lt;=$B100,12*($B$7-$B$10),-12*($B$6+$B$10)*(1+$B$4)^11))*IF(M100+IF($B$1+11&lt;=$B100,12*($B$7-$B$10),-12*($B$6+$B$10)*(1+$B$4)^11)&gt;0,1+$B$3,1))</f>
        <v/>
      </c>
      <c r="O100">
        <f>IF($B$1+12&gt;90,N100,(N100+IF($B$1+12&lt;=$B100,12*($B$7-$B$10),-12*($B$6+$B$10)*(1+$B$4)^12))*IF(N100+IF($B$1+12&lt;=$B100,12*($B$7-$B$10),-12*($B$6+$B$10)*(1+$B$4)^12)&gt;0,1+$B$3,1))</f>
        <v/>
      </c>
      <c r="P100">
        <f>IF($B$1+13&gt;90,O100,(O100+IF($B$1+13&lt;=$B100,12*($B$7-$B$10),-12*($B$6+$B$10)*(1+$B$4)^13))*IF(O100+IF($B$1+13&lt;=$B100,12*($B$7-$B$10),-12*($B$6+$B$10)*(1+$B$4)^13)&gt;0,1+$B$3,1))</f>
        <v/>
      </c>
      <c r="Q100">
        <f>IF($B$1+14&gt;90,P100,(P100+IF($B$1+14&lt;=$B100,12*($B$7-$B$10),-12*($B$6+$B$10)*(1+$B$4)^14))*IF(P100+IF($B$1+14&lt;=$B100,12*($B$7-$B$10),-12*($B$6+$B$10)*(1+$B$4)^14)&gt;0,1+$B$3,1))</f>
        <v/>
      </c>
      <c r="R100">
        <f>IF($B$1+15&gt;90,Q100,(Q100+IF($B$1+15&lt;=$B100,12*($B$7-$B$10),-12*($B$6+$B$10)*(1+$B$4)^15))*IF(Q100+IF($B$1+15&lt;=$B100,12*($B$7-$B$10),-12*($B$6+$B$10)*(1+$B$4)^15)&gt;0,1+$B$3,1))</f>
        <v/>
      </c>
      <c r="S100">
        <f>IF($B$1+16&gt;90,R100,(R100+IF($B$1+16&lt;=$B100,12*($B$7-$B$10),-12*($B$6+$B$10)*(1+$B$4)^16))*IF(R100+IF($B$1+16&lt;=$B100,12*($B$7-$B$10),-12*($B$6+$B$10)*(1+$B$4)^16)&gt;0,1+$B$3,1))</f>
        <v/>
      </c>
      <c r="T100">
        <f>IF($B$1+17&gt;90,S100,(S100+IF($B$1+17&lt;=$B100,12*($B$7-$B$10),-12*($B$6+$B$10)*(1+$B$4)^17))*IF(S100+IF($B$1+17&lt;=$B100,12*($B$7-$B$10),-12*($B$6+$B$10)*(1+$B$4)^17)&gt;0,1+$B$3,1))</f>
        <v/>
      </c>
      <c r="U100">
        <f>IF($B$1+18&gt;90,T100,(T100+IF($B$1+18&lt;=$B100,12*($B$7-$B$10),-12*($B$6+$B$10)*(1+$B$4)^18))*IF(T100+IF($B$1+18&lt;=$B100,12*($B$7-$B$10),-12*($B$6+$B$10)*(1+$B$4)^18)&gt;0,1+$B$3,1))</f>
        <v/>
      </c>
      <c r="V100">
        <f>IF($B$1+19&gt;90,U100,(U100+IF($B$1+19&lt;=$B100,12*($B$7-$B$10),-12*($B$6+$B$10)*(1+$B$4)^19))*IF(U100+IF($B$1+19&lt;=$B100,12*($B$7-$B$10),-12*($B$6+$B$10)*(1+$B$4)^19)&gt;0,1+$B$3,1))</f>
        <v/>
      </c>
      <c r="W100">
        <f>IF($B$1+20&gt;90,V100,(V100+IF($B$1+20&lt;=$B100,12*($B$7-$B$10),-12*($B$6+$B$10)*(1+$B$4)^20))*IF(V100+IF($B$1+20&lt;=$B100,12*($B$7-$B$10),-12*($B$6+$B$10)*(1+$B$4)^20)&gt;0,1+$B$3,1))</f>
        <v/>
      </c>
      <c r="X100">
        <f>IF($B$1+21&gt;90,W100,(W100+IF($B$1+21&lt;=$B100,12*($B$7-$B$10),-12*($B$6+$B$10)*(1+$B$4)^21))*IF(W100+IF($B$1+21&lt;=$B100,12*($B$7-$B$10),-12*($B$6+$B$10)*(1+$B$4)^21)&gt;0,1+$B$3,1))</f>
        <v/>
      </c>
      <c r="Y100">
        <f>IF($B$1+22&gt;90,X100,(X100+IF($B$1+22&lt;=$B100,12*($B$7-$B$10),-12*($B$6+$B$10)*(1+$B$4)^22))*IF(X100+IF($B$1+22&lt;=$B100,12*($B$7-$B$10),-12*($B$6+$B$10)*(1+$B$4)^22)&gt;0,1+$B$3,1))</f>
        <v/>
      </c>
      <c r="Z100">
        <f>IF($B$1+23&gt;90,Y100,(Y100+IF($B$1+23&lt;=$B100,12*($B$7-$B$10),-12*($B$6+$B$10)*(1+$B$4)^23))*IF(Y100+IF($B$1+23&lt;=$B100,12*($B$7-$B$10),-12*($B$6+$B$10)*(1+$B$4)^23)&gt;0,1+$B$3,1))</f>
        <v/>
      </c>
      <c r="AA100">
        <f>IF($B$1+24&gt;90,Z100,(Z100+IF($B$1+24&lt;=$B100,12*($B$7-$B$10),-12*($B$6+$B$10)*(1+$B$4)^24))*IF(Z100+IF($B$1+24&lt;=$B100,12*($B$7-$B$10),-12*($B$6+$B$10)*(1+$B$4)^24)&gt;0,1+$B$3,1))</f>
        <v/>
      </c>
      <c r="AB100">
        <f>IF($B$1+25&gt;90,AA100,(AA100+IF($B$1+25&lt;=$B100,12*($B$7-$B$10),-12*($B$6+$B$10)*(1+$B$4)^25))*IF(AA100+IF($B$1+25&lt;=$B100,12*($B$7-$B$10),-12*($B$6+$B$10)*(1+$B$4)^25)&gt;0,1+$B$3,1))</f>
        <v/>
      </c>
      <c r="AC100">
        <f>IF($B$1+26&gt;90,AB100,(AB100+IF($B$1+26&lt;=$B100,12*($B$7-$B$10),-12*($B$6+$B$10)*(1+$B$4)^26))*IF(AB100+IF($B$1+26&lt;=$B100,12*($B$7-$B$10),-12*($B$6+$B$10)*(1+$B$4)^26)&gt;0,1+$B$3,1))</f>
        <v/>
      </c>
      <c r="AD100">
        <f>IF($B$1+27&gt;90,AC100,(AC100+IF($B$1+27&lt;=$B100,12*($B$7-$B$10),-12*($B$6+$B$10)*(1+$B$4)^27))*IF(AC100+IF($B$1+27&lt;=$B100,12*($B$7-$B$10),-12*($B$6+$B$10)*(1+$B$4)^27)&gt;0,1+$B$3,1))</f>
        <v/>
      </c>
      <c r="AE100">
        <f>IF($B$1+28&gt;90,AD100,(AD100+IF($B$1+28&lt;=$B100,12*($B$7-$B$10),-12*($B$6+$B$10)*(1+$B$4)^28))*IF(AD100+IF($B$1+28&lt;=$B100,12*($B$7-$B$10),-12*($B$6+$B$10)*(1+$B$4)^28)&gt;0,1+$B$3,1))</f>
        <v/>
      </c>
      <c r="AF100">
        <f>IF($B$1+29&gt;90,AE100,(AE100+IF($B$1+29&lt;=$B100,12*($B$7-$B$10),-12*($B$6+$B$10)*(1+$B$4)^29))*IF(AE100+IF($B$1+29&lt;=$B100,12*($B$7-$B$10),-12*($B$6+$B$10)*(1+$B$4)^29)&gt;0,1+$B$3,1))</f>
        <v/>
      </c>
      <c r="AG100">
        <f>IF($B$1+30&gt;90,AF100,(AF100+IF($B$1+30&lt;=$B100,12*($B$7-$B$10),-12*($B$6+$B$10)*(1+$B$4)^30))*IF(AF100+IF($B$1+30&lt;=$B100,12*($B$7-$B$10),-12*($B$6+$B$10)*(1+$B$4)^30)&gt;0,1+$B$3,1))</f>
        <v/>
      </c>
      <c r="AH100">
        <f>IF($B$1+31&gt;90,AG100,(AG100+IF($B$1+31&lt;=$B100,12*($B$7-$B$10),-12*($B$6+$B$10)*(1+$B$4)^31))*IF(AG100+IF($B$1+31&lt;=$B100,12*($B$7-$B$10),-12*($B$6+$B$10)*(1+$B$4)^31)&gt;0,1+$B$3,1))</f>
        <v/>
      </c>
      <c r="AI100">
        <f>IF($B$1+32&gt;90,AH100,(AH100+IF($B$1+32&lt;=$B100,12*($B$7-$B$10),-12*($B$6+$B$10)*(1+$B$4)^32))*IF(AH100+IF($B$1+32&lt;=$B100,12*($B$7-$B$10),-12*($B$6+$B$10)*(1+$B$4)^32)&gt;0,1+$B$3,1))</f>
        <v/>
      </c>
      <c r="AJ100">
        <f>IF($B$1+33&gt;90,AI100,(AI100+IF($B$1+33&lt;=$B100,12*($B$7-$B$10),-12*($B$6+$B$10)*(1+$B$4)^33))*IF(AI100+IF($B$1+33&lt;=$B100,12*($B$7-$B$10),-12*($B$6+$B$10)*(1+$B$4)^33)&gt;0,1+$B$3,1))</f>
        <v/>
      </c>
      <c r="AK100">
        <f>IF($B$1+34&gt;90,AJ100,(AJ100+IF($B$1+34&lt;=$B100,12*($B$7-$B$10),-12*($B$6+$B$10)*(1+$B$4)^34))*IF(AJ100+IF($B$1+34&lt;=$B100,12*($B$7-$B$10),-12*($B$6+$B$10)*(1+$B$4)^34)&gt;0,1+$B$3,1))</f>
        <v/>
      </c>
      <c r="AL100">
        <f>IF($B$1+35&gt;90,AK100,(AK100+IF($B$1+35&lt;=$B100,12*($B$7-$B$10),-12*($B$6+$B$10)*(1+$B$4)^35))*IF(AK100+IF($B$1+35&lt;=$B100,12*($B$7-$B$10),-12*($B$6+$B$10)*(1+$B$4)^35)&gt;0,1+$B$3,1))</f>
        <v/>
      </c>
      <c r="AM100">
        <f>IF($B$1+36&gt;90,AL100,(AL100+IF($B$1+36&lt;=$B100,12*($B$7-$B$10),-12*($B$6+$B$10)*(1+$B$4)^36))*IF(AL100+IF($B$1+36&lt;=$B100,12*($B$7-$B$10),-12*($B$6+$B$10)*(1+$B$4)^36)&gt;0,1+$B$3,1))</f>
        <v/>
      </c>
      <c r="AN100">
        <f>IF($B$1+37&gt;90,AM100,(AM100+IF($B$1+37&lt;=$B100,12*($B$7-$B$10),-12*($B$6+$B$10)*(1+$B$4)^37))*IF(AM100+IF($B$1+37&lt;=$B100,12*($B$7-$B$10),-12*($B$6+$B$10)*(1+$B$4)^37)&gt;0,1+$B$3,1))</f>
        <v/>
      </c>
      <c r="AO100">
        <f>IF($B$1+38&gt;90,AN100,(AN100+IF($B$1+38&lt;=$B100,12*($B$7-$B$10),-12*($B$6+$B$10)*(1+$B$4)^38))*IF(AN100+IF($B$1+38&lt;=$B100,12*($B$7-$B$10),-12*($B$6+$B$10)*(1+$B$4)^38)&gt;0,1+$B$3,1))</f>
        <v/>
      </c>
      <c r="AP100">
        <f>IF($B$1+39&gt;90,AO100,(AO100+IF($B$1+39&lt;=$B100,12*($B$7-$B$10),-12*($B$6+$B$10)*(1+$B$4)^39))*IF(AO100+IF($B$1+39&lt;=$B100,12*($B$7-$B$10),-12*($B$6+$B$10)*(1+$B$4)^39)&gt;0,1+$B$3,1))</f>
        <v/>
      </c>
      <c r="AQ100">
        <f>IF($B$1+40&gt;90,AP100,(AP100+IF($B$1+40&lt;=$B100,12*($B$7-$B$10),-12*($B$6+$B$10)*(1+$B$4)^40))*IF(AP100+IF($B$1+40&lt;=$B100,12*($B$7-$B$10),-12*($B$6+$B$10)*(1+$B$4)^40)&gt;0,1+$B$3,1))</f>
        <v/>
      </c>
      <c r="AR100">
        <f>IF($B$1+41&gt;90,AQ100,(AQ100+IF($B$1+41&lt;=$B100,12*($B$7-$B$10),-12*($B$6+$B$10)*(1+$B$4)^41))*IF(AQ100+IF($B$1+41&lt;=$B100,12*($B$7-$B$10),-12*($B$6+$B$10)*(1+$B$4)^41)&gt;0,1+$B$3,1))</f>
        <v/>
      </c>
      <c r="AS100">
        <f>IF($B$1+42&gt;90,AR100,(AR100+IF($B$1+42&lt;=$B100,12*($B$7-$B$10),-12*($B$6+$B$10)*(1+$B$4)^42))*IF(AR100+IF($B$1+42&lt;=$B100,12*($B$7-$B$10),-12*($B$6+$B$10)*(1+$B$4)^42)&gt;0,1+$B$3,1))</f>
        <v/>
      </c>
      <c r="AT100">
        <f>IF($B$1+43&gt;90,AS100,(AS100+IF($B$1+43&lt;=$B100,12*($B$7-$B$10),-12*($B$6+$B$10)*(1+$B$4)^43))*IF(AS100+IF($B$1+43&lt;=$B100,12*($B$7-$B$10),-12*($B$6+$B$10)*(1+$B$4)^43)&gt;0,1+$B$3,1))</f>
        <v/>
      </c>
      <c r="AU100">
        <f>IF($B$1+44&gt;90,AT100,(AT100+IF($B$1+44&lt;=$B100,12*($B$7-$B$10),-12*($B$6+$B$10)*(1+$B$4)^44))*IF(AT100+IF($B$1+44&lt;=$B100,12*($B$7-$B$10),-12*($B$6+$B$10)*(1+$B$4)^44)&gt;0,1+$B$3,1))</f>
        <v/>
      </c>
      <c r="AV100">
        <f>IF($B$1+45&gt;90,AU100,(AU100+IF($B$1+45&lt;=$B100,12*($B$7-$B$10),-12*($B$6+$B$10)*(1+$B$4)^45))*IF(AU100+IF($B$1+45&lt;=$B100,12*($B$7-$B$10),-12*($B$6+$B$10)*(1+$B$4)^45)&gt;0,1+$B$3,1))</f>
        <v/>
      </c>
      <c r="AW100">
        <f>IF($B$1+46&gt;90,AV100,(AV100+IF($B$1+46&lt;=$B100,12*($B$7-$B$10),-12*($B$6+$B$10)*(1+$B$4)^46))*IF(AV100+IF($B$1+46&lt;=$B100,12*($B$7-$B$10),-12*($B$6+$B$10)*(1+$B$4)^46)&gt;0,1+$B$3,1))</f>
        <v/>
      </c>
      <c r="AX100">
        <f>IF($B$1+47&gt;90,AW100,(AW100+IF($B$1+47&lt;=$B100,12*($B$7-$B$10),-12*($B$6+$B$10)*(1+$B$4)^47))*IF(AW100+IF($B$1+47&lt;=$B100,12*($B$7-$B$10),-12*($B$6+$B$10)*(1+$B$4)^47)&gt;0,1+$B$3,1))</f>
        <v/>
      </c>
      <c r="AY100">
        <f>IF($B$1+48&gt;90,AX100,(AX100+IF($B$1+48&lt;=$B100,12*($B$7-$B$10),-12*($B$6+$B$10)*(1+$B$4)^48))*IF(AX100+IF($B$1+48&lt;=$B100,12*($B$7-$B$10),-12*($B$6+$B$10)*(1+$B$4)^48)&gt;0,1+$B$3,1))</f>
        <v/>
      </c>
      <c r="AZ100">
        <f>IF($B$1+49&gt;90,AY100,(AY100+IF($B$1+49&lt;=$B100,12*($B$7-$B$10),-12*($B$6+$B$10)*(1+$B$4)^49))*IF(AY100+IF($B$1+49&lt;=$B100,12*($B$7-$B$10),-12*($B$6+$B$10)*(1+$B$4)^49)&gt;0,1+$B$3,1))</f>
        <v/>
      </c>
      <c r="BA100">
        <f>IF($B$1+50&gt;90,AZ100,(AZ100+IF($B$1+50&lt;=$B100,12*($B$7-$B$10),-12*($B$6+$B$10)*(1+$B$4)^50))*IF(AZ100+IF($B$1+50&lt;=$B100,12*($B$7-$B$10),-12*($B$6+$B$10)*(1+$B$4)^50)&gt;0,1+$B$3,1))</f>
        <v/>
      </c>
      <c r="BB100">
        <f>IF($B$1+51&gt;90,BA100,(BA100+IF($B$1+51&lt;=$B100,12*($B$7-$B$10),-12*($B$6+$B$10)*(1+$B$4)^51))*IF(BA100+IF($B$1+51&lt;=$B100,12*($B$7-$B$10),-12*($B$6+$B$10)*(1+$B$4)^51)&gt;0,1+$B$3,1))</f>
        <v/>
      </c>
      <c r="BC100">
        <f>IF($B$1+52&gt;90,BB100,(BB100+IF($B$1+52&lt;=$B100,12*($B$7-$B$10),-12*($B$6+$B$10)*(1+$B$4)^52))*IF(BB100+IF($B$1+52&lt;=$B100,12*($B$7-$B$10),-12*($B$6+$B$10)*(1+$B$4)^52)&gt;0,1+$B$3,1))</f>
        <v/>
      </c>
      <c r="BD100">
        <f>IF($B$1+53&gt;90,BC100,(BC100+IF($B$1+53&lt;=$B100,12*($B$7-$B$10),-12*($B$6+$B$10)*(1+$B$4)^53))*IF(BC100+IF($B$1+53&lt;=$B100,12*($B$7-$B$10),-12*($B$6+$B$10)*(1+$B$4)^53)&gt;0,1+$B$3,1))</f>
        <v/>
      </c>
      <c r="BE100">
        <f>IF($B$1+54&gt;90,BD100,(BD100+IF($B$1+54&lt;=$B100,12*($B$7-$B$10),-12*($B$6+$B$10)*(1+$B$4)^54))*IF(BD100+IF($B$1+54&lt;=$B100,12*($B$7-$B$10),-12*($B$6+$B$10)*(1+$B$4)^54)&gt;0,1+$B$3,1))</f>
        <v/>
      </c>
      <c r="BF100">
        <f>IF($B$1+55&gt;90,BE100,(BE100+IF($B$1+55&lt;=$B100,12*($B$7-$B$10),-12*($B$6+$B$10)*(1+$B$4)^55))*IF(BE100+IF($B$1+55&lt;=$B100,12*($B$7-$B$10),-12*($B$6+$B$10)*(1+$B$4)^55)&gt;0,1+$B$3,1))</f>
        <v/>
      </c>
      <c r="BG100">
        <f>IF($B$1+56&gt;90,BF100,(BF100+IF($B$1+56&lt;=$B100,12*($B$7-$B$10),-12*($B$6+$B$10)*(1+$B$4)^56))*IF(BF100+IF($B$1+56&lt;=$B100,12*($B$7-$B$10),-12*($B$6+$B$10)*(1+$B$4)^56)&gt;0,1+$B$3,1))</f>
        <v/>
      </c>
      <c r="BH100">
        <f>IF($B$1+57&gt;90,BG100,(BG100+IF($B$1+57&lt;=$B100,12*($B$7-$B$10),-12*($B$6+$B$10)*(1+$B$4)^57))*IF(BG100+IF($B$1+57&lt;=$B100,12*($B$7-$B$10),-12*($B$6+$B$10)*(1+$B$4)^57)&gt;0,1+$B$3,1))</f>
        <v/>
      </c>
      <c r="BI100">
        <f>IF($B$1+58&gt;90,BH100,(BH100+IF($B$1+58&lt;=$B100,12*($B$7-$B$10),-12*($B$6+$B$10)*(1+$B$4)^58))*IF(BH100+IF($B$1+58&lt;=$B100,12*($B$7-$B$10),-12*($B$6+$B$10)*(1+$B$4)^58)&gt;0,1+$B$3,1))</f>
        <v/>
      </c>
      <c r="BJ100">
        <f>IF($B$1+59&gt;90,BI100,(BI100+IF($B$1+59&lt;=$B100,12*($B$7-$B$10),-12*($B$6+$B$10)*(1+$B$4)^59))*IF(BI100+IF($B$1+59&lt;=$B100,12*($B$7-$B$10),-12*($B$6+$B$10)*(1+$B$4)^59)&gt;0,1+$B$3,1))</f>
        <v/>
      </c>
      <c r="BK100">
        <f>IF($B$1+60&gt;90,BJ100,(BJ100+IF($B$1+60&lt;=$B100,12*($B$7-$B$10),-12*($B$6+$B$10)*(1+$B$4)^60))*IF(BJ100+IF($B$1+60&lt;=$B100,12*($B$7-$B$10),-12*($B$6+$B$10)*(1+$B$4)^60)&gt;0,1+$B$3,1))</f>
        <v/>
      </c>
      <c r="BL100">
        <f>IF($B$1+61&gt;90,BK100,(BK100+IF($B$1+61&lt;=$B100,12*($B$7-$B$10),-12*($B$6+$B$10)*(1+$B$4)^61))*IF(BK100+IF($B$1+61&lt;=$B100,12*($B$7-$B$10),-12*($B$6+$B$10)*(1+$B$4)^61)&gt;0,1+$B$3,1))</f>
        <v/>
      </c>
      <c r="BM100">
        <f>IF($B$1+62&gt;90,BL100,(BL100+IF($B$1+62&lt;=$B100,12*($B$7-$B$10),-12*($B$6+$B$10)*(1+$B$4)^62))*IF(BL100+IF($B$1+62&lt;=$B100,12*($B$7-$B$10),-12*($B$6+$B$10)*(1+$B$4)^62)&gt;0,1+$B$3,1))</f>
        <v/>
      </c>
      <c r="BN100">
        <f>IF($B$1+63&gt;90,BM100,(BM100+IF($B$1+63&lt;=$B100,12*($B$7-$B$10),-12*($B$6+$B$10)*(1+$B$4)^63))*IF(BM100+IF($B$1+63&lt;=$B100,12*($B$7-$B$10),-12*($B$6+$B$10)*(1+$B$4)^63)&gt;0,1+$B$3,1))</f>
        <v/>
      </c>
      <c r="BO100">
        <f>IF($B$1+64&gt;90,BN100,(BN100+IF($B$1+64&lt;=$B100,12*($B$7-$B$10),-12*($B$6+$B$10)*(1+$B$4)^64))*IF(BN100+IF($B$1+64&lt;=$B100,12*($B$7-$B$10),-12*($B$6+$B$10)*(1+$B$4)^64)&gt;0,1+$B$3,1))</f>
        <v/>
      </c>
      <c r="BP100">
        <f>IF($B$1+65&gt;90,BO100,(BO100+IF($B$1+65&lt;=$B100,12*($B$7-$B$10),-12*($B$6+$B$10)*(1+$B$4)^65))*IF(BO100+IF($B$1+65&lt;=$B100,12*($B$7-$B$10),-12*($B$6+$B$10)*(1+$B$4)^65)&gt;0,1+$B$3,1))</f>
        <v/>
      </c>
      <c r="BQ100">
        <f>IF($B$1+66&gt;90,BP100,(BP100+IF($B$1+66&lt;=$B100,12*($B$7-$B$10),-12*($B$6+$B$10)*(1+$B$4)^66))*IF(BP100+IF($B$1+66&lt;=$B100,12*($B$7-$B$10),-12*($B$6+$B$10)*(1+$B$4)^66)&gt;0,1+$B$3,1))</f>
        <v/>
      </c>
      <c r="BR100">
        <f>IF($B$1+67&gt;90,BQ100,(BQ100+IF($B$1+67&lt;=$B100,12*($B$7-$B$10),-12*($B$6+$B$10)*(1+$B$4)^67))*IF(BQ100+IF($B$1+67&lt;=$B100,12*($B$7-$B$10),-12*($B$6+$B$10)*(1+$B$4)^67)&gt;0,1+$B$3,1))</f>
        <v/>
      </c>
      <c r="BS100">
        <f>IF($B$1+68&gt;90,BR100,(BR100+IF($B$1+68&lt;=$B100,12*($B$7-$B$10),-12*($B$6+$B$10)*(1+$B$4)^68))*IF(BR100+IF($B$1+68&lt;=$B100,12*($B$7-$B$10),-12*($B$6+$B$10)*(1+$B$4)^68)&gt;0,1+$B$3,1))</f>
        <v/>
      </c>
      <c r="BT100">
        <f>IF($B$1+69&gt;90,BS100,(BS100+IF($B$1+69&lt;=$B100,12*($B$7-$B$10),-12*($B$6+$B$10)*(1+$B$4)^69))*IF(BS100+IF($B$1+69&lt;=$B100,12*($B$7-$B$10),-12*($B$6+$B$10)*(1+$B$4)^69)&gt;0,1+$B$3,1))</f>
        <v/>
      </c>
      <c r="BU100">
        <f>IF($B$1+70&gt;90,BT100,(BT100+IF($B$1+70&lt;=$B100,12*($B$7-$B$10),-12*($B$6+$B$10)*(1+$B$4)^70))*IF(BT100+IF($B$1+70&lt;=$B100,12*($B$7-$B$10),-12*($B$6+$B$10)*(1+$B$4)^70)&gt;0,1+$B$3,1))</f>
        <v/>
      </c>
      <c r="BV100">
        <f>BU100</f>
        <v/>
      </c>
      <c r="BW100">
        <f>IF(AND($B100&lt;=70,BV100&gt;0),$B100,999)</f>
        <v/>
      </c>
    </row>
    <row r="101">
      <c r="A101" t="n">
        <v>5</v>
      </c>
      <c r="B101">
        <f>$B$1+5</f>
        <v/>
      </c>
      <c r="C101">
        <f>$B$2</f>
        <v/>
      </c>
      <c r="D101">
        <f>IF($B$1+1&gt;90,C101,(C101+IF($B$1+1&lt;=$B101,12*($B$7-$B$10),-12*($B$6+$B$10)*(1+$B$4)^1))*IF(C101+IF($B$1+1&lt;=$B101,12*($B$7-$B$10),-12*($B$6+$B$10)*(1+$B$4)^1)&gt;0,1+$B$3,1))</f>
        <v/>
      </c>
      <c r="E101">
        <f>IF($B$1+2&gt;90,D101,(D101+IF($B$1+2&lt;=$B101,12*($B$7-$B$10),-12*($B$6+$B$10)*(1+$B$4)^2))*IF(D101+IF($B$1+2&lt;=$B101,12*($B$7-$B$10),-12*($B$6+$B$10)*(1+$B$4)^2)&gt;0,1+$B$3,1))</f>
        <v/>
      </c>
      <c r="F101">
        <f>IF($B$1+3&gt;90,E101,(E101+IF($B$1+3&lt;=$B101,12*($B$7-$B$10),-12*($B$6+$B$10)*(1+$B$4)^3))*IF(E101+IF($B$1+3&lt;=$B101,12*($B$7-$B$10),-12*($B$6+$B$10)*(1+$B$4)^3)&gt;0,1+$B$3,1))</f>
        <v/>
      </c>
      <c r="G101">
        <f>IF($B$1+4&gt;90,F101,(F101+IF($B$1+4&lt;=$B101,12*($B$7-$B$10),-12*($B$6+$B$10)*(1+$B$4)^4))*IF(F101+IF($B$1+4&lt;=$B101,12*($B$7-$B$10),-12*($B$6+$B$10)*(1+$B$4)^4)&gt;0,1+$B$3,1))</f>
        <v/>
      </c>
      <c r="H101">
        <f>IF($B$1+5&gt;90,G101,(G101+IF($B$1+5&lt;=$B101,12*($B$7-$B$10),-12*($B$6+$B$10)*(1+$B$4)^5))*IF(G101+IF($B$1+5&lt;=$B101,12*($B$7-$B$10),-12*($B$6+$B$10)*(1+$B$4)^5)&gt;0,1+$B$3,1))</f>
        <v/>
      </c>
      <c r="I101">
        <f>IF($B$1+6&gt;90,H101,(H101+IF($B$1+6&lt;=$B101,12*($B$7-$B$10),-12*($B$6+$B$10)*(1+$B$4)^6))*IF(H101+IF($B$1+6&lt;=$B101,12*($B$7-$B$10),-12*($B$6+$B$10)*(1+$B$4)^6)&gt;0,1+$B$3,1))</f>
        <v/>
      </c>
      <c r="J101">
        <f>IF($B$1+7&gt;90,I101,(I101+IF($B$1+7&lt;=$B101,12*($B$7-$B$10),-12*($B$6+$B$10)*(1+$B$4)^7))*IF(I101+IF($B$1+7&lt;=$B101,12*($B$7-$B$10),-12*($B$6+$B$10)*(1+$B$4)^7)&gt;0,1+$B$3,1))</f>
        <v/>
      </c>
      <c r="K101">
        <f>IF($B$1+8&gt;90,J101,(J101+IF($B$1+8&lt;=$B101,12*($B$7-$B$10),-12*($B$6+$B$10)*(1+$B$4)^8))*IF(J101+IF($B$1+8&lt;=$B101,12*($B$7-$B$10),-12*($B$6+$B$10)*(1+$B$4)^8)&gt;0,1+$B$3,1))</f>
        <v/>
      </c>
      <c r="L101">
        <f>IF($B$1+9&gt;90,K101,(K101+IF($B$1+9&lt;=$B101,12*($B$7-$B$10),-12*($B$6+$B$10)*(1+$B$4)^9))*IF(K101+IF($B$1+9&lt;=$B101,12*($B$7-$B$10),-12*($B$6+$B$10)*(1+$B$4)^9)&gt;0,1+$B$3,1))</f>
        <v/>
      </c>
      <c r="M101">
        <f>IF($B$1+10&gt;90,L101,(L101+IF($B$1+10&lt;=$B101,12*($B$7-$B$10),-12*($B$6+$B$10)*(1+$B$4)^10))*IF(L101+IF($B$1+10&lt;=$B101,12*($B$7-$B$10),-12*($B$6+$B$10)*(1+$B$4)^10)&gt;0,1+$B$3,1))</f>
        <v/>
      </c>
      <c r="N101">
        <f>IF($B$1+11&gt;90,M101,(M101+IF($B$1+11&lt;=$B101,12*($B$7-$B$10),-12*($B$6+$B$10)*(1+$B$4)^11))*IF(M101+IF($B$1+11&lt;=$B101,12*($B$7-$B$10),-12*($B$6+$B$10)*(1+$B$4)^11)&gt;0,1+$B$3,1))</f>
        <v/>
      </c>
      <c r="O101">
        <f>IF($B$1+12&gt;90,N101,(N101+IF($B$1+12&lt;=$B101,12*($B$7-$B$10),-12*($B$6+$B$10)*(1+$B$4)^12))*IF(N101+IF($B$1+12&lt;=$B101,12*($B$7-$B$10),-12*($B$6+$B$10)*(1+$B$4)^12)&gt;0,1+$B$3,1))</f>
        <v/>
      </c>
      <c r="P101">
        <f>IF($B$1+13&gt;90,O101,(O101+IF($B$1+13&lt;=$B101,12*($B$7-$B$10),-12*($B$6+$B$10)*(1+$B$4)^13))*IF(O101+IF($B$1+13&lt;=$B101,12*($B$7-$B$10),-12*($B$6+$B$10)*(1+$B$4)^13)&gt;0,1+$B$3,1))</f>
        <v/>
      </c>
      <c r="Q101">
        <f>IF($B$1+14&gt;90,P101,(P101+IF($B$1+14&lt;=$B101,12*($B$7-$B$10),-12*($B$6+$B$10)*(1+$B$4)^14))*IF(P101+IF($B$1+14&lt;=$B101,12*($B$7-$B$10),-12*($B$6+$B$10)*(1+$B$4)^14)&gt;0,1+$B$3,1))</f>
        <v/>
      </c>
      <c r="R101">
        <f>IF($B$1+15&gt;90,Q101,(Q101+IF($B$1+15&lt;=$B101,12*($B$7-$B$10),-12*($B$6+$B$10)*(1+$B$4)^15))*IF(Q101+IF($B$1+15&lt;=$B101,12*($B$7-$B$10),-12*($B$6+$B$10)*(1+$B$4)^15)&gt;0,1+$B$3,1))</f>
        <v/>
      </c>
      <c r="S101">
        <f>IF($B$1+16&gt;90,R101,(R101+IF($B$1+16&lt;=$B101,12*($B$7-$B$10),-12*($B$6+$B$10)*(1+$B$4)^16))*IF(R101+IF($B$1+16&lt;=$B101,12*($B$7-$B$10),-12*($B$6+$B$10)*(1+$B$4)^16)&gt;0,1+$B$3,1))</f>
        <v/>
      </c>
      <c r="T101">
        <f>IF($B$1+17&gt;90,S101,(S101+IF($B$1+17&lt;=$B101,12*($B$7-$B$10),-12*($B$6+$B$10)*(1+$B$4)^17))*IF(S101+IF($B$1+17&lt;=$B101,12*($B$7-$B$10),-12*($B$6+$B$10)*(1+$B$4)^17)&gt;0,1+$B$3,1))</f>
        <v/>
      </c>
      <c r="U101">
        <f>IF($B$1+18&gt;90,T101,(T101+IF($B$1+18&lt;=$B101,12*($B$7-$B$10),-12*($B$6+$B$10)*(1+$B$4)^18))*IF(T101+IF($B$1+18&lt;=$B101,12*($B$7-$B$10),-12*($B$6+$B$10)*(1+$B$4)^18)&gt;0,1+$B$3,1))</f>
        <v/>
      </c>
      <c r="V101">
        <f>IF($B$1+19&gt;90,U101,(U101+IF($B$1+19&lt;=$B101,12*($B$7-$B$10),-12*($B$6+$B$10)*(1+$B$4)^19))*IF(U101+IF($B$1+19&lt;=$B101,12*($B$7-$B$10),-12*($B$6+$B$10)*(1+$B$4)^19)&gt;0,1+$B$3,1))</f>
        <v/>
      </c>
      <c r="W101">
        <f>IF($B$1+20&gt;90,V101,(V101+IF($B$1+20&lt;=$B101,12*($B$7-$B$10),-12*($B$6+$B$10)*(1+$B$4)^20))*IF(V101+IF($B$1+20&lt;=$B101,12*($B$7-$B$10),-12*($B$6+$B$10)*(1+$B$4)^20)&gt;0,1+$B$3,1))</f>
        <v/>
      </c>
      <c r="X101">
        <f>IF($B$1+21&gt;90,W101,(W101+IF($B$1+21&lt;=$B101,12*($B$7-$B$10),-12*($B$6+$B$10)*(1+$B$4)^21))*IF(W101+IF($B$1+21&lt;=$B101,12*($B$7-$B$10),-12*($B$6+$B$10)*(1+$B$4)^21)&gt;0,1+$B$3,1))</f>
        <v/>
      </c>
      <c r="Y101">
        <f>IF($B$1+22&gt;90,X101,(X101+IF($B$1+22&lt;=$B101,12*($B$7-$B$10),-12*($B$6+$B$10)*(1+$B$4)^22))*IF(X101+IF($B$1+22&lt;=$B101,12*($B$7-$B$10),-12*($B$6+$B$10)*(1+$B$4)^22)&gt;0,1+$B$3,1))</f>
        <v/>
      </c>
      <c r="Z101">
        <f>IF($B$1+23&gt;90,Y101,(Y101+IF($B$1+23&lt;=$B101,12*($B$7-$B$10),-12*($B$6+$B$10)*(1+$B$4)^23))*IF(Y101+IF($B$1+23&lt;=$B101,12*($B$7-$B$10),-12*($B$6+$B$10)*(1+$B$4)^23)&gt;0,1+$B$3,1))</f>
        <v/>
      </c>
      <c r="AA101">
        <f>IF($B$1+24&gt;90,Z101,(Z101+IF($B$1+24&lt;=$B101,12*($B$7-$B$10),-12*($B$6+$B$10)*(1+$B$4)^24))*IF(Z101+IF($B$1+24&lt;=$B101,12*($B$7-$B$10),-12*($B$6+$B$10)*(1+$B$4)^24)&gt;0,1+$B$3,1))</f>
        <v/>
      </c>
      <c r="AB101">
        <f>IF($B$1+25&gt;90,AA101,(AA101+IF($B$1+25&lt;=$B101,12*($B$7-$B$10),-12*($B$6+$B$10)*(1+$B$4)^25))*IF(AA101+IF($B$1+25&lt;=$B101,12*($B$7-$B$10),-12*($B$6+$B$10)*(1+$B$4)^25)&gt;0,1+$B$3,1))</f>
        <v/>
      </c>
      <c r="AC101">
        <f>IF($B$1+26&gt;90,AB101,(AB101+IF($B$1+26&lt;=$B101,12*($B$7-$B$10),-12*($B$6+$B$10)*(1+$B$4)^26))*IF(AB101+IF($B$1+26&lt;=$B101,12*($B$7-$B$10),-12*($B$6+$B$10)*(1+$B$4)^26)&gt;0,1+$B$3,1))</f>
        <v/>
      </c>
      <c r="AD101">
        <f>IF($B$1+27&gt;90,AC101,(AC101+IF($B$1+27&lt;=$B101,12*($B$7-$B$10),-12*($B$6+$B$10)*(1+$B$4)^27))*IF(AC101+IF($B$1+27&lt;=$B101,12*($B$7-$B$10),-12*($B$6+$B$10)*(1+$B$4)^27)&gt;0,1+$B$3,1))</f>
        <v/>
      </c>
      <c r="AE101">
        <f>IF($B$1+28&gt;90,AD101,(AD101+IF($B$1+28&lt;=$B101,12*($B$7-$B$10),-12*($B$6+$B$10)*(1+$B$4)^28))*IF(AD101+IF($B$1+28&lt;=$B101,12*($B$7-$B$10),-12*($B$6+$B$10)*(1+$B$4)^28)&gt;0,1+$B$3,1))</f>
        <v/>
      </c>
      <c r="AF101">
        <f>IF($B$1+29&gt;90,AE101,(AE101+IF($B$1+29&lt;=$B101,12*($B$7-$B$10),-12*($B$6+$B$10)*(1+$B$4)^29))*IF(AE101+IF($B$1+29&lt;=$B101,12*($B$7-$B$10),-12*($B$6+$B$10)*(1+$B$4)^29)&gt;0,1+$B$3,1))</f>
        <v/>
      </c>
      <c r="AG101">
        <f>IF($B$1+30&gt;90,AF101,(AF101+IF($B$1+30&lt;=$B101,12*($B$7-$B$10),-12*($B$6+$B$10)*(1+$B$4)^30))*IF(AF101+IF($B$1+30&lt;=$B101,12*($B$7-$B$10),-12*($B$6+$B$10)*(1+$B$4)^30)&gt;0,1+$B$3,1))</f>
        <v/>
      </c>
      <c r="AH101">
        <f>IF($B$1+31&gt;90,AG101,(AG101+IF($B$1+31&lt;=$B101,12*($B$7-$B$10),-12*($B$6+$B$10)*(1+$B$4)^31))*IF(AG101+IF($B$1+31&lt;=$B101,12*($B$7-$B$10),-12*($B$6+$B$10)*(1+$B$4)^31)&gt;0,1+$B$3,1))</f>
        <v/>
      </c>
      <c r="AI101">
        <f>IF($B$1+32&gt;90,AH101,(AH101+IF($B$1+32&lt;=$B101,12*($B$7-$B$10),-12*($B$6+$B$10)*(1+$B$4)^32))*IF(AH101+IF($B$1+32&lt;=$B101,12*($B$7-$B$10),-12*($B$6+$B$10)*(1+$B$4)^32)&gt;0,1+$B$3,1))</f>
        <v/>
      </c>
      <c r="AJ101">
        <f>IF($B$1+33&gt;90,AI101,(AI101+IF($B$1+33&lt;=$B101,12*($B$7-$B$10),-12*($B$6+$B$10)*(1+$B$4)^33))*IF(AI101+IF($B$1+33&lt;=$B101,12*($B$7-$B$10),-12*($B$6+$B$10)*(1+$B$4)^33)&gt;0,1+$B$3,1))</f>
        <v/>
      </c>
      <c r="AK101">
        <f>IF($B$1+34&gt;90,AJ101,(AJ101+IF($B$1+34&lt;=$B101,12*($B$7-$B$10),-12*($B$6+$B$10)*(1+$B$4)^34))*IF(AJ101+IF($B$1+34&lt;=$B101,12*($B$7-$B$10),-12*($B$6+$B$10)*(1+$B$4)^34)&gt;0,1+$B$3,1))</f>
        <v/>
      </c>
      <c r="AL101">
        <f>IF($B$1+35&gt;90,AK101,(AK101+IF($B$1+35&lt;=$B101,12*($B$7-$B$10),-12*($B$6+$B$10)*(1+$B$4)^35))*IF(AK101+IF($B$1+35&lt;=$B101,12*($B$7-$B$10),-12*($B$6+$B$10)*(1+$B$4)^35)&gt;0,1+$B$3,1))</f>
        <v/>
      </c>
      <c r="AM101">
        <f>IF($B$1+36&gt;90,AL101,(AL101+IF($B$1+36&lt;=$B101,12*($B$7-$B$10),-12*($B$6+$B$10)*(1+$B$4)^36))*IF(AL101+IF($B$1+36&lt;=$B101,12*($B$7-$B$10),-12*($B$6+$B$10)*(1+$B$4)^36)&gt;0,1+$B$3,1))</f>
        <v/>
      </c>
      <c r="AN101">
        <f>IF($B$1+37&gt;90,AM101,(AM101+IF($B$1+37&lt;=$B101,12*($B$7-$B$10),-12*($B$6+$B$10)*(1+$B$4)^37))*IF(AM101+IF($B$1+37&lt;=$B101,12*($B$7-$B$10),-12*($B$6+$B$10)*(1+$B$4)^37)&gt;0,1+$B$3,1))</f>
        <v/>
      </c>
      <c r="AO101">
        <f>IF($B$1+38&gt;90,AN101,(AN101+IF($B$1+38&lt;=$B101,12*($B$7-$B$10),-12*($B$6+$B$10)*(1+$B$4)^38))*IF(AN101+IF($B$1+38&lt;=$B101,12*($B$7-$B$10),-12*($B$6+$B$10)*(1+$B$4)^38)&gt;0,1+$B$3,1))</f>
        <v/>
      </c>
      <c r="AP101">
        <f>IF($B$1+39&gt;90,AO101,(AO101+IF($B$1+39&lt;=$B101,12*($B$7-$B$10),-12*($B$6+$B$10)*(1+$B$4)^39))*IF(AO101+IF($B$1+39&lt;=$B101,12*($B$7-$B$10),-12*($B$6+$B$10)*(1+$B$4)^39)&gt;0,1+$B$3,1))</f>
        <v/>
      </c>
      <c r="AQ101">
        <f>IF($B$1+40&gt;90,AP101,(AP101+IF($B$1+40&lt;=$B101,12*($B$7-$B$10),-12*($B$6+$B$10)*(1+$B$4)^40))*IF(AP101+IF($B$1+40&lt;=$B101,12*($B$7-$B$10),-12*($B$6+$B$10)*(1+$B$4)^40)&gt;0,1+$B$3,1))</f>
        <v/>
      </c>
      <c r="AR101">
        <f>IF($B$1+41&gt;90,AQ101,(AQ101+IF($B$1+41&lt;=$B101,12*($B$7-$B$10),-12*($B$6+$B$10)*(1+$B$4)^41))*IF(AQ101+IF($B$1+41&lt;=$B101,12*($B$7-$B$10),-12*($B$6+$B$10)*(1+$B$4)^41)&gt;0,1+$B$3,1))</f>
        <v/>
      </c>
      <c r="AS101">
        <f>IF($B$1+42&gt;90,AR101,(AR101+IF($B$1+42&lt;=$B101,12*($B$7-$B$10),-12*($B$6+$B$10)*(1+$B$4)^42))*IF(AR101+IF($B$1+42&lt;=$B101,12*($B$7-$B$10),-12*($B$6+$B$10)*(1+$B$4)^42)&gt;0,1+$B$3,1))</f>
        <v/>
      </c>
      <c r="AT101">
        <f>IF($B$1+43&gt;90,AS101,(AS101+IF($B$1+43&lt;=$B101,12*($B$7-$B$10),-12*($B$6+$B$10)*(1+$B$4)^43))*IF(AS101+IF($B$1+43&lt;=$B101,12*($B$7-$B$10),-12*($B$6+$B$10)*(1+$B$4)^43)&gt;0,1+$B$3,1))</f>
        <v/>
      </c>
      <c r="AU101">
        <f>IF($B$1+44&gt;90,AT101,(AT101+IF($B$1+44&lt;=$B101,12*($B$7-$B$10),-12*($B$6+$B$10)*(1+$B$4)^44))*IF(AT101+IF($B$1+44&lt;=$B101,12*($B$7-$B$10),-12*($B$6+$B$10)*(1+$B$4)^44)&gt;0,1+$B$3,1))</f>
        <v/>
      </c>
      <c r="AV101">
        <f>IF($B$1+45&gt;90,AU101,(AU101+IF($B$1+45&lt;=$B101,12*($B$7-$B$10),-12*($B$6+$B$10)*(1+$B$4)^45))*IF(AU101+IF($B$1+45&lt;=$B101,12*($B$7-$B$10),-12*($B$6+$B$10)*(1+$B$4)^45)&gt;0,1+$B$3,1))</f>
        <v/>
      </c>
      <c r="AW101">
        <f>IF($B$1+46&gt;90,AV101,(AV101+IF($B$1+46&lt;=$B101,12*($B$7-$B$10),-12*($B$6+$B$10)*(1+$B$4)^46))*IF(AV101+IF($B$1+46&lt;=$B101,12*($B$7-$B$10),-12*($B$6+$B$10)*(1+$B$4)^46)&gt;0,1+$B$3,1))</f>
        <v/>
      </c>
      <c r="AX101">
        <f>IF($B$1+47&gt;90,AW101,(AW101+IF($B$1+47&lt;=$B101,12*($B$7-$B$10),-12*($B$6+$B$10)*(1+$B$4)^47))*IF(AW101+IF($B$1+47&lt;=$B101,12*($B$7-$B$10),-12*($B$6+$B$10)*(1+$B$4)^47)&gt;0,1+$B$3,1))</f>
        <v/>
      </c>
      <c r="AY101">
        <f>IF($B$1+48&gt;90,AX101,(AX101+IF($B$1+48&lt;=$B101,12*($B$7-$B$10),-12*($B$6+$B$10)*(1+$B$4)^48))*IF(AX101+IF($B$1+48&lt;=$B101,12*($B$7-$B$10),-12*($B$6+$B$10)*(1+$B$4)^48)&gt;0,1+$B$3,1))</f>
        <v/>
      </c>
      <c r="AZ101">
        <f>IF($B$1+49&gt;90,AY101,(AY101+IF($B$1+49&lt;=$B101,12*($B$7-$B$10),-12*($B$6+$B$10)*(1+$B$4)^49))*IF(AY101+IF($B$1+49&lt;=$B101,12*($B$7-$B$10),-12*($B$6+$B$10)*(1+$B$4)^49)&gt;0,1+$B$3,1))</f>
        <v/>
      </c>
      <c r="BA101">
        <f>IF($B$1+50&gt;90,AZ101,(AZ101+IF($B$1+50&lt;=$B101,12*($B$7-$B$10),-12*($B$6+$B$10)*(1+$B$4)^50))*IF(AZ101+IF($B$1+50&lt;=$B101,12*($B$7-$B$10),-12*($B$6+$B$10)*(1+$B$4)^50)&gt;0,1+$B$3,1))</f>
        <v/>
      </c>
      <c r="BB101">
        <f>IF($B$1+51&gt;90,BA101,(BA101+IF($B$1+51&lt;=$B101,12*($B$7-$B$10),-12*($B$6+$B$10)*(1+$B$4)^51))*IF(BA101+IF($B$1+51&lt;=$B101,12*($B$7-$B$10),-12*($B$6+$B$10)*(1+$B$4)^51)&gt;0,1+$B$3,1))</f>
        <v/>
      </c>
      <c r="BC101">
        <f>IF($B$1+52&gt;90,BB101,(BB101+IF($B$1+52&lt;=$B101,12*($B$7-$B$10),-12*($B$6+$B$10)*(1+$B$4)^52))*IF(BB101+IF($B$1+52&lt;=$B101,12*($B$7-$B$10),-12*($B$6+$B$10)*(1+$B$4)^52)&gt;0,1+$B$3,1))</f>
        <v/>
      </c>
      <c r="BD101">
        <f>IF($B$1+53&gt;90,BC101,(BC101+IF($B$1+53&lt;=$B101,12*($B$7-$B$10),-12*($B$6+$B$10)*(1+$B$4)^53))*IF(BC101+IF($B$1+53&lt;=$B101,12*($B$7-$B$10),-12*($B$6+$B$10)*(1+$B$4)^53)&gt;0,1+$B$3,1))</f>
        <v/>
      </c>
      <c r="BE101">
        <f>IF($B$1+54&gt;90,BD101,(BD101+IF($B$1+54&lt;=$B101,12*($B$7-$B$10),-12*($B$6+$B$10)*(1+$B$4)^54))*IF(BD101+IF($B$1+54&lt;=$B101,12*($B$7-$B$10),-12*($B$6+$B$10)*(1+$B$4)^54)&gt;0,1+$B$3,1))</f>
        <v/>
      </c>
      <c r="BF101">
        <f>IF($B$1+55&gt;90,BE101,(BE101+IF($B$1+55&lt;=$B101,12*($B$7-$B$10),-12*($B$6+$B$10)*(1+$B$4)^55))*IF(BE101+IF($B$1+55&lt;=$B101,12*($B$7-$B$10),-12*($B$6+$B$10)*(1+$B$4)^55)&gt;0,1+$B$3,1))</f>
        <v/>
      </c>
      <c r="BG101">
        <f>IF($B$1+56&gt;90,BF101,(BF101+IF($B$1+56&lt;=$B101,12*($B$7-$B$10),-12*($B$6+$B$10)*(1+$B$4)^56))*IF(BF101+IF($B$1+56&lt;=$B101,12*($B$7-$B$10),-12*($B$6+$B$10)*(1+$B$4)^56)&gt;0,1+$B$3,1))</f>
        <v/>
      </c>
      <c r="BH101">
        <f>IF($B$1+57&gt;90,BG101,(BG101+IF($B$1+57&lt;=$B101,12*($B$7-$B$10),-12*($B$6+$B$10)*(1+$B$4)^57))*IF(BG101+IF($B$1+57&lt;=$B101,12*($B$7-$B$10),-12*($B$6+$B$10)*(1+$B$4)^57)&gt;0,1+$B$3,1))</f>
        <v/>
      </c>
      <c r="BI101">
        <f>IF($B$1+58&gt;90,BH101,(BH101+IF($B$1+58&lt;=$B101,12*($B$7-$B$10),-12*($B$6+$B$10)*(1+$B$4)^58))*IF(BH101+IF($B$1+58&lt;=$B101,12*($B$7-$B$10),-12*($B$6+$B$10)*(1+$B$4)^58)&gt;0,1+$B$3,1))</f>
        <v/>
      </c>
      <c r="BJ101">
        <f>IF($B$1+59&gt;90,BI101,(BI101+IF($B$1+59&lt;=$B101,12*($B$7-$B$10),-12*($B$6+$B$10)*(1+$B$4)^59))*IF(BI101+IF($B$1+59&lt;=$B101,12*($B$7-$B$10),-12*($B$6+$B$10)*(1+$B$4)^59)&gt;0,1+$B$3,1))</f>
        <v/>
      </c>
      <c r="BK101">
        <f>IF($B$1+60&gt;90,BJ101,(BJ101+IF($B$1+60&lt;=$B101,12*($B$7-$B$10),-12*($B$6+$B$10)*(1+$B$4)^60))*IF(BJ101+IF($B$1+60&lt;=$B101,12*($B$7-$B$10),-12*($B$6+$B$10)*(1+$B$4)^60)&gt;0,1+$B$3,1))</f>
        <v/>
      </c>
      <c r="BL101">
        <f>IF($B$1+61&gt;90,BK101,(BK101+IF($B$1+61&lt;=$B101,12*($B$7-$B$10),-12*($B$6+$B$10)*(1+$B$4)^61))*IF(BK101+IF($B$1+61&lt;=$B101,12*($B$7-$B$10),-12*($B$6+$B$10)*(1+$B$4)^61)&gt;0,1+$B$3,1))</f>
        <v/>
      </c>
      <c r="BM101">
        <f>IF($B$1+62&gt;90,BL101,(BL101+IF($B$1+62&lt;=$B101,12*($B$7-$B$10),-12*($B$6+$B$10)*(1+$B$4)^62))*IF(BL101+IF($B$1+62&lt;=$B101,12*($B$7-$B$10),-12*($B$6+$B$10)*(1+$B$4)^62)&gt;0,1+$B$3,1))</f>
        <v/>
      </c>
      <c r="BN101">
        <f>IF($B$1+63&gt;90,BM101,(BM101+IF($B$1+63&lt;=$B101,12*($B$7-$B$10),-12*($B$6+$B$10)*(1+$B$4)^63))*IF(BM101+IF($B$1+63&lt;=$B101,12*($B$7-$B$10),-12*($B$6+$B$10)*(1+$B$4)^63)&gt;0,1+$B$3,1))</f>
        <v/>
      </c>
      <c r="BO101">
        <f>IF($B$1+64&gt;90,BN101,(BN101+IF($B$1+64&lt;=$B101,12*($B$7-$B$10),-12*($B$6+$B$10)*(1+$B$4)^64))*IF(BN101+IF($B$1+64&lt;=$B101,12*($B$7-$B$10),-12*($B$6+$B$10)*(1+$B$4)^64)&gt;0,1+$B$3,1))</f>
        <v/>
      </c>
      <c r="BP101">
        <f>IF($B$1+65&gt;90,BO101,(BO101+IF($B$1+65&lt;=$B101,12*($B$7-$B$10),-12*($B$6+$B$10)*(1+$B$4)^65))*IF(BO101+IF($B$1+65&lt;=$B101,12*($B$7-$B$10),-12*($B$6+$B$10)*(1+$B$4)^65)&gt;0,1+$B$3,1))</f>
        <v/>
      </c>
      <c r="BQ101">
        <f>IF($B$1+66&gt;90,BP101,(BP101+IF($B$1+66&lt;=$B101,12*($B$7-$B$10),-12*($B$6+$B$10)*(1+$B$4)^66))*IF(BP101+IF($B$1+66&lt;=$B101,12*($B$7-$B$10),-12*($B$6+$B$10)*(1+$B$4)^66)&gt;0,1+$B$3,1))</f>
        <v/>
      </c>
      <c r="BR101">
        <f>IF($B$1+67&gt;90,BQ101,(BQ101+IF($B$1+67&lt;=$B101,12*($B$7-$B$10),-12*($B$6+$B$10)*(1+$B$4)^67))*IF(BQ101+IF($B$1+67&lt;=$B101,12*($B$7-$B$10),-12*($B$6+$B$10)*(1+$B$4)^67)&gt;0,1+$B$3,1))</f>
        <v/>
      </c>
      <c r="BS101">
        <f>IF($B$1+68&gt;90,BR101,(BR101+IF($B$1+68&lt;=$B101,12*($B$7-$B$10),-12*($B$6+$B$10)*(1+$B$4)^68))*IF(BR101+IF($B$1+68&lt;=$B101,12*($B$7-$B$10),-12*($B$6+$B$10)*(1+$B$4)^68)&gt;0,1+$B$3,1))</f>
        <v/>
      </c>
      <c r="BT101">
        <f>IF($B$1+69&gt;90,BS101,(BS101+IF($B$1+69&lt;=$B101,12*($B$7-$B$10),-12*($B$6+$B$10)*(1+$B$4)^69))*IF(BS101+IF($B$1+69&lt;=$B101,12*($B$7-$B$10),-12*($B$6+$B$10)*(1+$B$4)^69)&gt;0,1+$B$3,1))</f>
        <v/>
      </c>
      <c r="BU101">
        <f>IF($B$1+70&gt;90,BT101,(BT101+IF($B$1+70&lt;=$B101,12*($B$7-$B$10),-12*($B$6+$B$10)*(1+$B$4)^70))*IF(BT101+IF($B$1+70&lt;=$B101,12*($B$7-$B$10),-12*($B$6+$B$10)*(1+$B$4)^70)&gt;0,1+$B$3,1))</f>
        <v/>
      </c>
      <c r="BV101">
        <f>BU101</f>
        <v/>
      </c>
      <c r="BW101">
        <f>IF(AND($B101&lt;=70,BV101&gt;0),$B101,999)</f>
        <v/>
      </c>
    </row>
    <row r="102">
      <c r="A102" t="n">
        <v>6</v>
      </c>
      <c r="B102">
        <f>$B$1+6</f>
        <v/>
      </c>
      <c r="C102">
        <f>$B$2</f>
        <v/>
      </c>
      <c r="D102">
        <f>IF($B$1+1&gt;90,C102,(C102+IF($B$1+1&lt;=$B102,12*($B$7-$B$10),-12*($B$6+$B$10)*(1+$B$4)^1))*IF(C102+IF($B$1+1&lt;=$B102,12*($B$7-$B$10),-12*($B$6+$B$10)*(1+$B$4)^1)&gt;0,1+$B$3,1))</f>
        <v/>
      </c>
      <c r="E102">
        <f>IF($B$1+2&gt;90,D102,(D102+IF($B$1+2&lt;=$B102,12*($B$7-$B$10),-12*($B$6+$B$10)*(1+$B$4)^2))*IF(D102+IF($B$1+2&lt;=$B102,12*($B$7-$B$10),-12*($B$6+$B$10)*(1+$B$4)^2)&gt;0,1+$B$3,1))</f>
        <v/>
      </c>
      <c r="F102">
        <f>IF($B$1+3&gt;90,E102,(E102+IF($B$1+3&lt;=$B102,12*($B$7-$B$10),-12*($B$6+$B$10)*(1+$B$4)^3))*IF(E102+IF($B$1+3&lt;=$B102,12*($B$7-$B$10),-12*($B$6+$B$10)*(1+$B$4)^3)&gt;0,1+$B$3,1))</f>
        <v/>
      </c>
      <c r="G102">
        <f>IF($B$1+4&gt;90,F102,(F102+IF($B$1+4&lt;=$B102,12*($B$7-$B$10),-12*($B$6+$B$10)*(1+$B$4)^4))*IF(F102+IF($B$1+4&lt;=$B102,12*($B$7-$B$10),-12*($B$6+$B$10)*(1+$B$4)^4)&gt;0,1+$B$3,1))</f>
        <v/>
      </c>
      <c r="H102">
        <f>IF($B$1+5&gt;90,G102,(G102+IF($B$1+5&lt;=$B102,12*($B$7-$B$10),-12*($B$6+$B$10)*(1+$B$4)^5))*IF(G102+IF($B$1+5&lt;=$B102,12*($B$7-$B$10),-12*($B$6+$B$10)*(1+$B$4)^5)&gt;0,1+$B$3,1))</f>
        <v/>
      </c>
      <c r="I102">
        <f>IF($B$1+6&gt;90,H102,(H102+IF($B$1+6&lt;=$B102,12*($B$7-$B$10),-12*($B$6+$B$10)*(1+$B$4)^6))*IF(H102+IF($B$1+6&lt;=$B102,12*($B$7-$B$10),-12*($B$6+$B$10)*(1+$B$4)^6)&gt;0,1+$B$3,1))</f>
        <v/>
      </c>
      <c r="J102">
        <f>IF($B$1+7&gt;90,I102,(I102+IF($B$1+7&lt;=$B102,12*($B$7-$B$10),-12*($B$6+$B$10)*(1+$B$4)^7))*IF(I102+IF($B$1+7&lt;=$B102,12*($B$7-$B$10),-12*($B$6+$B$10)*(1+$B$4)^7)&gt;0,1+$B$3,1))</f>
        <v/>
      </c>
      <c r="K102">
        <f>IF($B$1+8&gt;90,J102,(J102+IF($B$1+8&lt;=$B102,12*($B$7-$B$10),-12*($B$6+$B$10)*(1+$B$4)^8))*IF(J102+IF($B$1+8&lt;=$B102,12*($B$7-$B$10),-12*($B$6+$B$10)*(1+$B$4)^8)&gt;0,1+$B$3,1))</f>
        <v/>
      </c>
      <c r="L102">
        <f>IF($B$1+9&gt;90,K102,(K102+IF($B$1+9&lt;=$B102,12*($B$7-$B$10),-12*($B$6+$B$10)*(1+$B$4)^9))*IF(K102+IF($B$1+9&lt;=$B102,12*($B$7-$B$10),-12*($B$6+$B$10)*(1+$B$4)^9)&gt;0,1+$B$3,1))</f>
        <v/>
      </c>
      <c r="M102">
        <f>IF($B$1+10&gt;90,L102,(L102+IF($B$1+10&lt;=$B102,12*($B$7-$B$10),-12*($B$6+$B$10)*(1+$B$4)^10))*IF(L102+IF($B$1+10&lt;=$B102,12*($B$7-$B$10),-12*($B$6+$B$10)*(1+$B$4)^10)&gt;0,1+$B$3,1))</f>
        <v/>
      </c>
      <c r="N102">
        <f>IF($B$1+11&gt;90,M102,(M102+IF($B$1+11&lt;=$B102,12*($B$7-$B$10),-12*($B$6+$B$10)*(1+$B$4)^11))*IF(M102+IF($B$1+11&lt;=$B102,12*($B$7-$B$10),-12*($B$6+$B$10)*(1+$B$4)^11)&gt;0,1+$B$3,1))</f>
        <v/>
      </c>
      <c r="O102">
        <f>IF($B$1+12&gt;90,N102,(N102+IF($B$1+12&lt;=$B102,12*($B$7-$B$10),-12*($B$6+$B$10)*(1+$B$4)^12))*IF(N102+IF($B$1+12&lt;=$B102,12*($B$7-$B$10),-12*($B$6+$B$10)*(1+$B$4)^12)&gt;0,1+$B$3,1))</f>
        <v/>
      </c>
      <c r="P102">
        <f>IF($B$1+13&gt;90,O102,(O102+IF($B$1+13&lt;=$B102,12*($B$7-$B$10),-12*($B$6+$B$10)*(1+$B$4)^13))*IF(O102+IF($B$1+13&lt;=$B102,12*($B$7-$B$10),-12*($B$6+$B$10)*(1+$B$4)^13)&gt;0,1+$B$3,1))</f>
        <v/>
      </c>
      <c r="Q102">
        <f>IF($B$1+14&gt;90,P102,(P102+IF($B$1+14&lt;=$B102,12*($B$7-$B$10),-12*($B$6+$B$10)*(1+$B$4)^14))*IF(P102+IF($B$1+14&lt;=$B102,12*($B$7-$B$10),-12*($B$6+$B$10)*(1+$B$4)^14)&gt;0,1+$B$3,1))</f>
        <v/>
      </c>
      <c r="R102">
        <f>IF($B$1+15&gt;90,Q102,(Q102+IF($B$1+15&lt;=$B102,12*($B$7-$B$10),-12*($B$6+$B$10)*(1+$B$4)^15))*IF(Q102+IF($B$1+15&lt;=$B102,12*($B$7-$B$10),-12*($B$6+$B$10)*(1+$B$4)^15)&gt;0,1+$B$3,1))</f>
        <v/>
      </c>
      <c r="S102">
        <f>IF($B$1+16&gt;90,R102,(R102+IF($B$1+16&lt;=$B102,12*($B$7-$B$10),-12*($B$6+$B$10)*(1+$B$4)^16))*IF(R102+IF($B$1+16&lt;=$B102,12*($B$7-$B$10),-12*($B$6+$B$10)*(1+$B$4)^16)&gt;0,1+$B$3,1))</f>
        <v/>
      </c>
      <c r="T102">
        <f>IF($B$1+17&gt;90,S102,(S102+IF($B$1+17&lt;=$B102,12*($B$7-$B$10),-12*($B$6+$B$10)*(1+$B$4)^17))*IF(S102+IF($B$1+17&lt;=$B102,12*($B$7-$B$10),-12*($B$6+$B$10)*(1+$B$4)^17)&gt;0,1+$B$3,1))</f>
        <v/>
      </c>
      <c r="U102">
        <f>IF($B$1+18&gt;90,T102,(T102+IF($B$1+18&lt;=$B102,12*($B$7-$B$10),-12*($B$6+$B$10)*(1+$B$4)^18))*IF(T102+IF($B$1+18&lt;=$B102,12*($B$7-$B$10),-12*($B$6+$B$10)*(1+$B$4)^18)&gt;0,1+$B$3,1))</f>
        <v/>
      </c>
      <c r="V102">
        <f>IF($B$1+19&gt;90,U102,(U102+IF($B$1+19&lt;=$B102,12*($B$7-$B$10),-12*($B$6+$B$10)*(1+$B$4)^19))*IF(U102+IF($B$1+19&lt;=$B102,12*($B$7-$B$10),-12*($B$6+$B$10)*(1+$B$4)^19)&gt;0,1+$B$3,1))</f>
        <v/>
      </c>
      <c r="W102">
        <f>IF($B$1+20&gt;90,V102,(V102+IF($B$1+20&lt;=$B102,12*($B$7-$B$10),-12*($B$6+$B$10)*(1+$B$4)^20))*IF(V102+IF($B$1+20&lt;=$B102,12*($B$7-$B$10),-12*($B$6+$B$10)*(1+$B$4)^20)&gt;0,1+$B$3,1))</f>
        <v/>
      </c>
      <c r="X102">
        <f>IF($B$1+21&gt;90,W102,(W102+IF($B$1+21&lt;=$B102,12*($B$7-$B$10),-12*($B$6+$B$10)*(1+$B$4)^21))*IF(W102+IF($B$1+21&lt;=$B102,12*($B$7-$B$10),-12*($B$6+$B$10)*(1+$B$4)^21)&gt;0,1+$B$3,1))</f>
        <v/>
      </c>
      <c r="Y102">
        <f>IF($B$1+22&gt;90,X102,(X102+IF($B$1+22&lt;=$B102,12*($B$7-$B$10),-12*($B$6+$B$10)*(1+$B$4)^22))*IF(X102+IF($B$1+22&lt;=$B102,12*($B$7-$B$10),-12*($B$6+$B$10)*(1+$B$4)^22)&gt;0,1+$B$3,1))</f>
        <v/>
      </c>
      <c r="Z102">
        <f>IF($B$1+23&gt;90,Y102,(Y102+IF($B$1+23&lt;=$B102,12*($B$7-$B$10),-12*($B$6+$B$10)*(1+$B$4)^23))*IF(Y102+IF($B$1+23&lt;=$B102,12*($B$7-$B$10),-12*($B$6+$B$10)*(1+$B$4)^23)&gt;0,1+$B$3,1))</f>
        <v/>
      </c>
      <c r="AA102">
        <f>IF($B$1+24&gt;90,Z102,(Z102+IF($B$1+24&lt;=$B102,12*($B$7-$B$10),-12*($B$6+$B$10)*(1+$B$4)^24))*IF(Z102+IF($B$1+24&lt;=$B102,12*($B$7-$B$10),-12*($B$6+$B$10)*(1+$B$4)^24)&gt;0,1+$B$3,1))</f>
        <v/>
      </c>
      <c r="AB102">
        <f>IF($B$1+25&gt;90,AA102,(AA102+IF($B$1+25&lt;=$B102,12*($B$7-$B$10),-12*($B$6+$B$10)*(1+$B$4)^25))*IF(AA102+IF($B$1+25&lt;=$B102,12*($B$7-$B$10),-12*($B$6+$B$10)*(1+$B$4)^25)&gt;0,1+$B$3,1))</f>
        <v/>
      </c>
      <c r="AC102">
        <f>IF($B$1+26&gt;90,AB102,(AB102+IF($B$1+26&lt;=$B102,12*($B$7-$B$10),-12*($B$6+$B$10)*(1+$B$4)^26))*IF(AB102+IF($B$1+26&lt;=$B102,12*($B$7-$B$10),-12*($B$6+$B$10)*(1+$B$4)^26)&gt;0,1+$B$3,1))</f>
        <v/>
      </c>
      <c r="AD102">
        <f>IF($B$1+27&gt;90,AC102,(AC102+IF($B$1+27&lt;=$B102,12*($B$7-$B$10),-12*($B$6+$B$10)*(1+$B$4)^27))*IF(AC102+IF($B$1+27&lt;=$B102,12*($B$7-$B$10),-12*($B$6+$B$10)*(1+$B$4)^27)&gt;0,1+$B$3,1))</f>
        <v/>
      </c>
      <c r="AE102">
        <f>IF($B$1+28&gt;90,AD102,(AD102+IF($B$1+28&lt;=$B102,12*($B$7-$B$10),-12*($B$6+$B$10)*(1+$B$4)^28))*IF(AD102+IF($B$1+28&lt;=$B102,12*($B$7-$B$10),-12*($B$6+$B$10)*(1+$B$4)^28)&gt;0,1+$B$3,1))</f>
        <v/>
      </c>
      <c r="AF102">
        <f>IF($B$1+29&gt;90,AE102,(AE102+IF($B$1+29&lt;=$B102,12*($B$7-$B$10),-12*($B$6+$B$10)*(1+$B$4)^29))*IF(AE102+IF($B$1+29&lt;=$B102,12*($B$7-$B$10),-12*($B$6+$B$10)*(1+$B$4)^29)&gt;0,1+$B$3,1))</f>
        <v/>
      </c>
      <c r="AG102">
        <f>IF($B$1+30&gt;90,AF102,(AF102+IF($B$1+30&lt;=$B102,12*($B$7-$B$10),-12*($B$6+$B$10)*(1+$B$4)^30))*IF(AF102+IF($B$1+30&lt;=$B102,12*($B$7-$B$10),-12*($B$6+$B$10)*(1+$B$4)^30)&gt;0,1+$B$3,1))</f>
        <v/>
      </c>
      <c r="AH102">
        <f>IF($B$1+31&gt;90,AG102,(AG102+IF($B$1+31&lt;=$B102,12*($B$7-$B$10),-12*($B$6+$B$10)*(1+$B$4)^31))*IF(AG102+IF($B$1+31&lt;=$B102,12*($B$7-$B$10),-12*($B$6+$B$10)*(1+$B$4)^31)&gt;0,1+$B$3,1))</f>
        <v/>
      </c>
      <c r="AI102">
        <f>IF($B$1+32&gt;90,AH102,(AH102+IF($B$1+32&lt;=$B102,12*($B$7-$B$10),-12*($B$6+$B$10)*(1+$B$4)^32))*IF(AH102+IF($B$1+32&lt;=$B102,12*($B$7-$B$10),-12*($B$6+$B$10)*(1+$B$4)^32)&gt;0,1+$B$3,1))</f>
        <v/>
      </c>
      <c r="AJ102">
        <f>IF($B$1+33&gt;90,AI102,(AI102+IF($B$1+33&lt;=$B102,12*($B$7-$B$10),-12*($B$6+$B$10)*(1+$B$4)^33))*IF(AI102+IF($B$1+33&lt;=$B102,12*($B$7-$B$10),-12*($B$6+$B$10)*(1+$B$4)^33)&gt;0,1+$B$3,1))</f>
        <v/>
      </c>
      <c r="AK102">
        <f>IF($B$1+34&gt;90,AJ102,(AJ102+IF($B$1+34&lt;=$B102,12*($B$7-$B$10),-12*($B$6+$B$10)*(1+$B$4)^34))*IF(AJ102+IF($B$1+34&lt;=$B102,12*($B$7-$B$10),-12*($B$6+$B$10)*(1+$B$4)^34)&gt;0,1+$B$3,1))</f>
        <v/>
      </c>
      <c r="AL102">
        <f>IF($B$1+35&gt;90,AK102,(AK102+IF($B$1+35&lt;=$B102,12*($B$7-$B$10),-12*($B$6+$B$10)*(1+$B$4)^35))*IF(AK102+IF($B$1+35&lt;=$B102,12*($B$7-$B$10),-12*($B$6+$B$10)*(1+$B$4)^35)&gt;0,1+$B$3,1))</f>
        <v/>
      </c>
      <c r="AM102">
        <f>IF($B$1+36&gt;90,AL102,(AL102+IF($B$1+36&lt;=$B102,12*($B$7-$B$10),-12*($B$6+$B$10)*(1+$B$4)^36))*IF(AL102+IF($B$1+36&lt;=$B102,12*($B$7-$B$10),-12*($B$6+$B$10)*(1+$B$4)^36)&gt;0,1+$B$3,1))</f>
        <v/>
      </c>
      <c r="AN102">
        <f>IF($B$1+37&gt;90,AM102,(AM102+IF($B$1+37&lt;=$B102,12*($B$7-$B$10),-12*($B$6+$B$10)*(1+$B$4)^37))*IF(AM102+IF($B$1+37&lt;=$B102,12*($B$7-$B$10),-12*($B$6+$B$10)*(1+$B$4)^37)&gt;0,1+$B$3,1))</f>
        <v/>
      </c>
      <c r="AO102">
        <f>IF($B$1+38&gt;90,AN102,(AN102+IF($B$1+38&lt;=$B102,12*($B$7-$B$10),-12*($B$6+$B$10)*(1+$B$4)^38))*IF(AN102+IF($B$1+38&lt;=$B102,12*($B$7-$B$10),-12*($B$6+$B$10)*(1+$B$4)^38)&gt;0,1+$B$3,1))</f>
        <v/>
      </c>
      <c r="AP102">
        <f>IF($B$1+39&gt;90,AO102,(AO102+IF($B$1+39&lt;=$B102,12*($B$7-$B$10),-12*($B$6+$B$10)*(1+$B$4)^39))*IF(AO102+IF($B$1+39&lt;=$B102,12*($B$7-$B$10),-12*($B$6+$B$10)*(1+$B$4)^39)&gt;0,1+$B$3,1))</f>
        <v/>
      </c>
      <c r="AQ102">
        <f>IF($B$1+40&gt;90,AP102,(AP102+IF($B$1+40&lt;=$B102,12*($B$7-$B$10),-12*($B$6+$B$10)*(1+$B$4)^40))*IF(AP102+IF($B$1+40&lt;=$B102,12*($B$7-$B$10),-12*($B$6+$B$10)*(1+$B$4)^40)&gt;0,1+$B$3,1))</f>
        <v/>
      </c>
      <c r="AR102">
        <f>IF($B$1+41&gt;90,AQ102,(AQ102+IF($B$1+41&lt;=$B102,12*($B$7-$B$10),-12*($B$6+$B$10)*(1+$B$4)^41))*IF(AQ102+IF($B$1+41&lt;=$B102,12*($B$7-$B$10),-12*($B$6+$B$10)*(1+$B$4)^41)&gt;0,1+$B$3,1))</f>
        <v/>
      </c>
      <c r="AS102">
        <f>IF($B$1+42&gt;90,AR102,(AR102+IF($B$1+42&lt;=$B102,12*($B$7-$B$10),-12*($B$6+$B$10)*(1+$B$4)^42))*IF(AR102+IF($B$1+42&lt;=$B102,12*($B$7-$B$10),-12*($B$6+$B$10)*(1+$B$4)^42)&gt;0,1+$B$3,1))</f>
        <v/>
      </c>
      <c r="AT102">
        <f>IF($B$1+43&gt;90,AS102,(AS102+IF($B$1+43&lt;=$B102,12*($B$7-$B$10),-12*($B$6+$B$10)*(1+$B$4)^43))*IF(AS102+IF($B$1+43&lt;=$B102,12*($B$7-$B$10),-12*($B$6+$B$10)*(1+$B$4)^43)&gt;0,1+$B$3,1))</f>
        <v/>
      </c>
      <c r="AU102">
        <f>IF($B$1+44&gt;90,AT102,(AT102+IF($B$1+44&lt;=$B102,12*($B$7-$B$10),-12*($B$6+$B$10)*(1+$B$4)^44))*IF(AT102+IF($B$1+44&lt;=$B102,12*($B$7-$B$10),-12*($B$6+$B$10)*(1+$B$4)^44)&gt;0,1+$B$3,1))</f>
        <v/>
      </c>
      <c r="AV102">
        <f>IF($B$1+45&gt;90,AU102,(AU102+IF($B$1+45&lt;=$B102,12*($B$7-$B$10),-12*($B$6+$B$10)*(1+$B$4)^45))*IF(AU102+IF($B$1+45&lt;=$B102,12*($B$7-$B$10),-12*($B$6+$B$10)*(1+$B$4)^45)&gt;0,1+$B$3,1))</f>
        <v/>
      </c>
      <c r="AW102">
        <f>IF($B$1+46&gt;90,AV102,(AV102+IF($B$1+46&lt;=$B102,12*($B$7-$B$10),-12*($B$6+$B$10)*(1+$B$4)^46))*IF(AV102+IF($B$1+46&lt;=$B102,12*($B$7-$B$10),-12*($B$6+$B$10)*(1+$B$4)^46)&gt;0,1+$B$3,1))</f>
        <v/>
      </c>
      <c r="AX102">
        <f>IF($B$1+47&gt;90,AW102,(AW102+IF($B$1+47&lt;=$B102,12*($B$7-$B$10),-12*($B$6+$B$10)*(1+$B$4)^47))*IF(AW102+IF($B$1+47&lt;=$B102,12*($B$7-$B$10),-12*($B$6+$B$10)*(1+$B$4)^47)&gt;0,1+$B$3,1))</f>
        <v/>
      </c>
      <c r="AY102">
        <f>IF($B$1+48&gt;90,AX102,(AX102+IF($B$1+48&lt;=$B102,12*($B$7-$B$10),-12*($B$6+$B$10)*(1+$B$4)^48))*IF(AX102+IF($B$1+48&lt;=$B102,12*($B$7-$B$10),-12*($B$6+$B$10)*(1+$B$4)^48)&gt;0,1+$B$3,1))</f>
        <v/>
      </c>
      <c r="AZ102">
        <f>IF($B$1+49&gt;90,AY102,(AY102+IF($B$1+49&lt;=$B102,12*($B$7-$B$10),-12*($B$6+$B$10)*(1+$B$4)^49))*IF(AY102+IF($B$1+49&lt;=$B102,12*($B$7-$B$10),-12*($B$6+$B$10)*(1+$B$4)^49)&gt;0,1+$B$3,1))</f>
        <v/>
      </c>
      <c r="BA102">
        <f>IF($B$1+50&gt;90,AZ102,(AZ102+IF($B$1+50&lt;=$B102,12*($B$7-$B$10),-12*($B$6+$B$10)*(1+$B$4)^50))*IF(AZ102+IF($B$1+50&lt;=$B102,12*($B$7-$B$10),-12*($B$6+$B$10)*(1+$B$4)^50)&gt;0,1+$B$3,1))</f>
        <v/>
      </c>
      <c r="BB102">
        <f>IF($B$1+51&gt;90,BA102,(BA102+IF($B$1+51&lt;=$B102,12*($B$7-$B$10),-12*($B$6+$B$10)*(1+$B$4)^51))*IF(BA102+IF($B$1+51&lt;=$B102,12*($B$7-$B$10),-12*($B$6+$B$10)*(1+$B$4)^51)&gt;0,1+$B$3,1))</f>
        <v/>
      </c>
      <c r="BC102">
        <f>IF($B$1+52&gt;90,BB102,(BB102+IF($B$1+52&lt;=$B102,12*($B$7-$B$10),-12*($B$6+$B$10)*(1+$B$4)^52))*IF(BB102+IF($B$1+52&lt;=$B102,12*($B$7-$B$10),-12*($B$6+$B$10)*(1+$B$4)^52)&gt;0,1+$B$3,1))</f>
        <v/>
      </c>
      <c r="BD102">
        <f>IF($B$1+53&gt;90,BC102,(BC102+IF($B$1+53&lt;=$B102,12*($B$7-$B$10),-12*($B$6+$B$10)*(1+$B$4)^53))*IF(BC102+IF($B$1+53&lt;=$B102,12*($B$7-$B$10),-12*($B$6+$B$10)*(1+$B$4)^53)&gt;0,1+$B$3,1))</f>
        <v/>
      </c>
      <c r="BE102">
        <f>IF($B$1+54&gt;90,BD102,(BD102+IF($B$1+54&lt;=$B102,12*($B$7-$B$10),-12*($B$6+$B$10)*(1+$B$4)^54))*IF(BD102+IF($B$1+54&lt;=$B102,12*($B$7-$B$10),-12*($B$6+$B$10)*(1+$B$4)^54)&gt;0,1+$B$3,1))</f>
        <v/>
      </c>
      <c r="BF102">
        <f>IF($B$1+55&gt;90,BE102,(BE102+IF($B$1+55&lt;=$B102,12*($B$7-$B$10),-12*($B$6+$B$10)*(1+$B$4)^55))*IF(BE102+IF($B$1+55&lt;=$B102,12*($B$7-$B$10),-12*($B$6+$B$10)*(1+$B$4)^55)&gt;0,1+$B$3,1))</f>
        <v/>
      </c>
      <c r="BG102">
        <f>IF($B$1+56&gt;90,BF102,(BF102+IF($B$1+56&lt;=$B102,12*($B$7-$B$10),-12*($B$6+$B$10)*(1+$B$4)^56))*IF(BF102+IF($B$1+56&lt;=$B102,12*($B$7-$B$10),-12*($B$6+$B$10)*(1+$B$4)^56)&gt;0,1+$B$3,1))</f>
        <v/>
      </c>
      <c r="BH102">
        <f>IF($B$1+57&gt;90,BG102,(BG102+IF($B$1+57&lt;=$B102,12*($B$7-$B$10),-12*($B$6+$B$10)*(1+$B$4)^57))*IF(BG102+IF($B$1+57&lt;=$B102,12*($B$7-$B$10),-12*($B$6+$B$10)*(1+$B$4)^57)&gt;0,1+$B$3,1))</f>
        <v/>
      </c>
      <c r="BI102">
        <f>IF($B$1+58&gt;90,BH102,(BH102+IF($B$1+58&lt;=$B102,12*($B$7-$B$10),-12*($B$6+$B$10)*(1+$B$4)^58))*IF(BH102+IF($B$1+58&lt;=$B102,12*($B$7-$B$10),-12*($B$6+$B$10)*(1+$B$4)^58)&gt;0,1+$B$3,1))</f>
        <v/>
      </c>
      <c r="BJ102">
        <f>IF($B$1+59&gt;90,BI102,(BI102+IF($B$1+59&lt;=$B102,12*($B$7-$B$10),-12*($B$6+$B$10)*(1+$B$4)^59))*IF(BI102+IF($B$1+59&lt;=$B102,12*($B$7-$B$10),-12*($B$6+$B$10)*(1+$B$4)^59)&gt;0,1+$B$3,1))</f>
        <v/>
      </c>
      <c r="BK102">
        <f>IF($B$1+60&gt;90,BJ102,(BJ102+IF($B$1+60&lt;=$B102,12*($B$7-$B$10),-12*($B$6+$B$10)*(1+$B$4)^60))*IF(BJ102+IF($B$1+60&lt;=$B102,12*($B$7-$B$10),-12*($B$6+$B$10)*(1+$B$4)^60)&gt;0,1+$B$3,1))</f>
        <v/>
      </c>
      <c r="BL102">
        <f>IF($B$1+61&gt;90,BK102,(BK102+IF($B$1+61&lt;=$B102,12*($B$7-$B$10),-12*($B$6+$B$10)*(1+$B$4)^61))*IF(BK102+IF($B$1+61&lt;=$B102,12*($B$7-$B$10),-12*($B$6+$B$10)*(1+$B$4)^61)&gt;0,1+$B$3,1))</f>
        <v/>
      </c>
      <c r="BM102">
        <f>IF($B$1+62&gt;90,BL102,(BL102+IF($B$1+62&lt;=$B102,12*($B$7-$B$10),-12*($B$6+$B$10)*(1+$B$4)^62))*IF(BL102+IF($B$1+62&lt;=$B102,12*($B$7-$B$10),-12*($B$6+$B$10)*(1+$B$4)^62)&gt;0,1+$B$3,1))</f>
        <v/>
      </c>
      <c r="BN102">
        <f>IF($B$1+63&gt;90,BM102,(BM102+IF($B$1+63&lt;=$B102,12*($B$7-$B$10),-12*($B$6+$B$10)*(1+$B$4)^63))*IF(BM102+IF($B$1+63&lt;=$B102,12*($B$7-$B$10),-12*($B$6+$B$10)*(1+$B$4)^63)&gt;0,1+$B$3,1))</f>
        <v/>
      </c>
      <c r="BO102">
        <f>IF($B$1+64&gt;90,BN102,(BN102+IF($B$1+64&lt;=$B102,12*($B$7-$B$10),-12*($B$6+$B$10)*(1+$B$4)^64))*IF(BN102+IF($B$1+64&lt;=$B102,12*($B$7-$B$10),-12*($B$6+$B$10)*(1+$B$4)^64)&gt;0,1+$B$3,1))</f>
        <v/>
      </c>
      <c r="BP102">
        <f>IF($B$1+65&gt;90,BO102,(BO102+IF($B$1+65&lt;=$B102,12*($B$7-$B$10),-12*($B$6+$B$10)*(1+$B$4)^65))*IF(BO102+IF($B$1+65&lt;=$B102,12*($B$7-$B$10),-12*($B$6+$B$10)*(1+$B$4)^65)&gt;0,1+$B$3,1))</f>
        <v/>
      </c>
      <c r="BQ102">
        <f>IF($B$1+66&gt;90,BP102,(BP102+IF($B$1+66&lt;=$B102,12*($B$7-$B$10),-12*($B$6+$B$10)*(1+$B$4)^66))*IF(BP102+IF($B$1+66&lt;=$B102,12*($B$7-$B$10),-12*($B$6+$B$10)*(1+$B$4)^66)&gt;0,1+$B$3,1))</f>
        <v/>
      </c>
      <c r="BR102">
        <f>IF($B$1+67&gt;90,BQ102,(BQ102+IF($B$1+67&lt;=$B102,12*($B$7-$B$10),-12*($B$6+$B$10)*(1+$B$4)^67))*IF(BQ102+IF($B$1+67&lt;=$B102,12*($B$7-$B$10),-12*($B$6+$B$10)*(1+$B$4)^67)&gt;0,1+$B$3,1))</f>
        <v/>
      </c>
      <c r="BS102">
        <f>IF($B$1+68&gt;90,BR102,(BR102+IF($B$1+68&lt;=$B102,12*($B$7-$B$10),-12*($B$6+$B$10)*(1+$B$4)^68))*IF(BR102+IF($B$1+68&lt;=$B102,12*($B$7-$B$10),-12*($B$6+$B$10)*(1+$B$4)^68)&gt;0,1+$B$3,1))</f>
        <v/>
      </c>
      <c r="BT102">
        <f>IF($B$1+69&gt;90,BS102,(BS102+IF($B$1+69&lt;=$B102,12*($B$7-$B$10),-12*($B$6+$B$10)*(1+$B$4)^69))*IF(BS102+IF($B$1+69&lt;=$B102,12*($B$7-$B$10),-12*($B$6+$B$10)*(1+$B$4)^69)&gt;0,1+$B$3,1))</f>
        <v/>
      </c>
      <c r="BU102">
        <f>IF($B$1+70&gt;90,BT102,(BT102+IF($B$1+70&lt;=$B102,12*($B$7-$B$10),-12*($B$6+$B$10)*(1+$B$4)^70))*IF(BT102+IF($B$1+70&lt;=$B102,12*($B$7-$B$10),-12*($B$6+$B$10)*(1+$B$4)^70)&gt;0,1+$B$3,1))</f>
        <v/>
      </c>
      <c r="BV102">
        <f>BU102</f>
        <v/>
      </c>
      <c r="BW102">
        <f>IF(AND($B102&lt;=70,BV102&gt;0),$B102,999)</f>
        <v/>
      </c>
    </row>
    <row r="103">
      <c r="A103" t="n">
        <v>7</v>
      </c>
      <c r="B103">
        <f>$B$1+7</f>
        <v/>
      </c>
      <c r="C103">
        <f>$B$2</f>
        <v/>
      </c>
      <c r="D103">
        <f>IF($B$1+1&gt;90,C103,(C103+IF($B$1+1&lt;=$B103,12*($B$7-$B$10),-12*($B$6+$B$10)*(1+$B$4)^1))*IF(C103+IF($B$1+1&lt;=$B103,12*($B$7-$B$10),-12*($B$6+$B$10)*(1+$B$4)^1)&gt;0,1+$B$3,1))</f>
        <v/>
      </c>
      <c r="E103">
        <f>IF($B$1+2&gt;90,D103,(D103+IF($B$1+2&lt;=$B103,12*($B$7-$B$10),-12*($B$6+$B$10)*(1+$B$4)^2))*IF(D103+IF($B$1+2&lt;=$B103,12*($B$7-$B$10),-12*($B$6+$B$10)*(1+$B$4)^2)&gt;0,1+$B$3,1))</f>
        <v/>
      </c>
      <c r="F103">
        <f>IF($B$1+3&gt;90,E103,(E103+IF($B$1+3&lt;=$B103,12*($B$7-$B$10),-12*($B$6+$B$10)*(1+$B$4)^3))*IF(E103+IF($B$1+3&lt;=$B103,12*($B$7-$B$10),-12*($B$6+$B$10)*(1+$B$4)^3)&gt;0,1+$B$3,1))</f>
        <v/>
      </c>
      <c r="G103">
        <f>IF($B$1+4&gt;90,F103,(F103+IF($B$1+4&lt;=$B103,12*($B$7-$B$10),-12*($B$6+$B$10)*(1+$B$4)^4))*IF(F103+IF($B$1+4&lt;=$B103,12*($B$7-$B$10),-12*($B$6+$B$10)*(1+$B$4)^4)&gt;0,1+$B$3,1))</f>
        <v/>
      </c>
      <c r="H103">
        <f>IF($B$1+5&gt;90,G103,(G103+IF($B$1+5&lt;=$B103,12*($B$7-$B$10),-12*($B$6+$B$10)*(1+$B$4)^5))*IF(G103+IF($B$1+5&lt;=$B103,12*($B$7-$B$10),-12*($B$6+$B$10)*(1+$B$4)^5)&gt;0,1+$B$3,1))</f>
        <v/>
      </c>
      <c r="I103">
        <f>IF($B$1+6&gt;90,H103,(H103+IF($B$1+6&lt;=$B103,12*($B$7-$B$10),-12*($B$6+$B$10)*(1+$B$4)^6))*IF(H103+IF($B$1+6&lt;=$B103,12*($B$7-$B$10),-12*($B$6+$B$10)*(1+$B$4)^6)&gt;0,1+$B$3,1))</f>
        <v/>
      </c>
      <c r="J103">
        <f>IF($B$1+7&gt;90,I103,(I103+IF($B$1+7&lt;=$B103,12*($B$7-$B$10),-12*($B$6+$B$10)*(1+$B$4)^7))*IF(I103+IF($B$1+7&lt;=$B103,12*($B$7-$B$10),-12*($B$6+$B$10)*(1+$B$4)^7)&gt;0,1+$B$3,1))</f>
        <v/>
      </c>
      <c r="K103">
        <f>IF($B$1+8&gt;90,J103,(J103+IF($B$1+8&lt;=$B103,12*($B$7-$B$10),-12*($B$6+$B$10)*(1+$B$4)^8))*IF(J103+IF($B$1+8&lt;=$B103,12*($B$7-$B$10),-12*($B$6+$B$10)*(1+$B$4)^8)&gt;0,1+$B$3,1))</f>
        <v/>
      </c>
      <c r="L103">
        <f>IF($B$1+9&gt;90,K103,(K103+IF($B$1+9&lt;=$B103,12*($B$7-$B$10),-12*($B$6+$B$10)*(1+$B$4)^9))*IF(K103+IF($B$1+9&lt;=$B103,12*($B$7-$B$10),-12*($B$6+$B$10)*(1+$B$4)^9)&gt;0,1+$B$3,1))</f>
        <v/>
      </c>
      <c r="M103">
        <f>IF($B$1+10&gt;90,L103,(L103+IF($B$1+10&lt;=$B103,12*($B$7-$B$10),-12*($B$6+$B$10)*(1+$B$4)^10))*IF(L103+IF($B$1+10&lt;=$B103,12*($B$7-$B$10),-12*($B$6+$B$10)*(1+$B$4)^10)&gt;0,1+$B$3,1))</f>
        <v/>
      </c>
      <c r="N103">
        <f>IF($B$1+11&gt;90,M103,(M103+IF($B$1+11&lt;=$B103,12*($B$7-$B$10),-12*($B$6+$B$10)*(1+$B$4)^11))*IF(M103+IF($B$1+11&lt;=$B103,12*($B$7-$B$10),-12*($B$6+$B$10)*(1+$B$4)^11)&gt;0,1+$B$3,1))</f>
        <v/>
      </c>
      <c r="O103">
        <f>IF($B$1+12&gt;90,N103,(N103+IF($B$1+12&lt;=$B103,12*($B$7-$B$10),-12*($B$6+$B$10)*(1+$B$4)^12))*IF(N103+IF($B$1+12&lt;=$B103,12*($B$7-$B$10),-12*($B$6+$B$10)*(1+$B$4)^12)&gt;0,1+$B$3,1))</f>
        <v/>
      </c>
      <c r="P103">
        <f>IF($B$1+13&gt;90,O103,(O103+IF($B$1+13&lt;=$B103,12*($B$7-$B$10),-12*($B$6+$B$10)*(1+$B$4)^13))*IF(O103+IF($B$1+13&lt;=$B103,12*($B$7-$B$10),-12*($B$6+$B$10)*(1+$B$4)^13)&gt;0,1+$B$3,1))</f>
        <v/>
      </c>
      <c r="Q103">
        <f>IF($B$1+14&gt;90,P103,(P103+IF($B$1+14&lt;=$B103,12*($B$7-$B$10),-12*($B$6+$B$10)*(1+$B$4)^14))*IF(P103+IF($B$1+14&lt;=$B103,12*($B$7-$B$10),-12*($B$6+$B$10)*(1+$B$4)^14)&gt;0,1+$B$3,1))</f>
        <v/>
      </c>
      <c r="R103">
        <f>IF($B$1+15&gt;90,Q103,(Q103+IF($B$1+15&lt;=$B103,12*($B$7-$B$10),-12*($B$6+$B$10)*(1+$B$4)^15))*IF(Q103+IF($B$1+15&lt;=$B103,12*($B$7-$B$10),-12*($B$6+$B$10)*(1+$B$4)^15)&gt;0,1+$B$3,1))</f>
        <v/>
      </c>
      <c r="S103">
        <f>IF($B$1+16&gt;90,R103,(R103+IF($B$1+16&lt;=$B103,12*($B$7-$B$10),-12*($B$6+$B$10)*(1+$B$4)^16))*IF(R103+IF($B$1+16&lt;=$B103,12*($B$7-$B$10),-12*($B$6+$B$10)*(1+$B$4)^16)&gt;0,1+$B$3,1))</f>
        <v/>
      </c>
      <c r="T103">
        <f>IF($B$1+17&gt;90,S103,(S103+IF($B$1+17&lt;=$B103,12*($B$7-$B$10),-12*($B$6+$B$10)*(1+$B$4)^17))*IF(S103+IF($B$1+17&lt;=$B103,12*($B$7-$B$10),-12*($B$6+$B$10)*(1+$B$4)^17)&gt;0,1+$B$3,1))</f>
        <v/>
      </c>
      <c r="U103">
        <f>IF($B$1+18&gt;90,T103,(T103+IF($B$1+18&lt;=$B103,12*($B$7-$B$10),-12*($B$6+$B$10)*(1+$B$4)^18))*IF(T103+IF($B$1+18&lt;=$B103,12*($B$7-$B$10),-12*($B$6+$B$10)*(1+$B$4)^18)&gt;0,1+$B$3,1))</f>
        <v/>
      </c>
      <c r="V103">
        <f>IF($B$1+19&gt;90,U103,(U103+IF($B$1+19&lt;=$B103,12*($B$7-$B$10),-12*($B$6+$B$10)*(1+$B$4)^19))*IF(U103+IF($B$1+19&lt;=$B103,12*($B$7-$B$10),-12*($B$6+$B$10)*(1+$B$4)^19)&gt;0,1+$B$3,1))</f>
        <v/>
      </c>
      <c r="W103">
        <f>IF($B$1+20&gt;90,V103,(V103+IF($B$1+20&lt;=$B103,12*($B$7-$B$10),-12*($B$6+$B$10)*(1+$B$4)^20))*IF(V103+IF($B$1+20&lt;=$B103,12*($B$7-$B$10),-12*($B$6+$B$10)*(1+$B$4)^20)&gt;0,1+$B$3,1))</f>
        <v/>
      </c>
      <c r="X103">
        <f>IF($B$1+21&gt;90,W103,(W103+IF($B$1+21&lt;=$B103,12*($B$7-$B$10),-12*($B$6+$B$10)*(1+$B$4)^21))*IF(W103+IF($B$1+21&lt;=$B103,12*($B$7-$B$10),-12*($B$6+$B$10)*(1+$B$4)^21)&gt;0,1+$B$3,1))</f>
        <v/>
      </c>
      <c r="Y103">
        <f>IF($B$1+22&gt;90,X103,(X103+IF($B$1+22&lt;=$B103,12*($B$7-$B$10),-12*($B$6+$B$10)*(1+$B$4)^22))*IF(X103+IF($B$1+22&lt;=$B103,12*($B$7-$B$10),-12*($B$6+$B$10)*(1+$B$4)^22)&gt;0,1+$B$3,1))</f>
        <v/>
      </c>
      <c r="Z103">
        <f>IF($B$1+23&gt;90,Y103,(Y103+IF($B$1+23&lt;=$B103,12*($B$7-$B$10),-12*($B$6+$B$10)*(1+$B$4)^23))*IF(Y103+IF($B$1+23&lt;=$B103,12*($B$7-$B$10),-12*($B$6+$B$10)*(1+$B$4)^23)&gt;0,1+$B$3,1))</f>
        <v/>
      </c>
      <c r="AA103">
        <f>IF($B$1+24&gt;90,Z103,(Z103+IF($B$1+24&lt;=$B103,12*($B$7-$B$10),-12*($B$6+$B$10)*(1+$B$4)^24))*IF(Z103+IF($B$1+24&lt;=$B103,12*($B$7-$B$10),-12*($B$6+$B$10)*(1+$B$4)^24)&gt;0,1+$B$3,1))</f>
        <v/>
      </c>
      <c r="AB103">
        <f>IF($B$1+25&gt;90,AA103,(AA103+IF($B$1+25&lt;=$B103,12*($B$7-$B$10),-12*($B$6+$B$10)*(1+$B$4)^25))*IF(AA103+IF($B$1+25&lt;=$B103,12*($B$7-$B$10),-12*($B$6+$B$10)*(1+$B$4)^25)&gt;0,1+$B$3,1))</f>
        <v/>
      </c>
      <c r="AC103">
        <f>IF($B$1+26&gt;90,AB103,(AB103+IF($B$1+26&lt;=$B103,12*($B$7-$B$10),-12*($B$6+$B$10)*(1+$B$4)^26))*IF(AB103+IF($B$1+26&lt;=$B103,12*($B$7-$B$10),-12*($B$6+$B$10)*(1+$B$4)^26)&gt;0,1+$B$3,1))</f>
        <v/>
      </c>
      <c r="AD103">
        <f>IF($B$1+27&gt;90,AC103,(AC103+IF($B$1+27&lt;=$B103,12*($B$7-$B$10),-12*($B$6+$B$10)*(1+$B$4)^27))*IF(AC103+IF($B$1+27&lt;=$B103,12*($B$7-$B$10),-12*($B$6+$B$10)*(1+$B$4)^27)&gt;0,1+$B$3,1))</f>
        <v/>
      </c>
      <c r="AE103">
        <f>IF($B$1+28&gt;90,AD103,(AD103+IF($B$1+28&lt;=$B103,12*($B$7-$B$10),-12*($B$6+$B$10)*(1+$B$4)^28))*IF(AD103+IF($B$1+28&lt;=$B103,12*($B$7-$B$10),-12*($B$6+$B$10)*(1+$B$4)^28)&gt;0,1+$B$3,1))</f>
        <v/>
      </c>
      <c r="AF103">
        <f>IF($B$1+29&gt;90,AE103,(AE103+IF($B$1+29&lt;=$B103,12*($B$7-$B$10),-12*($B$6+$B$10)*(1+$B$4)^29))*IF(AE103+IF($B$1+29&lt;=$B103,12*($B$7-$B$10),-12*($B$6+$B$10)*(1+$B$4)^29)&gt;0,1+$B$3,1))</f>
        <v/>
      </c>
      <c r="AG103">
        <f>IF($B$1+30&gt;90,AF103,(AF103+IF($B$1+30&lt;=$B103,12*($B$7-$B$10),-12*($B$6+$B$10)*(1+$B$4)^30))*IF(AF103+IF($B$1+30&lt;=$B103,12*($B$7-$B$10),-12*($B$6+$B$10)*(1+$B$4)^30)&gt;0,1+$B$3,1))</f>
        <v/>
      </c>
      <c r="AH103">
        <f>IF($B$1+31&gt;90,AG103,(AG103+IF($B$1+31&lt;=$B103,12*($B$7-$B$10),-12*($B$6+$B$10)*(1+$B$4)^31))*IF(AG103+IF($B$1+31&lt;=$B103,12*($B$7-$B$10),-12*($B$6+$B$10)*(1+$B$4)^31)&gt;0,1+$B$3,1))</f>
        <v/>
      </c>
      <c r="AI103">
        <f>IF($B$1+32&gt;90,AH103,(AH103+IF($B$1+32&lt;=$B103,12*($B$7-$B$10),-12*($B$6+$B$10)*(1+$B$4)^32))*IF(AH103+IF($B$1+32&lt;=$B103,12*($B$7-$B$10),-12*($B$6+$B$10)*(1+$B$4)^32)&gt;0,1+$B$3,1))</f>
        <v/>
      </c>
      <c r="AJ103">
        <f>IF($B$1+33&gt;90,AI103,(AI103+IF($B$1+33&lt;=$B103,12*($B$7-$B$10),-12*($B$6+$B$10)*(1+$B$4)^33))*IF(AI103+IF($B$1+33&lt;=$B103,12*($B$7-$B$10),-12*($B$6+$B$10)*(1+$B$4)^33)&gt;0,1+$B$3,1))</f>
        <v/>
      </c>
      <c r="AK103">
        <f>IF($B$1+34&gt;90,AJ103,(AJ103+IF($B$1+34&lt;=$B103,12*($B$7-$B$10),-12*($B$6+$B$10)*(1+$B$4)^34))*IF(AJ103+IF($B$1+34&lt;=$B103,12*($B$7-$B$10),-12*($B$6+$B$10)*(1+$B$4)^34)&gt;0,1+$B$3,1))</f>
        <v/>
      </c>
      <c r="AL103">
        <f>IF($B$1+35&gt;90,AK103,(AK103+IF($B$1+35&lt;=$B103,12*($B$7-$B$10),-12*($B$6+$B$10)*(1+$B$4)^35))*IF(AK103+IF($B$1+35&lt;=$B103,12*($B$7-$B$10),-12*($B$6+$B$10)*(1+$B$4)^35)&gt;0,1+$B$3,1))</f>
        <v/>
      </c>
      <c r="AM103">
        <f>IF($B$1+36&gt;90,AL103,(AL103+IF($B$1+36&lt;=$B103,12*($B$7-$B$10),-12*($B$6+$B$10)*(1+$B$4)^36))*IF(AL103+IF($B$1+36&lt;=$B103,12*($B$7-$B$10),-12*($B$6+$B$10)*(1+$B$4)^36)&gt;0,1+$B$3,1))</f>
        <v/>
      </c>
      <c r="AN103">
        <f>IF($B$1+37&gt;90,AM103,(AM103+IF($B$1+37&lt;=$B103,12*($B$7-$B$10),-12*($B$6+$B$10)*(1+$B$4)^37))*IF(AM103+IF($B$1+37&lt;=$B103,12*($B$7-$B$10),-12*($B$6+$B$10)*(1+$B$4)^37)&gt;0,1+$B$3,1))</f>
        <v/>
      </c>
      <c r="AO103">
        <f>IF($B$1+38&gt;90,AN103,(AN103+IF($B$1+38&lt;=$B103,12*($B$7-$B$10),-12*($B$6+$B$10)*(1+$B$4)^38))*IF(AN103+IF($B$1+38&lt;=$B103,12*($B$7-$B$10),-12*($B$6+$B$10)*(1+$B$4)^38)&gt;0,1+$B$3,1))</f>
        <v/>
      </c>
      <c r="AP103">
        <f>IF($B$1+39&gt;90,AO103,(AO103+IF($B$1+39&lt;=$B103,12*($B$7-$B$10),-12*($B$6+$B$10)*(1+$B$4)^39))*IF(AO103+IF($B$1+39&lt;=$B103,12*($B$7-$B$10),-12*($B$6+$B$10)*(1+$B$4)^39)&gt;0,1+$B$3,1))</f>
        <v/>
      </c>
      <c r="AQ103">
        <f>IF($B$1+40&gt;90,AP103,(AP103+IF($B$1+40&lt;=$B103,12*($B$7-$B$10),-12*($B$6+$B$10)*(1+$B$4)^40))*IF(AP103+IF($B$1+40&lt;=$B103,12*($B$7-$B$10),-12*($B$6+$B$10)*(1+$B$4)^40)&gt;0,1+$B$3,1))</f>
        <v/>
      </c>
      <c r="AR103">
        <f>IF($B$1+41&gt;90,AQ103,(AQ103+IF($B$1+41&lt;=$B103,12*($B$7-$B$10),-12*($B$6+$B$10)*(1+$B$4)^41))*IF(AQ103+IF($B$1+41&lt;=$B103,12*($B$7-$B$10),-12*($B$6+$B$10)*(1+$B$4)^41)&gt;0,1+$B$3,1))</f>
        <v/>
      </c>
      <c r="AS103">
        <f>IF($B$1+42&gt;90,AR103,(AR103+IF($B$1+42&lt;=$B103,12*($B$7-$B$10),-12*($B$6+$B$10)*(1+$B$4)^42))*IF(AR103+IF($B$1+42&lt;=$B103,12*($B$7-$B$10),-12*($B$6+$B$10)*(1+$B$4)^42)&gt;0,1+$B$3,1))</f>
        <v/>
      </c>
      <c r="AT103">
        <f>IF($B$1+43&gt;90,AS103,(AS103+IF($B$1+43&lt;=$B103,12*($B$7-$B$10),-12*($B$6+$B$10)*(1+$B$4)^43))*IF(AS103+IF($B$1+43&lt;=$B103,12*($B$7-$B$10),-12*($B$6+$B$10)*(1+$B$4)^43)&gt;0,1+$B$3,1))</f>
        <v/>
      </c>
      <c r="AU103">
        <f>IF($B$1+44&gt;90,AT103,(AT103+IF($B$1+44&lt;=$B103,12*($B$7-$B$10),-12*($B$6+$B$10)*(1+$B$4)^44))*IF(AT103+IF($B$1+44&lt;=$B103,12*($B$7-$B$10),-12*($B$6+$B$10)*(1+$B$4)^44)&gt;0,1+$B$3,1))</f>
        <v/>
      </c>
      <c r="AV103">
        <f>IF($B$1+45&gt;90,AU103,(AU103+IF($B$1+45&lt;=$B103,12*($B$7-$B$10),-12*($B$6+$B$10)*(1+$B$4)^45))*IF(AU103+IF($B$1+45&lt;=$B103,12*($B$7-$B$10),-12*($B$6+$B$10)*(1+$B$4)^45)&gt;0,1+$B$3,1))</f>
        <v/>
      </c>
      <c r="AW103">
        <f>IF($B$1+46&gt;90,AV103,(AV103+IF($B$1+46&lt;=$B103,12*($B$7-$B$10),-12*($B$6+$B$10)*(1+$B$4)^46))*IF(AV103+IF($B$1+46&lt;=$B103,12*($B$7-$B$10),-12*($B$6+$B$10)*(1+$B$4)^46)&gt;0,1+$B$3,1))</f>
        <v/>
      </c>
      <c r="AX103">
        <f>IF($B$1+47&gt;90,AW103,(AW103+IF($B$1+47&lt;=$B103,12*($B$7-$B$10),-12*($B$6+$B$10)*(1+$B$4)^47))*IF(AW103+IF($B$1+47&lt;=$B103,12*($B$7-$B$10),-12*($B$6+$B$10)*(1+$B$4)^47)&gt;0,1+$B$3,1))</f>
        <v/>
      </c>
      <c r="AY103">
        <f>IF($B$1+48&gt;90,AX103,(AX103+IF($B$1+48&lt;=$B103,12*($B$7-$B$10),-12*($B$6+$B$10)*(1+$B$4)^48))*IF(AX103+IF($B$1+48&lt;=$B103,12*($B$7-$B$10),-12*($B$6+$B$10)*(1+$B$4)^48)&gt;0,1+$B$3,1))</f>
        <v/>
      </c>
      <c r="AZ103">
        <f>IF($B$1+49&gt;90,AY103,(AY103+IF($B$1+49&lt;=$B103,12*($B$7-$B$10),-12*($B$6+$B$10)*(1+$B$4)^49))*IF(AY103+IF($B$1+49&lt;=$B103,12*($B$7-$B$10),-12*($B$6+$B$10)*(1+$B$4)^49)&gt;0,1+$B$3,1))</f>
        <v/>
      </c>
      <c r="BA103">
        <f>IF($B$1+50&gt;90,AZ103,(AZ103+IF($B$1+50&lt;=$B103,12*($B$7-$B$10),-12*($B$6+$B$10)*(1+$B$4)^50))*IF(AZ103+IF($B$1+50&lt;=$B103,12*($B$7-$B$10),-12*($B$6+$B$10)*(1+$B$4)^50)&gt;0,1+$B$3,1))</f>
        <v/>
      </c>
      <c r="BB103">
        <f>IF($B$1+51&gt;90,BA103,(BA103+IF($B$1+51&lt;=$B103,12*($B$7-$B$10),-12*($B$6+$B$10)*(1+$B$4)^51))*IF(BA103+IF($B$1+51&lt;=$B103,12*($B$7-$B$10),-12*($B$6+$B$10)*(1+$B$4)^51)&gt;0,1+$B$3,1))</f>
        <v/>
      </c>
      <c r="BC103">
        <f>IF($B$1+52&gt;90,BB103,(BB103+IF($B$1+52&lt;=$B103,12*($B$7-$B$10),-12*($B$6+$B$10)*(1+$B$4)^52))*IF(BB103+IF($B$1+52&lt;=$B103,12*($B$7-$B$10),-12*($B$6+$B$10)*(1+$B$4)^52)&gt;0,1+$B$3,1))</f>
        <v/>
      </c>
      <c r="BD103">
        <f>IF($B$1+53&gt;90,BC103,(BC103+IF($B$1+53&lt;=$B103,12*($B$7-$B$10),-12*($B$6+$B$10)*(1+$B$4)^53))*IF(BC103+IF($B$1+53&lt;=$B103,12*($B$7-$B$10),-12*($B$6+$B$10)*(1+$B$4)^53)&gt;0,1+$B$3,1))</f>
        <v/>
      </c>
      <c r="BE103">
        <f>IF($B$1+54&gt;90,BD103,(BD103+IF($B$1+54&lt;=$B103,12*($B$7-$B$10),-12*($B$6+$B$10)*(1+$B$4)^54))*IF(BD103+IF($B$1+54&lt;=$B103,12*($B$7-$B$10),-12*($B$6+$B$10)*(1+$B$4)^54)&gt;0,1+$B$3,1))</f>
        <v/>
      </c>
      <c r="BF103">
        <f>IF($B$1+55&gt;90,BE103,(BE103+IF($B$1+55&lt;=$B103,12*($B$7-$B$10),-12*($B$6+$B$10)*(1+$B$4)^55))*IF(BE103+IF($B$1+55&lt;=$B103,12*($B$7-$B$10),-12*($B$6+$B$10)*(1+$B$4)^55)&gt;0,1+$B$3,1))</f>
        <v/>
      </c>
      <c r="BG103">
        <f>IF($B$1+56&gt;90,BF103,(BF103+IF($B$1+56&lt;=$B103,12*($B$7-$B$10),-12*($B$6+$B$10)*(1+$B$4)^56))*IF(BF103+IF($B$1+56&lt;=$B103,12*($B$7-$B$10),-12*($B$6+$B$10)*(1+$B$4)^56)&gt;0,1+$B$3,1))</f>
        <v/>
      </c>
      <c r="BH103">
        <f>IF($B$1+57&gt;90,BG103,(BG103+IF($B$1+57&lt;=$B103,12*($B$7-$B$10),-12*($B$6+$B$10)*(1+$B$4)^57))*IF(BG103+IF($B$1+57&lt;=$B103,12*($B$7-$B$10),-12*($B$6+$B$10)*(1+$B$4)^57)&gt;0,1+$B$3,1))</f>
        <v/>
      </c>
      <c r="BI103">
        <f>IF($B$1+58&gt;90,BH103,(BH103+IF($B$1+58&lt;=$B103,12*($B$7-$B$10),-12*($B$6+$B$10)*(1+$B$4)^58))*IF(BH103+IF($B$1+58&lt;=$B103,12*($B$7-$B$10),-12*($B$6+$B$10)*(1+$B$4)^58)&gt;0,1+$B$3,1))</f>
        <v/>
      </c>
      <c r="BJ103">
        <f>IF($B$1+59&gt;90,BI103,(BI103+IF($B$1+59&lt;=$B103,12*($B$7-$B$10),-12*($B$6+$B$10)*(1+$B$4)^59))*IF(BI103+IF($B$1+59&lt;=$B103,12*($B$7-$B$10),-12*($B$6+$B$10)*(1+$B$4)^59)&gt;0,1+$B$3,1))</f>
        <v/>
      </c>
      <c r="BK103">
        <f>IF($B$1+60&gt;90,BJ103,(BJ103+IF($B$1+60&lt;=$B103,12*($B$7-$B$10),-12*($B$6+$B$10)*(1+$B$4)^60))*IF(BJ103+IF($B$1+60&lt;=$B103,12*($B$7-$B$10),-12*($B$6+$B$10)*(1+$B$4)^60)&gt;0,1+$B$3,1))</f>
        <v/>
      </c>
      <c r="BL103">
        <f>IF($B$1+61&gt;90,BK103,(BK103+IF($B$1+61&lt;=$B103,12*($B$7-$B$10),-12*($B$6+$B$10)*(1+$B$4)^61))*IF(BK103+IF($B$1+61&lt;=$B103,12*($B$7-$B$10),-12*($B$6+$B$10)*(1+$B$4)^61)&gt;0,1+$B$3,1))</f>
        <v/>
      </c>
      <c r="BM103">
        <f>IF($B$1+62&gt;90,BL103,(BL103+IF($B$1+62&lt;=$B103,12*($B$7-$B$10),-12*($B$6+$B$10)*(1+$B$4)^62))*IF(BL103+IF($B$1+62&lt;=$B103,12*($B$7-$B$10),-12*($B$6+$B$10)*(1+$B$4)^62)&gt;0,1+$B$3,1))</f>
        <v/>
      </c>
      <c r="BN103">
        <f>IF($B$1+63&gt;90,BM103,(BM103+IF($B$1+63&lt;=$B103,12*($B$7-$B$10),-12*($B$6+$B$10)*(1+$B$4)^63))*IF(BM103+IF($B$1+63&lt;=$B103,12*($B$7-$B$10),-12*($B$6+$B$10)*(1+$B$4)^63)&gt;0,1+$B$3,1))</f>
        <v/>
      </c>
      <c r="BO103">
        <f>IF($B$1+64&gt;90,BN103,(BN103+IF($B$1+64&lt;=$B103,12*($B$7-$B$10),-12*($B$6+$B$10)*(1+$B$4)^64))*IF(BN103+IF($B$1+64&lt;=$B103,12*($B$7-$B$10),-12*($B$6+$B$10)*(1+$B$4)^64)&gt;0,1+$B$3,1))</f>
        <v/>
      </c>
      <c r="BP103">
        <f>IF($B$1+65&gt;90,BO103,(BO103+IF($B$1+65&lt;=$B103,12*($B$7-$B$10),-12*($B$6+$B$10)*(1+$B$4)^65))*IF(BO103+IF($B$1+65&lt;=$B103,12*($B$7-$B$10),-12*($B$6+$B$10)*(1+$B$4)^65)&gt;0,1+$B$3,1))</f>
        <v/>
      </c>
      <c r="BQ103">
        <f>IF($B$1+66&gt;90,BP103,(BP103+IF($B$1+66&lt;=$B103,12*($B$7-$B$10),-12*($B$6+$B$10)*(1+$B$4)^66))*IF(BP103+IF($B$1+66&lt;=$B103,12*($B$7-$B$10),-12*($B$6+$B$10)*(1+$B$4)^66)&gt;0,1+$B$3,1))</f>
        <v/>
      </c>
      <c r="BR103">
        <f>IF($B$1+67&gt;90,BQ103,(BQ103+IF($B$1+67&lt;=$B103,12*($B$7-$B$10),-12*($B$6+$B$10)*(1+$B$4)^67))*IF(BQ103+IF($B$1+67&lt;=$B103,12*($B$7-$B$10),-12*($B$6+$B$10)*(1+$B$4)^67)&gt;0,1+$B$3,1))</f>
        <v/>
      </c>
      <c r="BS103">
        <f>IF($B$1+68&gt;90,BR103,(BR103+IF($B$1+68&lt;=$B103,12*($B$7-$B$10),-12*($B$6+$B$10)*(1+$B$4)^68))*IF(BR103+IF($B$1+68&lt;=$B103,12*($B$7-$B$10),-12*($B$6+$B$10)*(1+$B$4)^68)&gt;0,1+$B$3,1))</f>
        <v/>
      </c>
      <c r="BT103">
        <f>IF($B$1+69&gt;90,BS103,(BS103+IF($B$1+69&lt;=$B103,12*($B$7-$B$10),-12*($B$6+$B$10)*(1+$B$4)^69))*IF(BS103+IF($B$1+69&lt;=$B103,12*($B$7-$B$10),-12*($B$6+$B$10)*(1+$B$4)^69)&gt;0,1+$B$3,1))</f>
        <v/>
      </c>
      <c r="BU103">
        <f>IF($B$1+70&gt;90,BT103,(BT103+IF($B$1+70&lt;=$B103,12*($B$7-$B$10),-12*($B$6+$B$10)*(1+$B$4)^70))*IF(BT103+IF($B$1+70&lt;=$B103,12*($B$7-$B$10),-12*($B$6+$B$10)*(1+$B$4)^70)&gt;0,1+$B$3,1))</f>
        <v/>
      </c>
      <c r="BV103">
        <f>BU103</f>
        <v/>
      </c>
      <c r="BW103">
        <f>IF(AND($B103&lt;=70,BV103&gt;0),$B103,999)</f>
        <v/>
      </c>
    </row>
    <row r="104">
      <c r="A104" t="n">
        <v>8</v>
      </c>
      <c r="B104">
        <f>$B$1+8</f>
        <v/>
      </c>
      <c r="C104">
        <f>$B$2</f>
        <v/>
      </c>
      <c r="D104">
        <f>IF($B$1+1&gt;90,C104,(C104+IF($B$1+1&lt;=$B104,12*($B$7-$B$10),-12*($B$6+$B$10)*(1+$B$4)^1))*IF(C104+IF($B$1+1&lt;=$B104,12*($B$7-$B$10),-12*($B$6+$B$10)*(1+$B$4)^1)&gt;0,1+$B$3,1))</f>
        <v/>
      </c>
      <c r="E104">
        <f>IF($B$1+2&gt;90,D104,(D104+IF($B$1+2&lt;=$B104,12*($B$7-$B$10),-12*($B$6+$B$10)*(1+$B$4)^2))*IF(D104+IF($B$1+2&lt;=$B104,12*($B$7-$B$10),-12*($B$6+$B$10)*(1+$B$4)^2)&gt;0,1+$B$3,1))</f>
        <v/>
      </c>
      <c r="F104">
        <f>IF($B$1+3&gt;90,E104,(E104+IF($B$1+3&lt;=$B104,12*($B$7-$B$10),-12*($B$6+$B$10)*(1+$B$4)^3))*IF(E104+IF($B$1+3&lt;=$B104,12*($B$7-$B$10),-12*($B$6+$B$10)*(1+$B$4)^3)&gt;0,1+$B$3,1))</f>
        <v/>
      </c>
      <c r="G104">
        <f>IF($B$1+4&gt;90,F104,(F104+IF($B$1+4&lt;=$B104,12*($B$7-$B$10),-12*($B$6+$B$10)*(1+$B$4)^4))*IF(F104+IF($B$1+4&lt;=$B104,12*($B$7-$B$10),-12*($B$6+$B$10)*(1+$B$4)^4)&gt;0,1+$B$3,1))</f>
        <v/>
      </c>
      <c r="H104">
        <f>IF($B$1+5&gt;90,G104,(G104+IF($B$1+5&lt;=$B104,12*($B$7-$B$10),-12*($B$6+$B$10)*(1+$B$4)^5))*IF(G104+IF($B$1+5&lt;=$B104,12*($B$7-$B$10),-12*($B$6+$B$10)*(1+$B$4)^5)&gt;0,1+$B$3,1))</f>
        <v/>
      </c>
      <c r="I104">
        <f>IF($B$1+6&gt;90,H104,(H104+IF($B$1+6&lt;=$B104,12*($B$7-$B$10),-12*($B$6+$B$10)*(1+$B$4)^6))*IF(H104+IF($B$1+6&lt;=$B104,12*($B$7-$B$10),-12*($B$6+$B$10)*(1+$B$4)^6)&gt;0,1+$B$3,1))</f>
        <v/>
      </c>
      <c r="J104">
        <f>IF($B$1+7&gt;90,I104,(I104+IF($B$1+7&lt;=$B104,12*($B$7-$B$10),-12*($B$6+$B$10)*(1+$B$4)^7))*IF(I104+IF($B$1+7&lt;=$B104,12*($B$7-$B$10),-12*($B$6+$B$10)*(1+$B$4)^7)&gt;0,1+$B$3,1))</f>
        <v/>
      </c>
      <c r="K104">
        <f>IF($B$1+8&gt;90,J104,(J104+IF($B$1+8&lt;=$B104,12*($B$7-$B$10),-12*($B$6+$B$10)*(1+$B$4)^8))*IF(J104+IF($B$1+8&lt;=$B104,12*($B$7-$B$10),-12*($B$6+$B$10)*(1+$B$4)^8)&gt;0,1+$B$3,1))</f>
        <v/>
      </c>
      <c r="L104">
        <f>IF($B$1+9&gt;90,K104,(K104+IF($B$1+9&lt;=$B104,12*($B$7-$B$10),-12*($B$6+$B$10)*(1+$B$4)^9))*IF(K104+IF($B$1+9&lt;=$B104,12*($B$7-$B$10),-12*($B$6+$B$10)*(1+$B$4)^9)&gt;0,1+$B$3,1))</f>
        <v/>
      </c>
      <c r="M104">
        <f>IF($B$1+10&gt;90,L104,(L104+IF($B$1+10&lt;=$B104,12*($B$7-$B$10),-12*($B$6+$B$10)*(1+$B$4)^10))*IF(L104+IF($B$1+10&lt;=$B104,12*($B$7-$B$10),-12*($B$6+$B$10)*(1+$B$4)^10)&gt;0,1+$B$3,1))</f>
        <v/>
      </c>
      <c r="N104">
        <f>IF($B$1+11&gt;90,M104,(M104+IF($B$1+11&lt;=$B104,12*($B$7-$B$10),-12*($B$6+$B$10)*(1+$B$4)^11))*IF(M104+IF($B$1+11&lt;=$B104,12*($B$7-$B$10),-12*($B$6+$B$10)*(1+$B$4)^11)&gt;0,1+$B$3,1))</f>
        <v/>
      </c>
      <c r="O104">
        <f>IF($B$1+12&gt;90,N104,(N104+IF($B$1+12&lt;=$B104,12*($B$7-$B$10),-12*($B$6+$B$10)*(1+$B$4)^12))*IF(N104+IF($B$1+12&lt;=$B104,12*($B$7-$B$10),-12*($B$6+$B$10)*(1+$B$4)^12)&gt;0,1+$B$3,1))</f>
        <v/>
      </c>
      <c r="P104">
        <f>IF($B$1+13&gt;90,O104,(O104+IF($B$1+13&lt;=$B104,12*($B$7-$B$10),-12*($B$6+$B$10)*(1+$B$4)^13))*IF(O104+IF($B$1+13&lt;=$B104,12*($B$7-$B$10),-12*($B$6+$B$10)*(1+$B$4)^13)&gt;0,1+$B$3,1))</f>
        <v/>
      </c>
      <c r="Q104">
        <f>IF($B$1+14&gt;90,P104,(P104+IF($B$1+14&lt;=$B104,12*($B$7-$B$10),-12*($B$6+$B$10)*(1+$B$4)^14))*IF(P104+IF($B$1+14&lt;=$B104,12*($B$7-$B$10),-12*($B$6+$B$10)*(1+$B$4)^14)&gt;0,1+$B$3,1))</f>
        <v/>
      </c>
      <c r="R104">
        <f>IF($B$1+15&gt;90,Q104,(Q104+IF($B$1+15&lt;=$B104,12*($B$7-$B$10),-12*($B$6+$B$10)*(1+$B$4)^15))*IF(Q104+IF($B$1+15&lt;=$B104,12*($B$7-$B$10),-12*($B$6+$B$10)*(1+$B$4)^15)&gt;0,1+$B$3,1))</f>
        <v/>
      </c>
      <c r="S104">
        <f>IF($B$1+16&gt;90,R104,(R104+IF($B$1+16&lt;=$B104,12*($B$7-$B$10),-12*($B$6+$B$10)*(1+$B$4)^16))*IF(R104+IF($B$1+16&lt;=$B104,12*($B$7-$B$10),-12*($B$6+$B$10)*(1+$B$4)^16)&gt;0,1+$B$3,1))</f>
        <v/>
      </c>
      <c r="T104">
        <f>IF($B$1+17&gt;90,S104,(S104+IF($B$1+17&lt;=$B104,12*($B$7-$B$10),-12*($B$6+$B$10)*(1+$B$4)^17))*IF(S104+IF($B$1+17&lt;=$B104,12*($B$7-$B$10),-12*($B$6+$B$10)*(1+$B$4)^17)&gt;0,1+$B$3,1))</f>
        <v/>
      </c>
      <c r="U104">
        <f>IF($B$1+18&gt;90,T104,(T104+IF($B$1+18&lt;=$B104,12*($B$7-$B$10),-12*($B$6+$B$10)*(1+$B$4)^18))*IF(T104+IF($B$1+18&lt;=$B104,12*($B$7-$B$10),-12*($B$6+$B$10)*(1+$B$4)^18)&gt;0,1+$B$3,1))</f>
        <v/>
      </c>
      <c r="V104">
        <f>IF($B$1+19&gt;90,U104,(U104+IF($B$1+19&lt;=$B104,12*($B$7-$B$10),-12*($B$6+$B$10)*(1+$B$4)^19))*IF(U104+IF($B$1+19&lt;=$B104,12*($B$7-$B$10),-12*($B$6+$B$10)*(1+$B$4)^19)&gt;0,1+$B$3,1))</f>
        <v/>
      </c>
      <c r="W104">
        <f>IF($B$1+20&gt;90,V104,(V104+IF($B$1+20&lt;=$B104,12*($B$7-$B$10),-12*($B$6+$B$10)*(1+$B$4)^20))*IF(V104+IF($B$1+20&lt;=$B104,12*($B$7-$B$10),-12*($B$6+$B$10)*(1+$B$4)^20)&gt;0,1+$B$3,1))</f>
        <v/>
      </c>
      <c r="X104">
        <f>IF($B$1+21&gt;90,W104,(W104+IF($B$1+21&lt;=$B104,12*($B$7-$B$10),-12*($B$6+$B$10)*(1+$B$4)^21))*IF(W104+IF($B$1+21&lt;=$B104,12*($B$7-$B$10),-12*($B$6+$B$10)*(1+$B$4)^21)&gt;0,1+$B$3,1))</f>
        <v/>
      </c>
      <c r="Y104">
        <f>IF($B$1+22&gt;90,X104,(X104+IF($B$1+22&lt;=$B104,12*($B$7-$B$10),-12*($B$6+$B$10)*(1+$B$4)^22))*IF(X104+IF($B$1+22&lt;=$B104,12*($B$7-$B$10),-12*($B$6+$B$10)*(1+$B$4)^22)&gt;0,1+$B$3,1))</f>
        <v/>
      </c>
      <c r="Z104">
        <f>IF($B$1+23&gt;90,Y104,(Y104+IF($B$1+23&lt;=$B104,12*($B$7-$B$10),-12*($B$6+$B$10)*(1+$B$4)^23))*IF(Y104+IF($B$1+23&lt;=$B104,12*($B$7-$B$10),-12*($B$6+$B$10)*(1+$B$4)^23)&gt;0,1+$B$3,1))</f>
        <v/>
      </c>
      <c r="AA104">
        <f>IF($B$1+24&gt;90,Z104,(Z104+IF($B$1+24&lt;=$B104,12*($B$7-$B$10),-12*($B$6+$B$10)*(1+$B$4)^24))*IF(Z104+IF($B$1+24&lt;=$B104,12*($B$7-$B$10),-12*($B$6+$B$10)*(1+$B$4)^24)&gt;0,1+$B$3,1))</f>
        <v/>
      </c>
      <c r="AB104">
        <f>IF($B$1+25&gt;90,AA104,(AA104+IF($B$1+25&lt;=$B104,12*($B$7-$B$10),-12*($B$6+$B$10)*(1+$B$4)^25))*IF(AA104+IF($B$1+25&lt;=$B104,12*($B$7-$B$10),-12*($B$6+$B$10)*(1+$B$4)^25)&gt;0,1+$B$3,1))</f>
        <v/>
      </c>
      <c r="AC104">
        <f>IF($B$1+26&gt;90,AB104,(AB104+IF($B$1+26&lt;=$B104,12*($B$7-$B$10),-12*($B$6+$B$10)*(1+$B$4)^26))*IF(AB104+IF($B$1+26&lt;=$B104,12*($B$7-$B$10),-12*($B$6+$B$10)*(1+$B$4)^26)&gt;0,1+$B$3,1))</f>
        <v/>
      </c>
      <c r="AD104">
        <f>IF($B$1+27&gt;90,AC104,(AC104+IF($B$1+27&lt;=$B104,12*($B$7-$B$10),-12*($B$6+$B$10)*(1+$B$4)^27))*IF(AC104+IF($B$1+27&lt;=$B104,12*($B$7-$B$10),-12*($B$6+$B$10)*(1+$B$4)^27)&gt;0,1+$B$3,1))</f>
        <v/>
      </c>
      <c r="AE104">
        <f>IF($B$1+28&gt;90,AD104,(AD104+IF($B$1+28&lt;=$B104,12*($B$7-$B$10),-12*($B$6+$B$10)*(1+$B$4)^28))*IF(AD104+IF($B$1+28&lt;=$B104,12*($B$7-$B$10),-12*($B$6+$B$10)*(1+$B$4)^28)&gt;0,1+$B$3,1))</f>
        <v/>
      </c>
      <c r="AF104">
        <f>IF($B$1+29&gt;90,AE104,(AE104+IF($B$1+29&lt;=$B104,12*($B$7-$B$10),-12*($B$6+$B$10)*(1+$B$4)^29))*IF(AE104+IF($B$1+29&lt;=$B104,12*($B$7-$B$10),-12*($B$6+$B$10)*(1+$B$4)^29)&gt;0,1+$B$3,1))</f>
        <v/>
      </c>
      <c r="AG104">
        <f>IF($B$1+30&gt;90,AF104,(AF104+IF($B$1+30&lt;=$B104,12*($B$7-$B$10),-12*($B$6+$B$10)*(1+$B$4)^30))*IF(AF104+IF($B$1+30&lt;=$B104,12*($B$7-$B$10),-12*($B$6+$B$10)*(1+$B$4)^30)&gt;0,1+$B$3,1))</f>
        <v/>
      </c>
      <c r="AH104">
        <f>IF($B$1+31&gt;90,AG104,(AG104+IF($B$1+31&lt;=$B104,12*($B$7-$B$10),-12*($B$6+$B$10)*(1+$B$4)^31))*IF(AG104+IF($B$1+31&lt;=$B104,12*($B$7-$B$10),-12*($B$6+$B$10)*(1+$B$4)^31)&gt;0,1+$B$3,1))</f>
        <v/>
      </c>
      <c r="AI104">
        <f>IF($B$1+32&gt;90,AH104,(AH104+IF($B$1+32&lt;=$B104,12*($B$7-$B$10),-12*($B$6+$B$10)*(1+$B$4)^32))*IF(AH104+IF($B$1+32&lt;=$B104,12*($B$7-$B$10),-12*($B$6+$B$10)*(1+$B$4)^32)&gt;0,1+$B$3,1))</f>
        <v/>
      </c>
      <c r="AJ104">
        <f>IF($B$1+33&gt;90,AI104,(AI104+IF($B$1+33&lt;=$B104,12*($B$7-$B$10),-12*($B$6+$B$10)*(1+$B$4)^33))*IF(AI104+IF($B$1+33&lt;=$B104,12*($B$7-$B$10),-12*($B$6+$B$10)*(1+$B$4)^33)&gt;0,1+$B$3,1))</f>
        <v/>
      </c>
      <c r="AK104">
        <f>IF($B$1+34&gt;90,AJ104,(AJ104+IF($B$1+34&lt;=$B104,12*($B$7-$B$10),-12*($B$6+$B$10)*(1+$B$4)^34))*IF(AJ104+IF($B$1+34&lt;=$B104,12*($B$7-$B$10),-12*($B$6+$B$10)*(1+$B$4)^34)&gt;0,1+$B$3,1))</f>
        <v/>
      </c>
      <c r="AL104">
        <f>IF($B$1+35&gt;90,AK104,(AK104+IF($B$1+35&lt;=$B104,12*($B$7-$B$10),-12*($B$6+$B$10)*(1+$B$4)^35))*IF(AK104+IF($B$1+35&lt;=$B104,12*($B$7-$B$10),-12*($B$6+$B$10)*(1+$B$4)^35)&gt;0,1+$B$3,1))</f>
        <v/>
      </c>
      <c r="AM104">
        <f>IF($B$1+36&gt;90,AL104,(AL104+IF($B$1+36&lt;=$B104,12*($B$7-$B$10),-12*($B$6+$B$10)*(1+$B$4)^36))*IF(AL104+IF($B$1+36&lt;=$B104,12*($B$7-$B$10),-12*($B$6+$B$10)*(1+$B$4)^36)&gt;0,1+$B$3,1))</f>
        <v/>
      </c>
      <c r="AN104">
        <f>IF($B$1+37&gt;90,AM104,(AM104+IF($B$1+37&lt;=$B104,12*($B$7-$B$10),-12*($B$6+$B$10)*(1+$B$4)^37))*IF(AM104+IF($B$1+37&lt;=$B104,12*($B$7-$B$10),-12*($B$6+$B$10)*(1+$B$4)^37)&gt;0,1+$B$3,1))</f>
        <v/>
      </c>
      <c r="AO104">
        <f>IF($B$1+38&gt;90,AN104,(AN104+IF($B$1+38&lt;=$B104,12*($B$7-$B$10),-12*($B$6+$B$10)*(1+$B$4)^38))*IF(AN104+IF($B$1+38&lt;=$B104,12*($B$7-$B$10),-12*($B$6+$B$10)*(1+$B$4)^38)&gt;0,1+$B$3,1))</f>
        <v/>
      </c>
      <c r="AP104">
        <f>IF($B$1+39&gt;90,AO104,(AO104+IF($B$1+39&lt;=$B104,12*($B$7-$B$10),-12*($B$6+$B$10)*(1+$B$4)^39))*IF(AO104+IF($B$1+39&lt;=$B104,12*($B$7-$B$10),-12*($B$6+$B$10)*(1+$B$4)^39)&gt;0,1+$B$3,1))</f>
        <v/>
      </c>
      <c r="AQ104">
        <f>IF($B$1+40&gt;90,AP104,(AP104+IF($B$1+40&lt;=$B104,12*($B$7-$B$10),-12*($B$6+$B$10)*(1+$B$4)^40))*IF(AP104+IF($B$1+40&lt;=$B104,12*($B$7-$B$10),-12*($B$6+$B$10)*(1+$B$4)^40)&gt;0,1+$B$3,1))</f>
        <v/>
      </c>
      <c r="AR104">
        <f>IF($B$1+41&gt;90,AQ104,(AQ104+IF($B$1+41&lt;=$B104,12*($B$7-$B$10),-12*($B$6+$B$10)*(1+$B$4)^41))*IF(AQ104+IF($B$1+41&lt;=$B104,12*($B$7-$B$10),-12*($B$6+$B$10)*(1+$B$4)^41)&gt;0,1+$B$3,1))</f>
        <v/>
      </c>
      <c r="AS104">
        <f>IF($B$1+42&gt;90,AR104,(AR104+IF($B$1+42&lt;=$B104,12*($B$7-$B$10),-12*($B$6+$B$10)*(1+$B$4)^42))*IF(AR104+IF($B$1+42&lt;=$B104,12*($B$7-$B$10),-12*($B$6+$B$10)*(1+$B$4)^42)&gt;0,1+$B$3,1))</f>
        <v/>
      </c>
      <c r="AT104">
        <f>IF($B$1+43&gt;90,AS104,(AS104+IF($B$1+43&lt;=$B104,12*($B$7-$B$10),-12*($B$6+$B$10)*(1+$B$4)^43))*IF(AS104+IF($B$1+43&lt;=$B104,12*($B$7-$B$10),-12*($B$6+$B$10)*(1+$B$4)^43)&gt;0,1+$B$3,1))</f>
        <v/>
      </c>
      <c r="AU104">
        <f>IF($B$1+44&gt;90,AT104,(AT104+IF($B$1+44&lt;=$B104,12*($B$7-$B$10),-12*($B$6+$B$10)*(1+$B$4)^44))*IF(AT104+IF($B$1+44&lt;=$B104,12*($B$7-$B$10),-12*($B$6+$B$10)*(1+$B$4)^44)&gt;0,1+$B$3,1))</f>
        <v/>
      </c>
      <c r="AV104">
        <f>IF($B$1+45&gt;90,AU104,(AU104+IF($B$1+45&lt;=$B104,12*($B$7-$B$10),-12*($B$6+$B$10)*(1+$B$4)^45))*IF(AU104+IF($B$1+45&lt;=$B104,12*($B$7-$B$10),-12*($B$6+$B$10)*(1+$B$4)^45)&gt;0,1+$B$3,1))</f>
        <v/>
      </c>
      <c r="AW104">
        <f>IF($B$1+46&gt;90,AV104,(AV104+IF($B$1+46&lt;=$B104,12*($B$7-$B$10),-12*($B$6+$B$10)*(1+$B$4)^46))*IF(AV104+IF($B$1+46&lt;=$B104,12*($B$7-$B$10),-12*($B$6+$B$10)*(1+$B$4)^46)&gt;0,1+$B$3,1))</f>
        <v/>
      </c>
      <c r="AX104">
        <f>IF($B$1+47&gt;90,AW104,(AW104+IF($B$1+47&lt;=$B104,12*($B$7-$B$10),-12*($B$6+$B$10)*(1+$B$4)^47))*IF(AW104+IF($B$1+47&lt;=$B104,12*($B$7-$B$10),-12*($B$6+$B$10)*(1+$B$4)^47)&gt;0,1+$B$3,1))</f>
        <v/>
      </c>
      <c r="AY104">
        <f>IF($B$1+48&gt;90,AX104,(AX104+IF($B$1+48&lt;=$B104,12*($B$7-$B$10),-12*($B$6+$B$10)*(1+$B$4)^48))*IF(AX104+IF($B$1+48&lt;=$B104,12*($B$7-$B$10),-12*($B$6+$B$10)*(1+$B$4)^48)&gt;0,1+$B$3,1))</f>
        <v/>
      </c>
      <c r="AZ104">
        <f>IF($B$1+49&gt;90,AY104,(AY104+IF($B$1+49&lt;=$B104,12*($B$7-$B$10),-12*($B$6+$B$10)*(1+$B$4)^49))*IF(AY104+IF($B$1+49&lt;=$B104,12*($B$7-$B$10),-12*($B$6+$B$10)*(1+$B$4)^49)&gt;0,1+$B$3,1))</f>
        <v/>
      </c>
      <c r="BA104">
        <f>IF($B$1+50&gt;90,AZ104,(AZ104+IF($B$1+50&lt;=$B104,12*($B$7-$B$10),-12*($B$6+$B$10)*(1+$B$4)^50))*IF(AZ104+IF($B$1+50&lt;=$B104,12*($B$7-$B$10),-12*($B$6+$B$10)*(1+$B$4)^50)&gt;0,1+$B$3,1))</f>
        <v/>
      </c>
      <c r="BB104">
        <f>IF($B$1+51&gt;90,BA104,(BA104+IF($B$1+51&lt;=$B104,12*($B$7-$B$10),-12*($B$6+$B$10)*(1+$B$4)^51))*IF(BA104+IF($B$1+51&lt;=$B104,12*($B$7-$B$10),-12*($B$6+$B$10)*(1+$B$4)^51)&gt;0,1+$B$3,1))</f>
        <v/>
      </c>
      <c r="BC104">
        <f>IF($B$1+52&gt;90,BB104,(BB104+IF($B$1+52&lt;=$B104,12*($B$7-$B$10),-12*($B$6+$B$10)*(1+$B$4)^52))*IF(BB104+IF($B$1+52&lt;=$B104,12*($B$7-$B$10),-12*($B$6+$B$10)*(1+$B$4)^52)&gt;0,1+$B$3,1))</f>
        <v/>
      </c>
      <c r="BD104">
        <f>IF($B$1+53&gt;90,BC104,(BC104+IF($B$1+53&lt;=$B104,12*($B$7-$B$10),-12*($B$6+$B$10)*(1+$B$4)^53))*IF(BC104+IF($B$1+53&lt;=$B104,12*($B$7-$B$10),-12*($B$6+$B$10)*(1+$B$4)^53)&gt;0,1+$B$3,1))</f>
        <v/>
      </c>
      <c r="BE104">
        <f>IF($B$1+54&gt;90,BD104,(BD104+IF($B$1+54&lt;=$B104,12*($B$7-$B$10),-12*($B$6+$B$10)*(1+$B$4)^54))*IF(BD104+IF($B$1+54&lt;=$B104,12*($B$7-$B$10),-12*($B$6+$B$10)*(1+$B$4)^54)&gt;0,1+$B$3,1))</f>
        <v/>
      </c>
      <c r="BF104">
        <f>IF($B$1+55&gt;90,BE104,(BE104+IF($B$1+55&lt;=$B104,12*($B$7-$B$10),-12*($B$6+$B$10)*(1+$B$4)^55))*IF(BE104+IF($B$1+55&lt;=$B104,12*($B$7-$B$10),-12*($B$6+$B$10)*(1+$B$4)^55)&gt;0,1+$B$3,1))</f>
        <v/>
      </c>
      <c r="BG104">
        <f>IF($B$1+56&gt;90,BF104,(BF104+IF($B$1+56&lt;=$B104,12*($B$7-$B$10),-12*($B$6+$B$10)*(1+$B$4)^56))*IF(BF104+IF($B$1+56&lt;=$B104,12*($B$7-$B$10),-12*($B$6+$B$10)*(1+$B$4)^56)&gt;0,1+$B$3,1))</f>
        <v/>
      </c>
      <c r="BH104">
        <f>IF($B$1+57&gt;90,BG104,(BG104+IF($B$1+57&lt;=$B104,12*($B$7-$B$10),-12*($B$6+$B$10)*(1+$B$4)^57))*IF(BG104+IF($B$1+57&lt;=$B104,12*($B$7-$B$10),-12*($B$6+$B$10)*(1+$B$4)^57)&gt;0,1+$B$3,1))</f>
        <v/>
      </c>
      <c r="BI104">
        <f>IF($B$1+58&gt;90,BH104,(BH104+IF($B$1+58&lt;=$B104,12*($B$7-$B$10),-12*($B$6+$B$10)*(1+$B$4)^58))*IF(BH104+IF($B$1+58&lt;=$B104,12*($B$7-$B$10),-12*($B$6+$B$10)*(1+$B$4)^58)&gt;0,1+$B$3,1))</f>
        <v/>
      </c>
      <c r="BJ104">
        <f>IF($B$1+59&gt;90,BI104,(BI104+IF($B$1+59&lt;=$B104,12*($B$7-$B$10),-12*($B$6+$B$10)*(1+$B$4)^59))*IF(BI104+IF($B$1+59&lt;=$B104,12*($B$7-$B$10),-12*($B$6+$B$10)*(1+$B$4)^59)&gt;0,1+$B$3,1))</f>
        <v/>
      </c>
      <c r="BK104">
        <f>IF($B$1+60&gt;90,BJ104,(BJ104+IF($B$1+60&lt;=$B104,12*($B$7-$B$10),-12*($B$6+$B$10)*(1+$B$4)^60))*IF(BJ104+IF($B$1+60&lt;=$B104,12*($B$7-$B$10),-12*($B$6+$B$10)*(1+$B$4)^60)&gt;0,1+$B$3,1))</f>
        <v/>
      </c>
      <c r="BL104">
        <f>IF($B$1+61&gt;90,BK104,(BK104+IF($B$1+61&lt;=$B104,12*($B$7-$B$10),-12*($B$6+$B$10)*(1+$B$4)^61))*IF(BK104+IF($B$1+61&lt;=$B104,12*($B$7-$B$10),-12*($B$6+$B$10)*(1+$B$4)^61)&gt;0,1+$B$3,1))</f>
        <v/>
      </c>
      <c r="BM104">
        <f>IF($B$1+62&gt;90,BL104,(BL104+IF($B$1+62&lt;=$B104,12*($B$7-$B$10),-12*($B$6+$B$10)*(1+$B$4)^62))*IF(BL104+IF($B$1+62&lt;=$B104,12*($B$7-$B$10),-12*($B$6+$B$10)*(1+$B$4)^62)&gt;0,1+$B$3,1))</f>
        <v/>
      </c>
      <c r="BN104">
        <f>IF($B$1+63&gt;90,BM104,(BM104+IF($B$1+63&lt;=$B104,12*($B$7-$B$10),-12*($B$6+$B$10)*(1+$B$4)^63))*IF(BM104+IF($B$1+63&lt;=$B104,12*($B$7-$B$10),-12*($B$6+$B$10)*(1+$B$4)^63)&gt;0,1+$B$3,1))</f>
        <v/>
      </c>
      <c r="BO104">
        <f>IF($B$1+64&gt;90,BN104,(BN104+IF($B$1+64&lt;=$B104,12*($B$7-$B$10),-12*($B$6+$B$10)*(1+$B$4)^64))*IF(BN104+IF($B$1+64&lt;=$B104,12*($B$7-$B$10),-12*($B$6+$B$10)*(1+$B$4)^64)&gt;0,1+$B$3,1))</f>
        <v/>
      </c>
      <c r="BP104">
        <f>IF($B$1+65&gt;90,BO104,(BO104+IF($B$1+65&lt;=$B104,12*($B$7-$B$10),-12*($B$6+$B$10)*(1+$B$4)^65))*IF(BO104+IF($B$1+65&lt;=$B104,12*($B$7-$B$10),-12*($B$6+$B$10)*(1+$B$4)^65)&gt;0,1+$B$3,1))</f>
        <v/>
      </c>
      <c r="BQ104">
        <f>IF($B$1+66&gt;90,BP104,(BP104+IF($B$1+66&lt;=$B104,12*($B$7-$B$10),-12*($B$6+$B$10)*(1+$B$4)^66))*IF(BP104+IF($B$1+66&lt;=$B104,12*($B$7-$B$10),-12*($B$6+$B$10)*(1+$B$4)^66)&gt;0,1+$B$3,1))</f>
        <v/>
      </c>
      <c r="BR104">
        <f>IF($B$1+67&gt;90,BQ104,(BQ104+IF($B$1+67&lt;=$B104,12*($B$7-$B$10),-12*($B$6+$B$10)*(1+$B$4)^67))*IF(BQ104+IF($B$1+67&lt;=$B104,12*($B$7-$B$10),-12*($B$6+$B$10)*(1+$B$4)^67)&gt;0,1+$B$3,1))</f>
        <v/>
      </c>
      <c r="BS104">
        <f>IF($B$1+68&gt;90,BR104,(BR104+IF($B$1+68&lt;=$B104,12*($B$7-$B$10),-12*($B$6+$B$10)*(1+$B$4)^68))*IF(BR104+IF($B$1+68&lt;=$B104,12*($B$7-$B$10),-12*($B$6+$B$10)*(1+$B$4)^68)&gt;0,1+$B$3,1))</f>
        <v/>
      </c>
      <c r="BT104">
        <f>IF($B$1+69&gt;90,BS104,(BS104+IF($B$1+69&lt;=$B104,12*($B$7-$B$10),-12*($B$6+$B$10)*(1+$B$4)^69))*IF(BS104+IF($B$1+69&lt;=$B104,12*($B$7-$B$10),-12*($B$6+$B$10)*(1+$B$4)^69)&gt;0,1+$B$3,1))</f>
        <v/>
      </c>
      <c r="BU104">
        <f>IF($B$1+70&gt;90,BT104,(BT104+IF($B$1+70&lt;=$B104,12*($B$7-$B$10),-12*($B$6+$B$10)*(1+$B$4)^70))*IF(BT104+IF($B$1+70&lt;=$B104,12*($B$7-$B$10),-12*($B$6+$B$10)*(1+$B$4)^70)&gt;0,1+$B$3,1))</f>
        <v/>
      </c>
      <c r="BV104">
        <f>BU104</f>
        <v/>
      </c>
      <c r="BW104">
        <f>IF(AND($B104&lt;=70,BV104&gt;0),$B104,999)</f>
        <v/>
      </c>
    </row>
    <row r="105">
      <c r="A105" t="n">
        <v>9</v>
      </c>
      <c r="B105">
        <f>$B$1+9</f>
        <v/>
      </c>
      <c r="C105">
        <f>$B$2</f>
        <v/>
      </c>
      <c r="D105">
        <f>IF($B$1+1&gt;90,C105,(C105+IF($B$1+1&lt;=$B105,12*($B$7-$B$10),-12*($B$6+$B$10)*(1+$B$4)^1))*IF(C105+IF($B$1+1&lt;=$B105,12*($B$7-$B$10),-12*($B$6+$B$10)*(1+$B$4)^1)&gt;0,1+$B$3,1))</f>
        <v/>
      </c>
      <c r="E105">
        <f>IF($B$1+2&gt;90,D105,(D105+IF($B$1+2&lt;=$B105,12*($B$7-$B$10),-12*($B$6+$B$10)*(1+$B$4)^2))*IF(D105+IF($B$1+2&lt;=$B105,12*($B$7-$B$10),-12*($B$6+$B$10)*(1+$B$4)^2)&gt;0,1+$B$3,1))</f>
        <v/>
      </c>
      <c r="F105">
        <f>IF($B$1+3&gt;90,E105,(E105+IF($B$1+3&lt;=$B105,12*($B$7-$B$10),-12*($B$6+$B$10)*(1+$B$4)^3))*IF(E105+IF($B$1+3&lt;=$B105,12*($B$7-$B$10),-12*($B$6+$B$10)*(1+$B$4)^3)&gt;0,1+$B$3,1))</f>
        <v/>
      </c>
      <c r="G105">
        <f>IF($B$1+4&gt;90,F105,(F105+IF($B$1+4&lt;=$B105,12*($B$7-$B$10),-12*($B$6+$B$10)*(1+$B$4)^4))*IF(F105+IF($B$1+4&lt;=$B105,12*($B$7-$B$10),-12*($B$6+$B$10)*(1+$B$4)^4)&gt;0,1+$B$3,1))</f>
        <v/>
      </c>
      <c r="H105">
        <f>IF($B$1+5&gt;90,G105,(G105+IF($B$1+5&lt;=$B105,12*($B$7-$B$10),-12*($B$6+$B$10)*(1+$B$4)^5))*IF(G105+IF($B$1+5&lt;=$B105,12*($B$7-$B$10),-12*($B$6+$B$10)*(1+$B$4)^5)&gt;0,1+$B$3,1))</f>
        <v/>
      </c>
      <c r="I105">
        <f>IF($B$1+6&gt;90,H105,(H105+IF($B$1+6&lt;=$B105,12*($B$7-$B$10),-12*($B$6+$B$10)*(1+$B$4)^6))*IF(H105+IF($B$1+6&lt;=$B105,12*($B$7-$B$10),-12*($B$6+$B$10)*(1+$B$4)^6)&gt;0,1+$B$3,1))</f>
        <v/>
      </c>
      <c r="J105">
        <f>IF($B$1+7&gt;90,I105,(I105+IF($B$1+7&lt;=$B105,12*($B$7-$B$10),-12*($B$6+$B$10)*(1+$B$4)^7))*IF(I105+IF($B$1+7&lt;=$B105,12*($B$7-$B$10),-12*($B$6+$B$10)*(1+$B$4)^7)&gt;0,1+$B$3,1))</f>
        <v/>
      </c>
      <c r="K105">
        <f>IF($B$1+8&gt;90,J105,(J105+IF($B$1+8&lt;=$B105,12*($B$7-$B$10),-12*($B$6+$B$10)*(1+$B$4)^8))*IF(J105+IF($B$1+8&lt;=$B105,12*($B$7-$B$10),-12*($B$6+$B$10)*(1+$B$4)^8)&gt;0,1+$B$3,1))</f>
        <v/>
      </c>
      <c r="L105">
        <f>IF($B$1+9&gt;90,K105,(K105+IF($B$1+9&lt;=$B105,12*($B$7-$B$10),-12*($B$6+$B$10)*(1+$B$4)^9))*IF(K105+IF($B$1+9&lt;=$B105,12*($B$7-$B$10),-12*($B$6+$B$10)*(1+$B$4)^9)&gt;0,1+$B$3,1))</f>
        <v/>
      </c>
      <c r="M105">
        <f>IF($B$1+10&gt;90,L105,(L105+IF($B$1+10&lt;=$B105,12*($B$7-$B$10),-12*($B$6+$B$10)*(1+$B$4)^10))*IF(L105+IF($B$1+10&lt;=$B105,12*($B$7-$B$10),-12*($B$6+$B$10)*(1+$B$4)^10)&gt;0,1+$B$3,1))</f>
        <v/>
      </c>
      <c r="N105">
        <f>IF($B$1+11&gt;90,M105,(M105+IF($B$1+11&lt;=$B105,12*($B$7-$B$10),-12*($B$6+$B$10)*(1+$B$4)^11))*IF(M105+IF($B$1+11&lt;=$B105,12*($B$7-$B$10),-12*($B$6+$B$10)*(1+$B$4)^11)&gt;0,1+$B$3,1))</f>
        <v/>
      </c>
      <c r="O105">
        <f>IF($B$1+12&gt;90,N105,(N105+IF($B$1+12&lt;=$B105,12*($B$7-$B$10),-12*($B$6+$B$10)*(1+$B$4)^12))*IF(N105+IF($B$1+12&lt;=$B105,12*($B$7-$B$10),-12*($B$6+$B$10)*(1+$B$4)^12)&gt;0,1+$B$3,1))</f>
        <v/>
      </c>
      <c r="P105">
        <f>IF($B$1+13&gt;90,O105,(O105+IF($B$1+13&lt;=$B105,12*($B$7-$B$10),-12*($B$6+$B$10)*(1+$B$4)^13))*IF(O105+IF($B$1+13&lt;=$B105,12*($B$7-$B$10),-12*($B$6+$B$10)*(1+$B$4)^13)&gt;0,1+$B$3,1))</f>
        <v/>
      </c>
      <c r="Q105">
        <f>IF($B$1+14&gt;90,P105,(P105+IF($B$1+14&lt;=$B105,12*($B$7-$B$10),-12*($B$6+$B$10)*(1+$B$4)^14))*IF(P105+IF($B$1+14&lt;=$B105,12*($B$7-$B$10),-12*($B$6+$B$10)*(1+$B$4)^14)&gt;0,1+$B$3,1))</f>
        <v/>
      </c>
      <c r="R105">
        <f>IF($B$1+15&gt;90,Q105,(Q105+IF($B$1+15&lt;=$B105,12*($B$7-$B$10),-12*($B$6+$B$10)*(1+$B$4)^15))*IF(Q105+IF($B$1+15&lt;=$B105,12*($B$7-$B$10),-12*($B$6+$B$10)*(1+$B$4)^15)&gt;0,1+$B$3,1))</f>
        <v/>
      </c>
      <c r="S105">
        <f>IF($B$1+16&gt;90,R105,(R105+IF($B$1+16&lt;=$B105,12*($B$7-$B$10),-12*($B$6+$B$10)*(1+$B$4)^16))*IF(R105+IF($B$1+16&lt;=$B105,12*($B$7-$B$10),-12*($B$6+$B$10)*(1+$B$4)^16)&gt;0,1+$B$3,1))</f>
        <v/>
      </c>
      <c r="T105">
        <f>IF($B$1+17&gt;90,S105,(S105+IF($B$1+17&lt;=$B105,12*($B$7-$B$10),-12*($B$6+$B$10)*(1+$B$4)^17))*IF(S105+IF($B$1+17&lt;=$B105,12*($B$7-$B$10),-12*($B$6+$B$10)*(1+$B$4)^17)&gt;0,1+$B$3,1))</f>
        <v/>
      </c>
      <c r="U105">
        <f>IF($B$1+18&gt;90,T105,(T105+IF($B$1+18&lt;=$B105,12*($B$7-$B$10),-12*($B$6+$B$10)*(1+$B$4)^18))*IF(T105+IF($B$1+18&lt;=$B105,12*($B$7-$B$10),-12*($B$6+$B$10)*(1+$B$4)^18)&gt;0,1+$B$3,1))</f>
        <v/>
      </c>
      <c r="V105">
        <f>IF($B$1+19&gt;90,U105,(U105+IF($B$1+19&lt;=$B105,12*($B$7-$B$10),-12*($B$6+$B$10)*(1+$B$4)^19))*IF(U105+IF($B$1+19&lt;=$B105,12*($B$7-$B$10),-12*($B$6+$B$10)*(1+$B$4)^19)&gt;0,1+$B$3,1))</f>
        <v/>
      </c>
      <c r="W105">
        <f>IF($B$1+20&gt;90,V105,(V105+IF($B$1+20&lt;=$B105,12*($B$7-$B$10),-12*($B$6+$B$10)*(1+$B$4)^20))*IF(V105+IF($B$1+20&lt;=$B105,12*($B$7-$B$10),-12*($B$6+$B$10)*(1+$B$4)^20)&gt;0,1+$B$3,1))</f>
        <v/>
      </c>
      <c r="X105">
        <f>IF($B$1+21&gt;90,W105,(W105+IF($B$1+21&lt;=$B105,12*($B$7-$B$10),-12*($B$6+$B$10)*(1+$B$4)^21))*IF(W105+IF($B$1+21&lt;=$B105,12*($B$7-$B$10),-12*($B$6+$B$10)*(1+$B$4)^21)&gt;0,1+$B$3,1))</f>
        <v/>
      </c>
      <c r="Y105">
        <f>IF($B$1+22&gt;90,X105,(X105+IF($B$1+22&lt;=$B105,12*($B$7-$B$10),-12*($B$6+$B$10)*(1+$B$4)^22))*IF(X105+IF($B$1+22&lt;=$B105,12*($B$7-$B$10),-12*($B$6+$B$10)*(1+$B$4)^22)&gt;0,1+$B$3,1))</f>
        <v/>
      </c>
      <c r="Z105">
        <f>IF($B$1+23&gt;90,Y105,(Y105+IF($B$1+23&lt;=$B105,12*($B$7-$B$10),-12*($B$6+$B$10)*(1+$B$4)^23))*IF(Y105+IF($B$1+23&lt;=$B105,12*($B$7-$B$10),-12*($B$6+$B$10)*(1+$B$4)^23)&gt;0,1+$B$3,1))</f>
        <v/>
      </c>
      <c r="AA105">
        <f>IF($B$1+24&gt;90,Z105,(Z105+IF($B$1+24&lt;=$B105,12*($B$7-$B$10),-12*($B$6+$B$10)*(1+$B$4)^24))*IF(Z105+IF($B$1+24&lt;=$B105,12*($B$7-$B$10),-12*($B$6+$B$10)*(1+$B$4)^24)&gt;0,1+$B$3,1))</f>
        <v/>
      </c>
      <c r="AB105">
        <f>IF($B$1+25&gt;90,AA105,(AA105+IF($B$1+25&lt;=$B105,12*($B$7-$B$10),-12*($B$6+$B$10)*(1+$B$4)^25))*IF(AA105+IF($B$1+25&lt;=$B105,12*($B$7-$B$10),-12*($B$6+$B$10)*(1+$B$4)^25)&gt;0,1+$B$3,1))</f>
        <v/>
      </c>
      <c r="AC105">
        <f>IF($B$1+26&gt;90,AB105,(AB105+IF($B$1+26&lt;=$B105,12*($B$7-$B$10),-12*($B$6+$B$10)*(1+$B$4)^26))*IF(AB105+IF($B$1+26&lt;=$B105,12*($B$7-$B$10),-12*($B$6+$B$10)*(1+$B$4)^26)&gt;0,1+$B$3,1))</f>
        <v/>
      </c>
      <c r="AD105">
        <f>IF($B$1+27&gt;90,AC105,(AC105+IF($B$1+27&lt;=$B105,12*($B$7-$B$10),-12*($B$6+$B$10)*(1+$B$4)^27))*IF(AC105+IF($B$1+27&lt;=$B105,12*($B$7-$B$10),-12*($B$6+$B$10)*(1+$B$4)^27)&gt;0,1+$B$3,1))</f>
        <v/>
      </c>
      <c r="AE105">
        <f>IF($B$1+28&gt;90,AD105,(AD105+IF($B$1+28&lt;=$B105,12*($B$7-$B$10),-12*($B$6+$B$10)*(1+$B$4)^28))*IF(AD105+IF($B$1+28&lt;=$B105,12*($B$7-$B$10),-12*($B$6+$B$10)*(1+$B$4)^28)&gt;0,1+$B$3,1))</f>
        <v/>
      </c>
      <c r="AF105">
        <f>IF($B$1+29&gt;90,AE105,(AE105+IF($B$1+29&lt;=$B105,12*($B$7-$B$10),-12*($B$6+$B$10)*(1+$B$4)^29))*IF(AE105+IF($B$1+29&lt;=$B105,12*($B$7-$B$10),-12*($B$6+$B$10)*(1+$B$4)^29)&gt;0,1+$B$3,1))</f>
        <v/>
      </c>
      <c r="AG105">
        <f>IF($B$1+30&gt;90,AF105,(AF105+IF($B$1+30&lt;=$B105,12*($B$7-$B$10),-12*($B$6+$B$10)*(1+$B$4)^30))*IF(AF105+IF($B$1+30&lt;=$B105,12*($B$7-$B$10),-12*($B$6+$B$10)*(1+$B$4)^30)&gt;0,1+$B$3,1))</f>
        <v/>
      </c>
      <c r="AH105">
        <f>IF($B$1+31&gt;90,AG105,(AG105+IF($B$1+31&lt;=$B105,12*($B$7-$B$10),-12*($B$6+$B$10)*(1+$B$4)^31))*IF(AG105+IF($B$1+31&lt;=$B105,12*($B$7-$B$10),-12*($B$6+$B$10)*(1+$B$4)^31)&gt;0,1+$B$3,1))</f>
        <v/>
      </c>
      <c r="AI105">
        <f>IF($B$1+32&gt;90,AH105,(AH105+IF($B$1+32&lt;=$B105,12*($B$7-$B$10),-12*($B$6+$B$10)*(1+$B$4)^32))*IF(AH105+IF($B$1+32&lt;=$B105,12*($B$7-$B$10),-12*($B$6+$B$10)*(1+$B$4)^32)&gt;0,1+$B$3,1))</f>
        <v/>
      </c>
      <c r="AJ105">
        <f>IF($B$1+33&gt;90,AI105,(AI105+IF($B$1+33&lt;=$B105,12*($B$7-$B$10),-12*($B$6+$B$10)*(1+$B$4)^33))*IF(AI105+IF($B$1+33&lt;=$B105,12*($B$7-$B$10),-12*($B$6+$B$10)*(1+$B$4)^33)&gt;0,1+$B$3,1))</f>
        <v/>
      </c>
      <c r="AK105">
        <f>IF($B$1+34&gt;90,AJ105,(AJ105+IF($B$1+34&lt;=$B105,12*($B$7-$B$10),-12*($B$6+$B$10)*(1+$B$4)^34))*IF(AJ105+IF($B$1+34&lt;=$B105,12*($B$7-$B$10),-12*($B$6+$B$10)*(1+$B$4)^34)&gt;0,1+$B$3,1))</f>
        <v/>
      </c>
      <c r="AL105">
        <f>IF($B$1+35&gt;90,AK105,(AK105+IF($B$1+35&lt;=$B105,12*($B$7-$B$10),-12*($B$6+$B$10)*(1+$B$4)^35))*IF(AK105+IF($B$1+35&lt;=$B105,12*($B$7-$B$10),-12*($B$6+$B$10)*(1+$B$4)^35)&gt;0,1+$B$3,1))</f>
        <v/>
      </c>
      <c r="AM105">
        <f>IF($B$1+36&gt;90,AL105,(AL105+IF($B$1+36&lt;=$B105,12*($B$7-$B$10),-12*($B$6+$B$10)*(1+$B$4)^36))*IF(AL105+IF($B$1+36&lt;=$B105,12*($B$7-$B$10),-12*($B$6+$B$10)*(1+$B$4)^36)&gt;0,1+$B$3,1))</f>
        <v/>
      </c>
      <c r="AN105">
        <f>IF($B$1+37&gt;90,AM105,(AM105+IF($B$1+37&lt;=$B105,12*($B$7-$B$10),-12*($B$6+$B$10)*(1+$B$4)^37))*IF(AM105+IF($B$1+37&lt;=$B105,12*($B$7-$B$10),-12*($B$6+$B$10)*(1+$B$4)^37)&gt;0,1+$B$3,1))</f>
        <v/>
      </c>
      <c r="AO105">
        <f>IF($B$1+38&gt;90,AN105,(AN105+IF($B$1+38&lt;=$B105,12*($B$7-$B$10),-12*($B$6+$B$10)*(1+$B$4)^38))*IF(AN105+IF($B$1+38&lt;=$B105,12*($B$7-$B$10),-12*($B$6+$B$10)*(1+$B$4)^38)&gt;0,1+$B$3,1))</f>
        <v/>
      </c>
      <c r="AP105">
        <f>IF($B$1+39&gt;90,AO105,(AO105+IF($B$1+39&lt;=$B105,12*($B$7-$B$10),-12*($B$6+$B$10)*(1+$B$4)^39))*IF(AO105+IF($B$1+39&lt;=$B105,12*($B$7-$B$10),-12*($B$6+$B$10)*(1+$B$4)^39)&gt;0,1+$B$3,1))</f>
        <v/>
      </c>
      <c r="AQ105">
        <f>IF($B$1+40&gt;90,AP105,(AP105+IF($B$1+40&lt;=$B105,12*($B$7-$B$10),-12*($B$6+$B$10)*(1+$B$4)^40))*IF(AP105+IF($B$1+40&lt;=$B105,12*($B$7-$B$10),-12*($B$6+$B$10)*(1+$B$4)^40)&gt;0,1+$B$3,1))</f>
        <v/>
      </c>
      <c r="AR105">
        <f>IF($B$1+41&gt;90,AQ105,(AQ105+IF($B$1+41&lt;=$B105,12*($B$7-$B$10),-12*($B$6+$B$10)*(1+$B$4)^41))*IF(AQ105+IF($B$1+41&lt;=$B105,12*($B$7-$B$10),-12*($B$6+$B$10)*(1+$B$4)^41)&gt;0,1+$B$3,1))</f>
        <v/>
      </c>
      <c r="AS105">
        <f>IF($B$1+42&gt;90,AR105,(AR105+IF($B$1+42&lt;=$B105,12*($B$7-$B$10),-12*($B$6+$B$10)*(1+$B$4)^42))*IF(AR105+IF($B$1+42&lt;=$B105,12*($B$7-$B$10),-12*($B$6+$B$10)*(1+$B$4)^42)&gt;0,1+$B$3,1))</f>
        <v/>
      </c>
      <c r="AT105">
        <f>IF($B$1+43&gt;90,AS105,(AS105+IF($B$1+43&lt;=$B105,12*($B$7-$B$10),-12*($B$6+$B$10)*(1+$B$4)^43))*IF(AS105+IF($B$1+43&lt;=$B105,12*($B$7-$B$10),-12*($B$6+$B$10)*(1+$B$4)^43)&gt;0,1+$B$3,1))</f>
        <v/>
      </c>
      <c r="AU105">
        <f>IF($B$1+44&gt;90,AT105,(AT105+IF($B$1+44&lt;=$B105,12*($B$7-$B$10),-12*($B$6+$B$10)*(1+$B$4)^44))*IF(AT105+IF($B$1+44&lt;=$B105,12*($B$7-$B$10),-12*($B$6+$B$10)*(1+$B$4)^44)&gt;0,1+$B$3,1))</f>
        <v/>
      </c>
      <c r="AV105">
        <f>IF($B$1+45&gt;90,AU105,(AU105+IF($B$1+45&lt;=$B105,12*($B$7-$B$10),-12*($B$6+$B$10)*(1+$B$4)^45))*IF(AU105+IF($B$1+45&lt;=$B105,12*($B$7-$B$10),-12*($B$6+$B$10)*(1+$B$4)^45)&gt;0,1+$B$3,1))</f>
        <v/>
      </c>
      <c r="AW105">
        <f>IF($B$1+46&gt;90,AV105,(AV105+IF($B$1+46&lt;=$B105,12*($B$7-$B$10),-12*($B$6+$B$10)*(1+$B$4)^46))*IF(AV105+IF($B$1+46&lt;=$B105,12*($B$7-$B$10),-12*($B$6+$B$10)*(1+$B$4)^46)&gt;0,1+$B$3,1))</f>
        <v/>
      </c>
      <c r="AX105">
        <f>IF($B$1+47&gt;90,AW105,(AW105+IF($B$1+47&lt;=$B105,12*($B$7-$B$10),-12*($B$6+$B$10)*(1+$B$4)^47))*IF(AW105+IF($B$1+47&lt;=$B105,12*($B$7-$B$10),-12*($B$6+$B$10)*(1+$B$4)^47)&gt;0,1+$B$3,1))</f>
        <v/>
      </c>
      <c r="AY105">
        <f>IF($B$1+48&gt;90,AX105,(AX105+IF($B$1+48&lt;=$B105,12*($B$7-$B$10),-12*($B$6+$B$10)*(1+$B$4)^48))*IF(AX105+IF($B$1+48&lt;=$B105,12*($B$7-$B$10),-12*($B$6+$B$10)*(1+$B$4)^48)&gt;0,1+$B$3,1))</f>
        <v/>
      </c>
      <c r="AZ105">
        <f>IF($B$1+49&gt;90,AY105,(AY105+IF($B$1+49&lt;=$B105,12*($B$7-$B$10),-12*($B$6+$B$10)*(1+$B$4)^49))*IF(AY105+IF($B$1+49&lt;=$B105,12*($B$7-$B$10),-12*($B$6+$B$10)*(1+$B$4)^49)&gt;0,1+$B$3,1))</f>
        <v/>
      </c>
      <c r="BA105">
        <f>IF($B$1+50&gt;90,AZ105,(AZ105+IF($B$1+50&lt;=$B105,12*($B$7-$B$10),-12*($B$6+$B$10)*(1+$B$4)^50))*IF(AZ105+IF($B$1+50&lt;=$B105,12*($B$7-$B$10),-12*($B$6+$B$10)*(1+$B$4)^50)&gt;0,1+$B$3,1))</f>
        <v/>
      </c>
      <c r="BB105">
        <f>IF($B$1+51&gt;90,BA105,(BA105+IF($B$1+51&lt;=$B105,12*($B$7-$B$10),-12*($B$6+$B$10)*(1+$B$4)^51))*IF(BA105+IF($B$1+51&lt;=$B105,12*($B$7-$B$10),-12*($B$6+$B$10)*(1+$B$4)^51)&gt;0,1+$B$3,1))</f>
        <v/>
      </c>
      <c r="BC105">
        <f>IF($B$1+52&gt;90,BB105,(BB105+IF($B$1+52&lt;=$B105,12*($B$7-$B$10),-12*($B$6+$B$10)*(1+$B$4)^52))*IF(BB105+IF($B$1+52&lt;=$B105,12*($B$7-$B$10),-12*($B$6+$B$10)*(1+$B$4)^52)&gt;0,1+$B$3,1))</f>
        <v/>
      </c>
      <c r="BD105">
        <f>IF($B$1+53&gt;90,BC105,(BC105+IF($B$1+53&lt;=$B105,12*($B$7-$B$10),-12*($B$6+$B$10)*(1+$B$4)^53))*IF(BC105+IF($B$1+53&lt;=$B105,12*($B$7-$B$10),-12*($B$6+$B$10)*(1+$B$4)^53)&gt;0,1+$B$3,1))</f>
        <v/>
      </c>
      <c r="BE105">
        <f>IF($B$1+54&gt;90,BD105,(BD105+IF($B$1+54&lt;=$B105,12*($B$7-$B$10),-12*($B$6+$B$10)*(1+$B$4)^54))*IF(BD105+IF($B$1+54&lt;=$B105,12*($B$7-$B$10),-12*($B$6+$B$10)*(1+$B$4)^54)&gt;0,1+$B$3,1))</f>
        <v/>
      </c>
      <c r="BF105">
        <f>IF($B$1+55&gt;90,BE105,(BE105+IF($B$1+55&lt;=$B105,12*($B$7-$B$10),-12*($B$6+$B$10)*(1+$B$4)^55))*IF(BE105+IF($B$1+55&lt;=$B105,12*($B$7-$B$10),-12*($B$6+$B$10)*(1+$B$4)^55)&gt;0,1+$B$3,1))</f>
        <v/>
      </c>
      <c r="BG105">
        <f>IF($B$1+56&gt;90,BF105,(BF105+IF($B$1+56&lt;=$B105,12*($B$7-$B$10),-12*($B$6+$B$10)*(1+$B$4)^56))*IF(BF105+IF($B$1+56&lt;=$B105,12*($B$7-$B$10),-12*($B$6+$B$10)*(1+$B$4)^56)&gt;0,1+$B$3,1))</f>
        <v/>
      </c>
      <c r="BH105">
        <f>IF($B$1+57&gt;90,BG105,(BG105+IF($B$1+57&lt;=$B105,12*($B$7-$B$10),-12*($B$6+$B$10)*(1+$B$4)^57))*IF(BG105+IF($B$1+57&lt;=$B105,12*($B$7-$B$10),-12*($B$6+$B$10)*(1+$B$4)^57)&gt;0,1+$B$3,1))</f>
        <v/>
      </c>
      <c r="BI105">
        <f>IF($B$1+58&gt;90,BH105,(BH105+IF($B$1+58&lt;=$B105,12*($B$7-$B$10),-12*($B$6+$B$10)*(1+$B$4)^58))*IF(BH105+IF($B$1+58&lt;=$B105,12*($B$7-$B$10),-12*($B$6+$B$10)*(1+$B$4)^58)&gt;0,1+$B$3,1))</f>
        <v/>
      </c>
      <c r="BJ105">
        <f>IF($B$1+59&gt;90,BI105,(BI105+IF($B$1+59&lt;=$B105,12*($B$7-$B$10),-12*($B$6+$B$10)*(1+$B$4)^59))*IF(BI105+IF($B$1+59&lt;=$B105,12*($B$7-$B$10),-12*($B$6+$B$10)*(1+$B$4)^59)&gt;0,1+$B$3,1))</f>
        <v/>
      </c>
      <c r="BK105">
        <f>IF($B$1+60&gt;90,BJ105,(BJ105+IF($B$1+60&lt;=$B105,12*($B$7-$B$10),-12*($B$6+$B$10)*(1+$B$4)^60))*IF(BJ105+IF($B$1+60&lt;=$B105,12*($B$7-$B$10),-12*($B$6+$B$10)*(1+$B$4)^60)&gt;0,1+$B$3,1))</f>
        <v/>
      </c>
      <c r="BL105">
        <f>IF($B$1+61&gt;90,BK105,(BK105+IF($B$1+61&lt;=$B105,12*($B$7-$B$10),-12*($B$6+$B$10)*(1+$B$4)^61))*IF(BK105+IF($B$1+61&lt;=$B105,12*($B$7-$B$10),-12*($B$6+$B$10)*(1+$B$4)^61)&gt;0,1+$B$3,1))</f>
        <v/>
      </c>
      <c r="BM105">
        <f>IF($B$1+62&gt;90,BL105,(BL105+IF($B$1+62&lt;=$B105,12*($B$7-$B$10),-12*($B$6+$B$10)*(1+$B$4)^62))*IF(BL105+IF($B$1+62&lt;=$B105,12*($B$7-$B$10),-12*($B$6+$B$10)*(1+$B$4)^62)&gt;0,1+$B$3,1))</f>
        <v/>
      </c>
      <c r="BN105">
        <f>IF($B$1+63&gt;90,BM105,(BM105+IF($B$1+63&lt;=$B105,12*($B$7-$B$10),-12*($B$6+$B$10)*(1+$B$4)^63))*IF(BM105+IF($B$1+63&lt;=$B105,12*($B$7-$B$10),-12*($B$6+$B$10)*(1+$B$4)^63)&gt;0,1+$B$3,1))</f>
        <v/>
      </c>
      <c r="BO105">
        <f>IF($B$1+64&gt;90,BN105,(BN105+IF($B$1+64&lt;=$B105,12*($B$7-$B$10),-12*($B$6+$B$10)*(1+$B$4)^64))*IF(BN105+IF($B$1+64&lt;=$B105,12*($B$7-$B$10),-12*($B$6+$B$10)*(1+$B$4)^64)&gt;0,1+$B$3,1))</f>
        <v/>
      </c>
      <c r="BP105">
        <f>IF($B$1+65&gt;90,BO105,(BO105+IF($B$1+65&lt;=$B105,12*($B$7-$B$10),-12*($B$6+$B$10)*(1+$B$4)^65))*IF(BO105+IF($B$1+65&lt;=$B105,12*($B$7-$B$10),-12*($B$6+$B$10)*(1+$B$4)^65)&gt;0,1+$B$3,1))</f>
        <v/>
      </c>
      <c r="BQ105">
        <f>IF($B$1+66&gt;90,BP105,(BP105+IF($B$1+66&lt;=$B105,12*($B$7-$B$10),-12*($B$6+$B$10)*(1+$B$4)^66))*IF(BP105+IF($B$1+66&lt;=$B105,12*($B$7-$B$10),-12*($B$6+$B$10)*(1+$B$4)^66)&gt;0,1+$B$3,1))</f>
        <v/>
      </c>
      <c r="BR105">
        <f>IF($B$1+67&gt;90,BQ105,(BQ105+IF($B$1+67&lt;=$B105,12*($B$7-$B$10),-12*($B$6+$B$10)*(1+$B$4)^67))*IF(BQ105+IF($B$1+67&lt;=$B105,12*($B$7-$B$10),-12*($B$6+$B$10)*(1+$B$4)^67)&gt;0,1+$B$3,1))</f>
        <v/>
      </c>
      <c r="BS105">
        <f>IF($B$1+68&gt;90,BR105,(BR105+IF($B$1+68&lt;=$B105,12*($B$7-$B$10),-12*($B$6+$B$10)*(1+$B$4)^68))*IF(BR105+IF($B$1+68&lt;=$B105,12*($B$7-$B$10),-12*($B$6+$B$10)*(1+$B$4)^68)&gt;0,1+$B$3,1))</f>
        <v/>
      </c>
      <c r="BT105">
        <f>IF($B$1+69&gt;90,BS105,(BS105+IF($B$1+69&lt;=$B105,12*($B$7-$B$10),-12*($B$6+$B$10)*(1+$B$4)^69))*IF(BS105+IF($B$1+69&lt;=$B105,12*($B$7-$B$10),-12*($B$6+$B$10)*(1+$B$4)^69)&gt;0,1+$B$3,1))</f>
        <v/>
      </c>
      <c r="BU105">
        <f>IF($B$1+70&gt;90,BT105,(BT105+IF($B$1+70&lt;=$B105,12*($B$7-$B$10),-12*($B$6+$B$10)*(1+$B$4)^70))*IF(BT105+IF($B$1+70&lt;=$B105,12*($B$7-$B$10),-12*($B$6+$B$10)*(1+$B$4)^70)&gt;0,1+$B$3,1))</f>
        <v/>
      </c>
      <c r="BV105">
        <f>BU105</f>
        <v/>
      </c>
      <c r="BW105">
        <f>IF(AND($B105&lt;=70,BV105&gt;0),$B105,999)</f>
        <v/>
      </c>
    </row>
    <row r="106">
      <c r="A106" t="n">
        <v>10</v>
      </c>
      <c r="B106">
        <f>$B$1+10</f>
        <v/>
      </c>
      <c r="C106">
        <f>$B$2</f>
        <v/>
      </c>
      <c r="D106">
        <f>IF($B$1+1&gt;90,C106,(C106+IF($B$1+1&lt;=$B106,12*($B$7-$B$10),-12*($B$6+$B$10)*(1+$B$4)^1))*IF(C106+IF($B$1+1&lt;=$B106,12*($B$7-$B$10),-12*($B$6+$B$10)*(1+$B$4)^1)&gt;0,1+$B$3,1))</f>
        <v/>
      </c>
      <c r="E106">
        <f>IF($B$1+2&gt;90,D106,(D106+IF($B$1+2&lt;=$B106,12*($B$7-$B$10),-12*($B$6+$B$10)*(1+$B$4)^2))*IF(D106+IF($B$1+2&lt;=$B106,12*($B$7-$B$10),-12*($B$6+$B$10)*(1+$B$4)^2)&gt;0,1+$B$3,1))</f>
        <v/>
      </c>
      <c r="F106">
        <f>IF($B$1+3&gt;90,E106,(E106+IF($B$1+3&lt;=$B106,12*($B$7-$B$10),-12*($B$6+$B$10)*(1+$B$4)^3))*IF(E106+IF($B$1+3&lt;=$B106,12*($B$7-$B$10),-12*($B$6+$B$10)*(1+$B$4)^3)&gt;0,1+$B$3,1))</f>
        <v/>
      </c>
      <c r="G106">
        <f>IF($B$1+4&gt;90,F106,(F106+IF($B$1+4&lt;=$B106,12*($B$7-$B$10),-12*($B$6+$B$10)*(1+$B$4)^4))*IF(F106+IF($B$1+4&lt;=$B106,12*($B$7-$B$10),-12*($B$6+$B$10)*(1+$B$4)^4)&gt;0,1+$B$3,1))</f>
        <v/>
      </c>
      <c r="H106">
        <f>IF($B$1+5&gt;90,G106,(G106+IF($B$1+5&lt;=$B106,12*($B$7-$B$10),-12*($B$6+$B$10)*(1+$B$4)^5))*IF(G106+IF($B$1+5&lt;=$B106,12*($B$7-$B$10),-12*($B$6+$B$10)*(1+$B$4)^5)&gt;0,1+$B$3,1))</f>
        <v/>
      </c>
      <c r="I106">
        <f>IF($B$1+6&gt;90,H106,(H106+IF($B$1+6&lt;=$B106,12*($B$7-$B$10),-12*($B$6+$B$10)*(1+$B$4)^6))*IF(H106+IF($B$1+6&lt;=$B106,12*($B$7-$B$10),-12*($B$6+$B$10)*(1+$B$4)^6)&gt;0,1+$B$3,1))</f>
        <v/>
      </c>
      <c r="J106">
        <f>IF($B$1+7&gt;90,I106,(I106+IF($B$1+7&lt;=$B106,12*($B$7-$B$10),-12*($B$6+$B$10)*(1+$B$4)^7))*IF(I106+IF($B$1+7&lt;=$B106,12*($B$7-$B$10),-12*($B$6+$B$10)*(1+$B$4)^7)&gt;0,1+$B$3,1))</f>
        <v/>
      </c>
      <c r="K106">
        <f>IF($B$1+8&gt;90,J106,(J106+IF($B$1+8&lt;=$B106,12*($B$7-$B$10),-12*($B$6+$B$10)*(1+$B$4)^8))*IF(J106+IF($B$1+8&lt;=$B106,12*($B$7-$B$10),-12*($B$6+$B$10)*(1+$B$4)^8)&gt;0,1+$B$3,1))</f>
        <v/>
      </c>
      <c r="L106">
        <f>IF($B$1+9&gt;90,K106,(K106+IF($B$1+9&lt;=$B106,12*($B$7-$B$10),-12*($B$6+$B$10)*(1+$B$4)^9))*IF(K106+IF($B$1+9&lt;=$B106,12*($B$7-$B$10),-12*($B$6+$B$10)*(1+$B$4)^9)&gt;0,1+$B$3,1))</f>
        <v/>
      </c>
      <c r="M106">
        <f>IF($B$1+10&gt;90,L106,(L106+IF($B$1+10&lt;=$B106,12*($B$7-$B$10),-12*($B$6+$B$10)*(1+$B$4)^10))*IF(L106+IF($B$1+10&lt;=$B106,12*($B$7-$B$10),-12*($B$6+$B$10)*(1+$B$4)^10)&gt;0,1+$B$3,1))</f>
        <v/>
      </c>
      <c r="N106">
        <f>IF($B$1+11&gt;90,M106,(M106+IF($B$1+11&lt;=$B106,12*($B$7-$B$10),-12*($B$6+$B$10)*(1+$B$4)^11))*IF(M106+IF($B$1+11&lt;=$B106,12*($B$7-$B$10),-12*($B$6+$B$10)*(1+$B$4)^11)&gt;0,1+$B$3,1))</f>
        <v/>
      </c>
      <c r="O106">
        <f>IF($B$1+12&gt;90,N106,(N106+IF($B$1+12&lt;=$B106,12*($B$7-$B$10),-12*($B$6+$B$10)*(1+$B$4)^12))*IF(N106+IF($B$1+12&lt;=$B106,12*($B$7-$B$10),-12*($B$6+$B$10)*(1+$B$4)^12)&gt;0,1+$B$3,1))</f>
        <v/>
      </c>
      <c r="P106">
        <f>IF($B$1+13&gt;90,O106,(O106+IF($B$1+13&lt;=$B106,12*($B$7-$B$10),-12*($B$6+$B$10)*(1+$B$4)^13))*IF(O106+IF($B$1+13&lt;=$B106,12*($B$7-$B$10),-12*($B$6+$B$10)*(1+$B$4)^13)&gt;0,1+$B$3,1))</f>
        <v/>
      </c>
      <c r="Q106">
        <f>IF($B$1+14&gt;90,P106,(P106+IF($B$1+14&lt;=$B106,12*($B$7-$B$10),-12*($B$6+$B$10)*(1+$B$4)^14))*IF(P106+IF($B$1+14&lt;=$B106,12*($B$7-$B$10),-12*($B$6+$B$10)*(1+$B$4)^14)&gt;0,1+$B$3,1))</f>
        <v/>
      </c>
      <c r="R106">
        <f>IF($B$1+15&gt;90,Q106,(Q106+IF($B$1+15&lt;=$B106,12*($B$7-$B$10),-12*($B$6+$B$10)*(1+$B$4)^15))*IF(Q106+IF($B$1+15&lt;=$B106,12*($B$7-$B$10),-12*($B$6+$B$10)*(1+$B$4)^15)&gt;0,1+$B$3,1))</f>
        <v/>
      </c>
      <c r="S106">
        <f>IF($B$1+16&gt;90,R106,(R106+IF($B$1+16&lt;=$B106,12*($B$7-$B$10),-12*($B$6+$B$10)*(1+$B$4)^16))*IF(R106+IF($B$1+16&lt;=$B106,12*($B$7-$B$10),-12*($B$6+$B$10)*(1+$B$4)^16)&gt;0,1+$B$3,1))</f>
        <v/>
      </c>
      <c r="T106">
        <f>IF($B$1+17&gt;90,S106,(S106+IF($B$1+17&lt;=$B106,12*($B$7-$B$10),-12*($B$6+$B$10)*(1+$B$4)^17))*IF(S106+IF($B$1+17&lt;=$B106,12*($B$7-$B$10),-12*($B$6+$B$10)*(1+$B$4)^17)&gt;0,1+$B$3,1))</f>
        <v/>
      </c>
      <c r="U106">
        <f>IF($B$1+18&gt;90,T106,(T106+IF($B$1+18&lt;=$B106,12*($B$7-$B$10),-12*($B$6+$B$10)*(1+$B$4)^18))*IF(T106+IF($B$1+18&lt;=$B106,12*($B$7-$B$10),-12*($B$6+$B$10)*(1+$B$4)^18)&gt;0,1+$B$3,1))</f>
        <v/>
      </c>
      <c r="V106">
        <f>IF($B$1+19&gt;90,U106,(U106+IF($B$1+19&lt;=$B106,12*($B$7-$B$10),-12*($B$6+$B$10)*(1+$B$4)^19))*IF(U106+IF($B$1+19&lt;=$B106,12*($B$7-$B$10),-12*($B$6+$B$10)*(1+$B$4)^19)&gt;0,1+$B$3,1))</f>
        <v/>
      </c>
      <c r="W106">
        <f>IF($B$1+20&gt;90,V106,(V106+IF($B$1+20&lt;=$B106,12*($B$7-$B$10),-12*($B$6+$B$10)*(1+$B$4)^20))*IF(V106+IF($B$1+20&lt;=$B106,12*($B$7-$B$10),-12*($B$6+$B$10)*(1+$B$4)^20)&gt;0,1+$B$3,1))</f>
        <v/>
      </c>
      <c r="X106">
        <f>IF($B$1+21&gt;90,W106,(W106+IF($B$1+21&lt;=$B106,12*($B$7-$B$10),-12*($B$6+$B$10)*(1+$B$4)^21))*IF(W106+IF($B$1+21&lt;=$B106,12*($B$7-$B$10),-12*($B$6+$B$10)*(1+$B$4)^21)&gt;0,1+$B$3,1))</f>
        <v/>
      </c>
      <c r="Y106">
        <f>IF($B$1+22&gt;90,X106,(X106+IF($B$1+22&lt;=$B106,12*($B$7-$B$10),-12*($B$6+$B$10)*(1+$B$4)^22))*IF(X106+IF($B$1+22&lt;=$B106,12*($B$7-$B$10),-12*($B$6+$B$10)*(1+$B$4)^22)&gt;0,1+$B$3,1))</f>
        <v/>
      </c>
      <c r="Z106">
        <f>IF($B$1+23&gt;90,Y106,(Y106+IF($B$1+23&lt;=$B106,12*($B$7-$B$10),-12*($B$6+$B$10)*(1+$B$4)^23))*IF(Y106+IF($B$1+23&lt;=$B106,12*($B$7-$B$10),-12*($B$6+$B$10)*(1+$B$4)^23)&gt;0,1+$B$3,1))</f>
        <v/>
      </c>
      <c r="AA106">
        <f>IF($B$1+24&gt;90,Z106,(Z106+IF($B$1+24&lt;=$B106,12*($B$7-$B$10),-12*($B$6+$B$10)*(1+$B$4)^24))*IF(Z106+IF($B$1+24&lt;=$B106,12*($B$7-$B$10),-12*($B$6+$B$10)*(1+$B$4)^24)&gt;0,1+$B$3,1))</f>
        <v/>
      </c>
      <c r="AB106">
        <f>IF($B$1+25&gt;90,AA106,(AA106+IF($B$1+25&lt;=$B106,12*($B$7-$B$10),-12*($B$6+$B$10)*(1+$B$4)^25))*IF(AA106+IF($B$1+25&lt;=$B106,12*($B$7-$B$10),-12*($B$6+$B$10)*(1+$B$4)^25)&gt;0,1+$B$3,1))</f>
        <v/>
      </c>
      <c r="AC106">
        <f>IF($B$1+26&gt;90,AB106,(AB106+IF($B$1+26&lt;=$B106,12*($B$7-$B$10),-12*($B$6+$B$10)*(1+$B$4)^26))*IF(AB106+IF($B$1+26&lt;=$B106,12*($B$7-$B$10),-12*($B$6+$B$10)*(1+$B$4)^26)&gt;0,1+$B$3,1))</f>
        <v/>
      </c>
      <c r="AD106">
        <f>IF($B$1+27&gt;90,AC106,(AC106+IF($B$1+27&lt;=$B106,12*($B$7-$B$10),-12*($B$6+$B$10)*(1+$B$4)^27))*IF(AC106+IF($B$1+27&lt;=$B106,12*($B$7-$B$10),-12*($B$6+$B$10)*(1+$B$4)^27)&gt;0,1+$B$3,1))</f>
        <v/>
      </c>
      <c r="AE106">
        <f>IF($B$1+28&gt;90,AD106,(AD106+IF($B$1+28&lt;=$B106,12*($B$7-$B$10),-12*($B$6+$B$10)*(1+$B$4)^28))*IF(AD106+IF($B$1+28&lt;=$B106,12*($B$7-$B$10),-12*($B$6+$B$10)*(1+$B$4)^28)&gt;0,1+$B$3,1))</f>
        <v/>
      </c>
      <c r="AF106">
        <f>IF($B$1+29&gt;90,AE106,(AE106+IF($B$1+29&lt;=$B106,12*($B$7-$B$10),-12*($B$6+$B$10)*(1+$B$4)^29))*IF(AE106+IF($B$1+29&lt;=$B106,12*($B$7-$B$10),-12*($B$6+$B$10)*(1+$B$4)^29)&gt;0,1+$B$3,1))</f>
        <v/>
      </c>
      <c r="AG106">
        <f>IF($B$1+30&gt;90,AF106,(AF106+IF($B$1+30&lt;=$B106,12*($B$7-$B$10),-12*($B$6+$B$10)*(1+$B$4)^30))*IF(AF106+IF($B$1+30&lt;=$B106,12*($B$7-$B$10),-12*($B$6+$B$10)*(1+$B$4)^30)&gt;0,1+$B$3,1))</f>
        <v/>
      </c>
      <c r="AH106">
        <f>IF($B$1+31&gt;90,AG106,(AG106+IF($B$1+31&lt;=$B106,12*($B$7-$B$10),-12*($B$6+$B$10)*(1+$B$4)^31))*IF(AG106+IF($B$1+31&lt;=$B106,12*($B$7-$B$10),-12*($B$6+$B$10)*(1+$B$4)^31)&gt;0,1+$B$3,1))</f>
        <v/>
      </c>
      <c r="AI106">
        <f>IF($B$1+32&gt;90,AH106,(AH106+IF($B$1+32&lt;=$B106,12*($B$7-$B$10),-12*($B$6+$B$10)*(1+$B$4)^32))*IF(AH106+IF($B$1+32&lt;=$B106,12*($B$7-$B$10),-12*($B$6+$B$10)*(1+$B$4)^32)&gt;0,1+$B$3,1))</f>
        <v/>
      </c>
      <c r="AJ106">
        <f>IF($B$1+33&gt;90,AI106,(AI106+IF($B$1+33&lt;=$B106,12*($B$7-$B$10),-12*($B$6+$B$10)*(1+$B$4)^33))*IF(AI106+IF($B$1+33&lt;=$B106,12*($B$7-$B$10),-12*($B$6+$B$10)*(1+$B$4)^33)&gt;0,1+$B$3,1))</f>
        <v/>
      </c>
      <c r="AK106">
        <f>IF($B$1+34&gt;90,AJ106,(AJ106+IF($B$1+34&lt;=$B106,12*($B$7-$B$10),-12*($B$6+$B$10)*(1+$B$4)^34))*IF(AJ106+IF($B$1+34&lt;=$B106,12*($B$7-$B$10),-12*($B$6+$B$10)*(1+$B$4)^34)&gt;0,1+$B$3,1))</f>
        <v/>
      </c>
      <c r="AL106">
        <f>IF($B$1+35&gt;90,AK106,(AK106+IF($B$1+35&lt;=$B106,12*($B$7-$B$10),-12*($B$6+$B$10)*(1+$B$4)^35))*IF(AK106+IF($B$1+35&lt;=$B106,12*($B$7-$B$10),-12*($B$6+$B$10)*(1+$B$4)^35)&gt;0,1+$B$3,1))</f>
        <v/>
      </c>
      <c r="AM106">
        <f>IF($B$1+36&gt;90,AL106,(AL106+IF($B$1+36&lt;=$B106,12*($B$7-$B$10),-12*($B$6+$B$10)*(1+$B$4)^36))*IF(AL106+IF($B$1+36&lt;=$B106,12*($B$7-$B$10),-12*($B$6+$B$10)*(1+$B$4)^36)&gt;0,1+$B$3,1))</f>
        <v/>
      </c>
      <c r="AN106">
        <f>IF($B$1+37&gt;90,AM106,(AM106+IF($B$1+37&lt;=$B106,12*($B$7-$B$10),-12*($B$6+$B$10)*(1+$B$4)^37))*IF(AM106+IF($B$1+37&lt;=$B106,12*($B$7-$B$10),-12*($B$6+$B$10)*(1+$B$4)^37)&gt;0,1+$B$3,1))</f>
        <v/>
      </c>
      <c r="AO106">
        <f>IF($B$1+38&gt;90,AN106,(AN106+IF($B$1+38&lt;=$B106,12*($B$7-$B$10),-12*($B$6+$B$10)*(1+$B$4)^38))*IF(AN106+IF($B$1+38&lt;=$B106,12*($B$7-$B$10),-12*($B$6+$B$10)*(1+$B$4)^38)&gt;0,1+$B$3,1))</f>
        <v/>
      </c>
      <c r="AP106">
        <f>IF($B$1+39&gt;90,AO106,(AO106+IF($B$1+39&lt;=$B106,12*($B$7-$B$10),-12*($B$6+$B$10)*(1+$B$4)^39))*IF(AO106+IF($B$1+39&lt;=$B106,12*($B$7-$B$10),-12*($B$6+$B$10)*(1+$B$4)^39)&gt;0,1+$B$3,1))</f>
        <v/>
      </c>
      <c r="AQ106">
        <f>IF($B$1+40&gt;90,AP106,(AP106+IF($B$1+40&lt;=$B106,12*($B$7-$B$10),-12*($B$6+$B$10)*(1+$B$4)^40))*IF(AP106+IF($B$1+40&lt;=$B106,12*($B$7-$B$10),-12*($B$6+$B$10)*(1+$B$4)^40)&gt;0,1+$B$3,1))</f>
        <v/>
      </c>
      <c r="AR106">
        <f>IF($B$1+41&gt;90,AQ106,(AQ106+IF($B$1+41&lt;=$B106,12*($B$7-$B$10),-12*($B$6+$B$10)*(1+$B$4)^41))*IF(AQ106+IF($B$1+41&lt;=$B106,12*($B$7-$B$10),-12*($B$6+$B$10)*(1+$B$4)^41)&gt;0,1+$B$3,1))</f>
        <v/>
      </c>
      <c r="AS106">
        <f>IF($B$1+42&gt;90,AR106,(AR106+IF($B$1+42&lt;=$B106,12*($B$7-$B$10),-12*($B$6+$B$10)*(1+$B$4)^42))*IF(AR106+IF($B$1+42&lt;=$B106,12*($B$7-$B$10),-12*($B$6+$B$10)*(1+$B$4)^42)&gt;0,1+$B$3,1))</f>
        <v/>
      </c>
      <c r="AT106">
        <f>IF($B$1+43&gt;90,AS106,(AS106+IF($B$1+43&lt;=$B106,12*($B$7-$B$10),-12*($B$6+$B$10)*(1+$B$4)^43))*IF(AS106+IF($B$1+43&lt;=$B106,12*($B$7-$B$10),-12*($B$6+$B$10)*(1+$B$4)^43)&gt;0,1+$B$3,1))</f>
        <v/>
      </c>
      <c r="AU106">
        <f>IF($B$1+44&gt;90,AT106,(AT106+IF($B$1+44&lt;=$B106,12*($B$7-$B$10),-12*($B$6+$B$10)*(1+$B$4)^44))*IF(AT106+IF($B$1+44&lt;=$B106,12*($B$7-$B$10),-12*($B$6+$B$10)*(1+$B$4)^44)&gt;0,1+$B$3,1))</f>
        <v/>
      </c>
      <c r="AV106">
        <f>IF($B$1+45&gt;90,AU106,(AU106+IF($B$1+45&lt;=$B106,12*($B$7-$B$10),-12*($B$6+$B$10)*(1+$B$4)^45))*IF(AU106+IF($B$1+45&lt;=$B106,12*($B$7-$B$10),-12*($B$6+$B$10)*(1+$B$4)^45)&gt;0,1+$B$3,1))</f>
        <v/>
      </c>
      <c r="AW106">
        <f>IF($B$1+46&gt;90,AV106,(AV106+IF($B$1+46&lt;=$B106,12*($B$7-$B$10),-12*($B$6+$B$10)*(1+$B$4)^46))*IF(AV106+IF($B$1+46&lt;=$B106,12*($B$7-$B$10),-12*($B$6+$B$10)*(1+$B$4)^46)&gt;0,1+$B$3,1))</f>
        <v/>
      </c>
      <c r="AX106">
        <f>IF($B$1+47&gt;90,AW106,(AW106+IF($B$1+47&lt;=$B106,12*($B$7-$B$10),-12*($B$6+$B$10)*(1+$B$4)^47))*IF(AW106+IF($B$1+47&lt;=$B106,12*($B$7-$B$10),-12*($B$6+$B$10)*(1+$B$4)^47)&gt;0,1+$B$3,1))</f>
        <v/>
      </c>
      <c r="AY106">
        <f>IF($B$1+48&gt;90,AX106,(AX106+IF($B$1+48&lt;=$B106,12*($B$7-$B$10),-12*($B$6+$B$10)*(1+$B$4)^48))*IF(AX106+IF($B$1+48&lt;=$B106,12*($B$7-$B$10),-12*($B$6+$B$10)*(1+$B$4)^48)&gt;0,1+$B$3,1))</f>
        <v/>
      </c>
      <c r="AZ106">
        <f>IF($B$1+49&gt;90,AY106,(AY106+IF($B$1+49&lt;=$B106,12*($B$7-$B$10),-12*($B$6+$B$10)*(1+$B$4)^49))*IF(AY106+IF($B$1+49&lt;=$B106,12*($B$7-$B$10),-12*($B$6+$B$10)*(1+$B$4)^49)&gt;0,1+$B$3,1))</f>
        <v/>
      </c>
      <c r="BA106">
        <f>IF($B$1+50&gt;90,AZ106,(AZ106+IF($B$1+50&lt;=$B106,12*($B$7-$B$10),-12*($B$6+$B$10)*(1+$B$4)^50))*IF(AZ106+IF($B$1+50&lt;=$B106,12*($B$7-$B$10),-12*($B$6+$B$10)*(1+$B$4)^50)&gt;0,1+$B$3,1))</f>
        <v/>
      </c>
      <c r="BB106">
        <f>IF($B$1+51&gt;90,BA106,(BA106+IF($B$1+51&lt;=$B106,12*($B$7-$B$10),-12*($B$6+$B$10)*(1+$B$4)^51))*IF(BA106+IF($B$1+51&lt;=$B106,12*($B$7-$B$10),-12*($B$6+$B$10)*(1+$B$4)^51)&gt;0,1+$B$3,1))</f>
        <v/>
      </c>
      <c r="BC106">
        <f>IF($B$1+52&gt;90,BB106,(BB106+IF($B$1+52&lt;=$B106,12*($B$7-$B$10),-12*($B$6+$B$10)*(1+$B$4)^52))*IF(BB106+IF($B$1+52&lt;=$B106,12*($B$7-$B$10),-12*($B$6+$B$10)*(1+$B$4)^52)&gt;0,1+$B$3,1))</f>
        <v/>
      </c>
      <c r="BD106">
        <f>IF($B$1+53&gt;90,BC106,(BC106+IF($B$1+53&lt;=$B106,12*($B$7-$B$10),-12*($B$6+$B$10)*(1+$B$4)^53))*IF(BC106+IF($B$1+53&lt;=$B106,12*($B$7-$B$10),-12*($B$6+$B$10)*(1+$B$4)^53)&gt;0,1+$B$3,1))</f>
        <v/>
      </c>
      <c r="BE106">
        <f>IF($B$1+54&gt;90,BD106,(BD106+IF($B$1+54&lt;=$B106,12*($B$7-$B$10),-12*($B$6+$B$10)*(1+$B$4)^54))*IF(BD106+IF($B$1+54&lt;=$B106,12*($B$7-$B$10),-12*($B$6+$B$10)*(1+$B$4)^54)&gt;0,1+$B$3,1))</f>
        <v/>
      </c>
      <c r="BF106">
        <f>IF($B$1+55&gt;90,BE106,(BE106+IF($B$1+55&lt;=$B106,12*($B$7-$B$10),-12*($B$6+$B$10)*(1+$B$4)^55))*IF(BE106+IF($B$1+55&lt;=$B106,12*($B$7-$B$10),-12*($B$6+$B$10)*(1+$B$4)^55)&gt;0,1+$B$3,1))</f>
        <v/>
      </c>
      <c r="BG106">
        <f>IF($B$1+56&gt;90,BF106,(BF106+IF($B$1+56&lt;=$B106,12*($B$7-$B$10),-12*($B$6+$B$10)*(1+$B$4)^56))*IF(BF106+IF($B$1+56&lt;=$B106,12*($B$7-$B$10),-12*($B$6+$B$10)*(1+$B$4)^56)&gt;0,1+$B$3,1))</f>
        <v/>
      </c>
      <c r="BH106">
        <f>IF($B$1+57&gt;90,BG106,(BG106+IF($B$1+57&lt;=$B106,12*($B$7-$B$10),-12*($B$6+$B$10)*(1+$B$4)^57))*IF(BG106+IF($B$1+57&lt;=$B106,12*($B$7-$B$10),-12*($B$6+$B$10)*(1+$B$4)^57)&gt;0,1+$B$3,1))</f>
        <v/>
      </c>
      <c r="BI106">
        <f>IF($B$1+58&gt;90,BH106,(BH106+IF($B$1+58&lt;=$B106,12*($B$7-$B$10),-12*($B$6+$B$10)*(1+$B$4)^58))*IF(BH106+IF($B$1+58&lt;=$B106,12*($B$7-$B$10),-12*($B$6+$B$10)*(1+$B$4)^58)&gt;0,1+$B$3,1))</f>
        <v/>
      </c>
      <c r="BJ106">
        <f>IF($B$1+59&gt;90,BI106,(BI106+IF($B$1+59&lt;=$B106,12*($B$7-$B$10),-12*($B$6+$B$10)*(1+$B$4)^59))*IF(BI106+IF($B$1+59&lt;=$B106,12*($B$7-$B$10),-12*($B$6+$B$10)*(1+$B$4)^59)&gt;0,1+$B$3,1))</f>
        <v/>
      </c>
      <c r="BK106">
        <f>IF($B$1+60&gt;90,BJ106,(BJ106+IF($B$1+60&lt;=$B106,12*($B$7-$B$10),-12*($B$6+$B$10)*(1+$B$4)^60))*IF(BJ106+IF($B$1+60&lt;=$B106,12*($B$7-$B$10),-12*($B$6+$B$10)*(1+$B$4)^60)&gt;0,1+$B$3,1))</f>
        <v/>
      </c>
      <c r="BL106">
        <f>IF($B$1+61&gt;90,BK106,(BK106+IF($B$1+61&lt;=$B106,12*($B$7-$B$10),-12*($B$6+$B$10)*(1+$B$4)^61))*IF(BK106+IF($B$1+61&lt;=$B106,12*($B$7-$B$10),-12*($B$6+$B$10)*(1+$B$4)^61)&gt;0,1+$B$3,1))</f>
        <v/>
      </c>
      <c r="BM106">
        <f>IF($B$1+62&gt;90,BL106,(BL106+IF($B$1+62&lt;=$B106,12*($B$7-$B$10),-12*($B$6+$B$10)*(1+$B$4)^62))*IF(BL106+IF($B$1+62&lt;=$B106,12*($B$7-$B$10),-12*($B$6+$B$10)*(1+$B$4)^62)&gt;0,1+$B$3,1))</f>
        <v/>
      </c>
      <c r="BN106">
        <f>IF($B$1+63&gt;90,BM106,(BM106+IF($B$1+63&lt;=$B106,12*($B$7-$B$10),-12*($B$6+$B$10)*(1+$B$4)^63))*IF(BM106+IF($B$1+63&lt;=$B106,12*($B$7-$B$10),-12*($B$6+$B$10)*(1+$B$4)^63)&gt;0,1+$B$3,1))</f>
        <v/>
      </c>
      <c r="BO106">
        <f>IF($B$1+64&gt;90,BN106,(BN106+IF($B$1+64&lt;=$B106,12*($B$7-$B$10),-12*($B$6+$B$10)*(1+$B$4)^64))*IF(BN106+IF($B$1+64&lt;=$B106,12*($B$7-$B$10),-12*($B$6+$B$10)*(1+$B$4)^64)&gt;0,1+$B$3,1))</f>
        <v/>
      </c>
      <c r="BP106">
        <f>IF($B$1+65&gt;90,BO106,(BO106+IF($B$1+65&lt;=$B106,12*($B$7-$B$10),-12*($B$6+$B$10)*(1+$B$4)^65))*IF(BO106+IF($B$1+65&lt;=$B106,12*($B$7-$B$10),-12*($B$6+$B$10)*(1+$B$4)^65)&gt;0,1+$B$3,1))</f>
        <v/>
      </c>
      <c r="BQ106">
        <f>IF($B$1+66&gt;90,BP106,(BP106+IF($B$1+66&lt;=$B106,12*($B$7-$B$10),-12*($B$6+$B$10)*(1+$B$4)^66))*IF(BP106+IF($B$1+66&lt;=$B106,12*($B$7-$B$10),-12*($B$6+$B$10)*(1+$B$4)^66)&gt;0,1+$B$3,1))</f>
        <v/>
      </c>
      <c r="BR106">
        <f>IF($B$1+67&gt;90,BQ106,(BQ106+IF($B$1+67&lt;=$B106,12*($B$7-$B$10),-12*($B$6+$B$10)*(1+$B$4)^67))*IF(BQ106+IF($B$1+67&lt;=$B106,12*($B$7-$B$10),-12*($B$6+$B$10)*(1+$B$4)^67)&gt;0,1+$B$3,1))</f>
        <v/>
      </c>
      <c r="BS106">
        <f>IF($B$1+68&gt;90,BR106,(BR106+IF($B$1+68&lt;=$B106,12*($B$7-$B$10),-12*($B$6+$B$10)*(1+$B$4)^68))*IF(BR106+IF($B$1+68&lt;=$B106,12*($B$7-$B$10),-12*($B$6+$B$10)*(1+$B$4)^68)&gt;0,1+$B$3,1))</f>
        <v/>
      </c>
      <c r="BT106">
        <f>IF($B$1+69&gt;90,BS106,(BS106+IF($B$1+69&lt;=$B106,12*($B$7-$B$10),-12*($B$6+$B$10)*(1+$B$4)^69))*IF(BS106+IF($B$1+69&lt;=$B106,12*($B$7-$B$10),-12*($B$6+$B$10)*(1+$B$4)^69)&gt;0,1+$B$3,1))</f>
        <v/>
      </c>
      <c r="BU106">
        <f>IF($B$1+70&gt;90,BT106,(BT106+IF($B$1+70&lt;=$B106,12*($B$7-$B$10),-12*($B$6+$B$10)*(1+$B$4)^70))*IF(BT106+IF($B$1+70&lt;=$B106,12*($B$7-$B$10),-12*($B$6+$B$10)*(1+$B$4)^70)&gt;0,1+$B$3,1))</f>
        <v/>
      </c>
      <c r="BV106">
        <f>BU106</f>
        <v/>
      </c>
      <c r="BW106">
        <f>IF(AND($B106&lt;=70,BV106&gt;0),$B106,999)</f>
        <v/>
      </c>
    </row>
    <row r="107">
      <c r="A107" t="n">
        <v>11</v>
      </c>
      <c r="B107">
        <f>$B$1+11</f>
        <v/>
      </c>
      <c r="C107">
        <f>$B$2</f>
        <v/>
      </c>
      <c r="D107">
        <f>IF($B$1+1&gt;90,C107,(C107+IF($B$1+1&lt;=$B107,12*($B$7-$B$10),-12*($B$6+$B$10)*(1+$B$4)^1))*IF(C107+IF($B$1+1&lt;=$B107,12*($B$7-$B$10),-12*($B$6+$B$10)*(1+$B$4)^1)&gt;0,1+$B$3,1))</f>
        <v/>
      </c>
      <c r="E107">
        <f>IF($B$1+2&gt;90,D107,(D107+IF($B$1+2&lt;=$B107,12*($B$7-$B$10),-12*($B$6+$B$10)*(1+$B$4)^2))*IF(D107+IF($B$1+2&lt;=$B107,12*($B$7-$B$10),-12*($B$6+$B$10)*(1+$B$4)^2)&gt;0,1+$B$3,1))</f>
        <v/>
      </c>
      <c r="F107">
        <f>IF($B$1+3&gt;90,E107,(E107+IF($B$1+3&lt;=$B107,12*($B$7-$B$10),-12*($B$6+$B$10)*(1+$B$4)^3))*IF(E107+IF($B$1+3&lt;=$B107,12*($B$7-$B$10),-12*($B$6+$B$10)*(1+$B$4)^3)&gt;0,1+$B$3,1))</f>
        <v/>
      </c>
      <c r="G107">
        <f>IF($B$1+4&gt;90,F107,(F107+IF($B$1+4&lt;=$B107,12*($B$7-$B$10),-12*($B$6+$B$10)*(1+$B$4)^4))*IF(F107+IF($B$1+4&lt;=$B107,12*($B$7-$B$10),-12*($B$6+$B$10)*(1+$B$4)^4)&gt;0,1+$B$3,1))</f>
        <v/>
      </c>
      <c r="H107">
        <f>IF($B$1+5&gt;90,G107,(G107+IF($B$1+5&lt;=$B107,12*($B$7-$B$10),-12*($B$6+$B$10)*(1+$B$4)^5))*IF(G107+IF($B$1+5&lt;=$B107,12*($B$7-$B$10),-12*($B$6+$B$10)*(1+$B$4)^5)&gt;0,1+$B$3,1))</f>
        <v/>
      </c>
      <c r="I107">
        <f>IF($B$1+6&gt;90,H107,(H107+IF($B$1+6&lt;=$B107,12*($B$7-$B$10),-12*($B$6+$B$10)*(1+$B$4)^6))*IF(H107+IF($B$1+6&lt;=$B107,12*($B$7-$B$10),-12*($B$6+$B$10)*(1+$B$4)^6)&gt;0,1+$B$3,1))</f>
        <v/>
      </c>
      <c r="J107">
        <f>IF($B$1+7&gt;90,I107,(I107+IF($B$1+7&lt;=$B107,12*($B$7-$B$10),-12*($B$6+$B$10)*(1+$B$4)^7))*IF(I107+IF($B$1+7&lt;=$B107,12*($B$7-$B$10),-12*($B$6+$B$10)*(1+$B$4)^7)&gt;0,1+$B$3,1))</f>
        <v/>
      </c>
      <c r="K107">
        <f>IF($B$1+8&gt;90,J107,(J107+IF($B$1+8&lt;=$B107,12*($B$7-$B$10),-12*($B$6+$B$10)*(1+$B$4)^8))*IF(J107+IF($B$1+8&lt;=$B107,12*($B$7-$B$10),-12*($B$6+$B$10)*(1+$B$4)^8)&gt;0,1+$B$3,1))</f>
        <v/>
      </c>
      <c r="L107">
        <f>IF($B$1+9&gt;90,K107,(K107+IF($B$1+9&lt;=$B107,12*($B$7-$B$10),-12*($B$6+$B$10)*(1+$B$4)^9))*IF(K107+IF($B$1+9&lt;=$B107,12*($B$7-$B$10),-12*($B$6+$B$10)*(1+$B$4)^9)&gt;0,1+$B$3,1))</f>
        <v/>
      </c>
      <c r="M107">
        <f>IF($B$1+10&gt;90,L107,(L107+IF($B$1+10&lt;=$B107,12*($B$7-$B$10),-12*($B$6+$B$10)*(1+$B$4)^10))*IF(L107+IF($B$1+10&lt;=$B107,12*($B$7-$B$10),-12*($B$6+$B$10)*(1+$B$4)^10)&gt;0,1+$B$3,1))</f>
        <v/>
      </c>
      <c r="N107">
        <f>IF($B$1+11&gt;90,M107,(M107+IF($B$1+11&lt;=$B107,12*($B$7-$B$10),-12*($B$6+$B$10)*(1+$B$4)^11))*IF(M107+IF($B$1+11&lt;=$B107,12*($B$7-$B$10),-12*($B$6+$B$10)*(1+$B$4)^11)&gt;0,1+$B$3,1))</f>
        <v/>
      </c>
      <c r="O107">
        <f>IF($B$1+12&gt;90,N107,(N107+IF($B$1+12&lt;=$B107,12*($B$7-$B$10),-12*($B$6+$B$10)*(1+$B$4)^12))*IF(N107+IF($B$1+12&lt;=$B107,12*($B$7-$B$10),-12*($B$6+$B$10)*(1+$B$4)^12)&gt;0,1+$B$3,1))</f>
        <v/>
      </c>
      <c r="P107">
        <f>IF($B$1+13&gt;90,O107,(O107+IF($B$1+13&lt;=$B107,12*($B$7-$B$10),-12*($B$6+$B$10)*(1+$B$4)^13))*IF(O107+IF($B$1+13&lt;=$B107,12*($B$7-$B$10),-12*($B$6+$B$10)*(1+$B$4)^13)&gt;0,1+$B$3,1))</f>
        <v/>
      </c>
      <c r="Q107">
        <f>IF($B$1+14&gt;90,P107,(P107+IF($B$1+14&lt;=$B107,12*($B$7-$B$10),-12*($B$6+$B$10)*(1+$B$4)^14))*IF(P107+IF($B$1+14&lt;=$B107,12*($B$7-$B$10),-12*($B$6+$B$10)*(1+$B$4)^14)&gt;0,1+$B$3,1))</f>
        <v/>
      </c>
      <c r="R107">
        <f>IF($B$1+15&gt;90,Q107,(Q107+IF($B$1+15&lt;=$B107,12*($B$7-$B$10),-12*($B$6+$B$10)*(1+$B$4)^15))*IF(Q107+IF($B$1+15&lt;=$B107,12*($B$7-$B$10),-12*($B$6+$B$10)*(1+$B$4)^15)&gt;0,1+$B$3,1))</f>
        <v/>
      </c>
      <c r="S107">
        <f>IF($B$1+16&gt;90,R107,(R107+IF($B$1+16&lt;=$B107,12*($B$7-$B$10),-12*($B$6+$B$10)*(1+$B$4)^16))*IF(R107+IF($B$1+16&lt;=$B107,12*($B$7-$B$10),-12*($B$6+$B$10)*(1+$B$4)^16)&gt;0,1+$B$3,1))</f>
        <v/>
      </c>
      <c r="T107">
        <f>IF($B$1+17&gt;90,S107,(S107+IF($B$1+17&lt;=$B107,12*($B$7-$B$10),-12*($B$6+$B$10)*(1+$B$4)^17))*IF(S107+IF($B$1+17&lt;=$B107,12*($B$7-$B$10),-12*($B$6+$B$10)*(1+$B$4)^17)&gt;0,1+$B$3,1))</f>
        <v/>
      </c>
      <c r="U107">
        <f>IF($B$1+18&gt;90,T107,(T107+IF($B$1+18&lt;=$B107,12*($B$7-$B$10),-12*($B$6+$B$10)*(1+$B$4)^18))*IF(T107+IF($B$1+18&lt;=$B107,12*($B$7-$B$10),-12*($B$6+$B$10)*(1+$B$4)^18)&gt;0,1+$B$3,1))</f>
        <v/>
      </c>
      <c r="V107">
        <f>IF($B$1+19&gt;90,U107,(U107+IF($B$1+19&lt;=$B107,12*($B$7-$B$10),-12*($B$6+$B$10)*(1+$B$4)^19))*IF(U107+IF($B$1+19&lt;=$B107,12*($B$7-$B$10),-12*($B$6+$B$10)*(1+$B$4)^19)&gt;0,1+$B$3,1))</f>
        <v/>
      </c>
      <c r="W107">
        <f>IF($B$1+20&gt;90,V107,(V107+IF($B$1+20&lt;=$B107,12*($B$7-$B$10),-12*($B$6+$B$10)*(1+$B$4)^20))*IF(V107+IF($B$1+20&lt;=$B107,12*($B$7-$B$10),-12*($B$6+$B$10)*(1+$B$4)^20)&gt;0,1+$B$3,1))</f>
        <v/>
      </c>
      <c r="X107">
        <f>IF($B$1+21&gt;90,W107,(W107+IF($B$1+21&lt;=$B107,12*($B$7-$B$10),-12*($B$6+$B$10)*(1+$B$4)^21))*IF(W107+IF($B$1+21&lt;=$B107,12*($B$7-$B$10),-12*($B$6+$B$10)*(1+$B$4)^21)&gt;0,1+$B$3,1))</f>
        <v/>
      </c>
      <c r="Y107">
        <f>IF($B$1+22&gt;90,X107,(X107+IF($B$1+22&lt;=$B107,12*($B$7-$B$10),-12*($B$6+$B$10)*(1+$B$4)^22))*IF(X107+IF($B$1+22&lt;=$B107,12*($B$7-$B$10),-12*($B$6+$B$10)*(1+$B$4)^22)&gt;0,1+$B$3,1))</f>
        <v/>
      </c>
      <c r="Z107">
        <f>IF($B$1+23&gt;90,Y107,(Y107+IF($B$1+23&lt;=$B107,12*($B$7-$B$10),-12*($B$6+$B$10)*(1+$B$4)^23))*IF(Y107+IF($B$1+23&lt;=$B107,12*($B$7-$B$10),-12*($B$6+$B$10)*(1+$B$4)^23)&gt;0,1+$B$3,1))</f>
        <v/>
      </c>
      <c r="AA107">
        <f>IF($B$1+24&gt;90,Z107,(Z107+IF($B$1+24&lt;=$B107,12*($B$7-$B$10),-12*($B$6+$B$10)*(1+$B$4)^24))*IF(Z107+IF($B$1+24&lt;=$B107,12*($B$7-$B$10),-12*($B$6+$B$10)*(1+$B$4)^24)&gt;0,1+$B$3,1))</f>
        <v/>
      </c>
      <c r="AB107">
        <f>IF($B$1+25&gt;90,AA107,(AA107+IF($B$1+25&lt;=$B107,12*($B$7-$B$10),-12*($B$6+$B$10)*(1+$B$4)^25))*IF(AA107+IF($B$1+25&lt;=$B107,12*($B$7-$B$10),-12*($B$6+$B$10)*(1+$B$4)^25)&gt;0,1+$B$3,1))</f>
        <v/>
      </c>
      <c r="AC107">
        <f>IF($B$1+26&gt;90,AB107,(AB107+IF($B$1+26&lt;=$B107,12*($B$7-$B$10),-12*($B$6+$B$10)*(1+$B$4)^26))*IF(AB107+IF($B$1+26&lt;=$B107,12*($B$7-$B$10),-12*($B$6+$B$10)*(1+$B$4)^26)&gt;0,1+$B$3,1))</f>
        <v/>
      </c>
      <c r="AD107">
        <f>IF($B$1+27&gt;90,AC107,(AC107+IF($B$1+27&lt;=$B107,12*($B$7-$B$10),-12*($B$6+$B$10)*(1+$B$4)^27))*IF(AC107+IF($B$1+27&lt;=$B107,12*($B$7-$B$10),-12*($B$6+$B$10)*(1+$B$4)^27)&gt;0,1+$B$3,1))</f>
        <v/>
      </c>
      <c r="AE107">
        <f>IF($B$1+28&gt;90,AD107,(AD107+IF($B$1+28&lt;=$B107,12*($B$7-$B$10),-12*($B$6+$B$10)*(1+$B$4)^28))*IF(AD107+IF($B$1+28&lt;=$B107,12*($B$7-$B$10),-12*($B$6+$B$10)*(1+$B$4)^28)&gt;0,1+$B$3,1))</f>
        <v/>
      </c>
      <c r="AF107">
        <f>IF($B$1+29&gt;90,AE107,(AE107+IF($B$1+29&lt;=$B107,12*($B$7-$B$10),-12*($B$6+$B$10)*(1+$B$4)^29))*IF(AE107+IF($B$1+29&lt;=$B107,12*($B$7-$B$10),-12*($B$6+$B$10)*(1+$B$4)^29)&gt;0,1+$B$3,1))</f>
        <v/>
      </c>
      <c r="AG107">
        <f>IF($B$1+30&gt;90,AF107,(AF107+IF($B$1+30&lt;=$B107,12*($B$7-$B$10),-12*($B$6+$B$10)*(1+$B$4)^30))*IF(AF107+IF($B$1+30&lt;=$B107,12*($B$7-$B$10),-12*($B$6+$B$10)*(1+$B$4)^30)&gt;0,1+$B$3,1))</f>
        <v/>
      </c>
      <c r="AH107">
        <f>IF($B$1+31&gt;90,AG107,(AG107+IF($B$1+31&lt;=$B107,12*($B$7-$B$10),-12*($B$6+$B$10)*(1+$B$4)^31))*IF(AG107+IF($B$1+31&lt;=$B107,12*($B$7-$B$10),-12*($B$6+$B$10)*(1+$B$4)^31)&gt;0,1+$B$3,1))</f>
        <v/>
      </c>
      <c r="AI107">
        <f>IF($B$1+32&gt;90,AH107,(AH107+IF($B$1+32&lt;=$B107,12*($B$7-$B$10),-12*($B$6+$B$10)*(1+$B$4)^32))*IF(AH107+IF($B$1+32&lt;=$B107,12*($B$7-$B$10),-12*($B$6+$B$10)*(1+$B$4)^32)&gt;0,1+$B$3,1))</f>
        <v/>
      </c>
      <c r="AJ107">
        <f>IF($B$1+33&gt;90,AI107,(AI107+IF($B$1+33&lt;=$B107,12*($B$7-$B$10),-12*($B$6+$B$10)*(1+$B$4)^33))*IF(AI107+IF($B$1+33&lt;=$B107,12*($B$7-$B$10),-12*($B$6+$B$10)*(1+$B$4)^33)&gt;0,1+$B$3,1))</f>
        <v/>
      </c>
      <c r="AK107">
        <f>IF($B$1+34&gt;90,AJ107,(AJ107+IF($B$1+34&lt;=$B107,12*($B$7-$B$10),-12*($B$6+$B$10)*(1+$B$4)^34))*IF(AJ107+IF($B$1+34&lt;=$B107,12*($B$7-$B$10),-12*($B$6+$B$10)*(1+$B$4)^34)&gt;0,1+$B$3,1))</f>
        <v/>
      </c>
      <c r="AL107">
        <f>IF($B$1+35&gt;90,AK107,(AK107+IF($B$1+35&lt;=$B107,12*($B$7-$B$10),-12*($B$6+$B$10)*(1+$B$4)^35))*IF(AK107+IF($B$1+35&lt;=$B107,12*($B$7-$B$10),-12*($B$6+$B$10)*(1+$B$4)^35)&gt;0,1+$B$3,1))</f>
        <v/>
      </c>
      <c r="AM107">
        <f>IF($B$1+36&gt;90,AL107,(AL107+IF($B$1+36&lt;=$B107,12*($B$7-$B$10),-12*($B$6+$B$10)*(1+$B$4)^36))*IF(AL107+IF($B$1+36&lt;=$B107,12*($B$7-$B$10),-12*($B$6+$B$10)*(1+$B$4)^36)&gt;0,1+$B$3,1))</f>
        <v/>
      </c>
      <c r="AN107">
        <f>IF($B$1+37&gt;90,AM107,(AM107+IF($B$1+37&lt;=$B107,12*($B$7-$B$10),-12*($B$6+$B$10)*(1+$B$4)^37))*IF(AM107+IF($B$1+37&lt;=$B107,12*($B$7-$B$10),-12*($B$6+$B$10)*(1+$B$4)^37)&gt;0,1+$B$3,1))</f>
        <v/>
      </c>
      <c r="AO107">
        <f>IF($B$1+38&gt;90,AN107,(AN107+IF($B$1+38&lt;=$B107,12*($B$7-$B$10),-12*($B$6+$B$10)*(1+$B$4)^38))*IF(AN107+IF($B$1+38&lt;=$B107,12*($B$7-$B$10),-12*($B$6+$B$10)*(1+$B$4)^38)&gt;0,1+$B$3,1))</f>
        <v/>
      </c>
      <c r="AP107">
        <f>IF($B$1+39&gt;90,AO107,(AO107+IF($B$1+39&lt;=$B107,12*($B$7-$B$10),-12*($B$6+$B$10)*(1+$B$4)^39))*IF(AO107+IF($B$1+39&lt;=$B107,12*($B$7-$B$10),-12*($B$6+$B$10)*(1+$B$4)^39)&gt;0,1+$B$3,1))</f>
        <v/>
      </c>
      <c r="AQ107">
        <f>IF($B$1+40&gt;90,AP107,(AP107+IF($B$1+40&lt;=$B107,12*($B$7-$B$10),-12*($B$6+$B$10)*(1+$B$4)^40))*IF(AP107+IF($B$1+40&lt;=$B107,12*($B$7-$B$10),-12*($B$6+$B$10)*(1+$B$4)^40)&gt;0,1+$B$3,1))</f>
        <v/>
      </c>
      <c r="AR107">
        <f>IF($B$1+41&gt;90,AQ107,(AQ107+IF($B$1+41&lt;=$B107,12*($B$7-$B$10),-12*($B$6+$B$10)*(1+$B$4)^41))*IF(AQ107+IF($B$1+41&lt;=$B107,12*($B$7-$B$10),-12*($B$6+$B$10)*(1+$B$4)^41)&gt;0,1+$B$3,1))</f>
        <v/>
      </c>
      <c r="AS107">
        <f>IF($B$1+42&gt;90,AR107,(AR107+IF($B$1+42&lt;=$B107,12*($B$7-$B$10),-12*($B$6+$B$10)*(1+$B$4)^42))*IF(AR107+IF($B$1+42&lt;=$B107,12*($B$7-$B$10),-12*($B$6+$B$10)*(1+$B$4)^42)&gt;0,1+$B$3,1))</f>
        <v/>
      </c>
      <c r="AT107">
        <f>IF($B$1+43&gt;90,AS107,(AS107+IF($B$1+43&lt;=$B107,12*($B$7-$B$10),-12*($B$6+$B$10)*(1+$B$4)^43))*IF(AS107+IF($B$1+43&lt;=$B107,12*($B$7-$B$10),-12*($B$6+$B$10)*(1+$B$4)^43)&gt;0,1+$B$3,1))</f>
        <v/>
      </c>
      <c r="AU107">
        <f>IF($B$1+44&gt;90,AT107,(AT107+IF($B$1+44&lt;=$B107,12*($B$7-$B$10),-12*($B$6+$B$10)*(1+$B$4)^44))*IF(AT107+IF($B$1+44&lt;=$B107,12*($B$7-$B$10),-12*($B$6+$B$10)*(1+$B$4)^44)&gt;0,1+$B$3,1))</f>
        <v/>
      </c>
      <c r="AV107">
        <f>IF($B$1+45&gt;90,AU107,(AU107+IF($B$1+45&lt;=$B107,12*($B$7-$B$10),-12*($B$6+$B$10)*(1+$B$4)^45))*IF(AU107+IF($B$1+45&lt;=$B107,12*($B$7-$B$10),-12*($B$6+$B$10)*(1+$B$4)^45)&gt;0,1+$B$3,1))</f>
        <v/>
      </c>
      <c r="AW107">
        <f>IF($B$1+46&gt;90,AV107,(AV107+IF($B$1+46&lt;=$B107,12*($B$7-$B$10),-12*($B$6+$B$10)*(1+$B$4)^46))*IF(AV107+IF($B$1+46&lt;=$B107,12*($B$7-$B$10),-12*($B$6+$B$10)*(1+$B$4)^46)&gt;0,1+$B$3,1))</f>
        <v/>
      </c>
      <c r="AX107">
        <f>IF($B$1+47&gt;90,AW107,(AW107+IF($B$1+47&lt;=$B107,12*($B$7-$B$10),-12*($B$6+$B$10)*(1+$B$4)^47))*IF(AW107+IF($B$1+47&lt;=$B107,12*($B$7-$B$10),-12*($B$6+$B$10)*(1+$B$4)^47)&gt;0,1+$B$3,1))</f>
        <v/>
      </c>
      <c r="AY107">
        <f>IF($B$1+48&gt;90,AX107,(AX107+IF($B$1+48&lt;=$B107,12*($B$7-$B$10),-12*($B$6+$B$10)*(1+$B$4)^48))*IF(AX107+IF($B$1+48&lt;=$B107,12*($B$7-$B$10),-12*($B$6+$B$10)*(1+$B$4)^48)&gt;0,1+$B$3,1))</f>
        <v/>
      </c>
      <c r="AZ107">
        <f>IF($B$1+49&gt;90,AY107,(AY107+IF($B$1+49&lt;=$B107,12*($B$7-$B$10),-12*($B$6+$B$10)*(1+$B$4)^49))*IF(AY107+IF($B$1+49&lt;=$B107,12*($B$7-$B$10),-12*($B$6+$B$10)*(1+$B$4)^49)&gt;0,1+$B$3,1))</f>
        <v/>
      </c>
      <c r="BA107">
        <f>IF($B$1+50&gt;90,AZ107,(AZ107+IF($B$1+50&lt;=$B107,12*($B$7-$B$10),-12*($B$6+$B$10)*(1+$B$4)^50))*IF(AZ107+IF($B$1+50&lt;=$B107,12*($B$7-$B$10),-12*($B$6+$B$10)*(1+$B$4)^50)&gt;0,1+$B$3,1))</f>
        <v/>
      </c>
      <c r="BB107">
        <f>IF($B$1+51&gt;90,BA107,(BA107+IF($B$1+51&lt;=$B107,12*($B$7-$B$10),-12*($B$6+$B$10)*(1+$B$4)^51))*IF(BA107+IF($B$1+51&lt;=$B107,12*($B$7-$B$10),-12*($B$6+$B$10)*(1+$B$4)^51)&gt;0,1+$B$3,1))</f>
        <v/>
      </c>
      <c r="BC107">
        <f>IF($B$1+52&gt;90,BB107,(BB107+IF($B$1+52&lt;=$B107,12*($B$7-$B$10),-12*($B$6+$B$10)*(1+$B$4)^52))*IF(BB107+IF($B$1+52&lt;=$B107,12*($B$7-$B$10),-12*($B$6+$B$10)*(1+$B$4)^52)&gt;0,1+$B$3,1))</f>
        <v/>
      </c>
      <c r="BD107">
        <f>IF($B$1+53&gt;90,BC107,(BC107+IF($B$1+53&lt;=$B107,12*($B$7-$B$10),-12*($B$6+$B$10)*(1+$B$4)^53))*IF(BC107+IF($B$1+53&lt;=$B107,12*($B$7-$B$10),-12*($B$6+$B$10)*(1+$B$4)^53)&gt;0,1+$B$3,1))</f>
        <v/>
      </c>
      <c r="BE107">
        <f>IF($B$1+54&gt;90,BD107,(BD107+IF($B$1+54&lt;=$B107,12*($B$7-$B$10),-12*($B$6+$B$10)*(1+$B$4)^54))*IF(BD107+IF($B$1+54&lt;=$B107,12*($B$7-$B$10),-12*($B$6+$B$10)*(1+$B$4)^54)&gt;0,1+$B$3,1))</f>
        <v/>
      </c>
      <c r="BF107">
        <f>IF($B$1+55&gt;90,BE107,(BE107+IF($B$1+55&lt;=$B107,12*($B$7-$B$10),-12*($B$6+$B$10)*(1+$B$4)^55))*IF(BE107+IF($B$1+55&lt;=$B107,12*($B$7-$B$10),-12*($B$6+$B$10)*(1+$B$4)^55)&gt;0,1+$B$3,1))</f>
        <v/>
      </c>
      <c r="BG107">
        <f>IF($B$1+56&gt;90,BF107,(BF107+IF($B$1+56&lt;=$B107,12*($B$7-$B$10),-12*($B$6+$B$10)*(1+$B$4)^56))*IF(BF107+IF($B$1+56&lt;=$B107,12*($B$7-$B$10),-12*($B$6+$B$10)*(1+$B$4)^56)&gt;0,1+$B$3,1))</f>
        <v/>
      </c>
      <c r="BH107">
        <f>IF($B$1+57&gt;90,BG107,(BG107+IF($B$1+57&lt;=$B107,12*($B$7-$B$10),-12*($B$6+$B$10)*(1+$B$4)^57))*IF(BG107+IF($B$1+57&lt;=$B107,12*($B$7-$B$10),-12*($B$6+$B$10)*(1+$B$4)^57)&gt;0,1+$B$3,1))</f>
        <v/>
      </c>
      <c r="BI107">
        <f>IF($B$1+58&gt;90,BH107,(BH107+IF($B$1+58&lt;=$B107,12*($B$7-$B$10),-12*($B$6+$B$10)*(1+$B$4)^58))*IF(BH107+IF($B$1+58&lt;=$B107,12*($B$7-$B$10),-12*($B$6+$B$10)*(1+$B$4)^58)&gt;0,1+$B$3,1))</f>
        <v/>
      </c>
      <c r="BJ107">
        <f>IF($B$1+59&gt;90,BI107,(BI107+IF($B$1+59&lt;=$B107,12*($B$7-$B$10),-12*($B$6+$B$10)*(1+$B$4)^59))*IF(BI107+IF($B$1+59&lt;=$B107,12*($B$7-$B$10),-12*($B$6+$B$10)*(1+$B$4)^59)&gt;0,1+$B$3,1))</f>
        <v/>
      </c>
      <c r="BK107">
        <f>IF($B$1+60&gt;90,BJ107,(BJ107+IF($B$1+60&lt;=$B107,12*($B$7-$B$10),-12*($B$6+$B$10)*(1+$B$4)^60))*IF(BJ107+IF($B$1+60&lt;=$B107,12*($B$7-$B$10),-12*($B$6+$B$10)*(1+$B$4)^60)&gt;0,1+$B$3,1))</f>
        <v/>
      </c>
      <c r="BL107">
        <f>IF($B$1+61&gt;90,BK107,(BK107+IF($B$1+61&lt;=$B107,12*($B$7-$B$10),-12*($B$6+$B$10)*(1+$B$4)^61))*IF(BK107+IF($B$1+61&lt;=$B107,12*($B$7-$B$10),-12*($B$6+$B$10)*(1+$B$4)^61)&gt;0,1+$B$3,1))</f>
        <v/>
      </c>
      <c r="BM107">
        <f>IF($B$1+62&gt;90,BL107,(BL107+IF($B$1+62&lt;=$B107,12*($B$7-$B$10),-12*($B$6+$B$10)*(1+$B$4)^62))*IF(BL107+IF($B$1+62&lt;=$B107,12*($B$7-$B$10),-12*($B$6+$B$10)*(1+$B$4)^62)&gt;0,1+$B$3,1))</f>
        <v/>
      </c>
      <c r="BN107">
        <f>IF($B$1+63&gt;90,BM107,(BM107+IF($B$1+63&lt;=$B107,12*($B$7-$B$10),-12*($B$6+$B$10)*(1+$B$4)^63))*IF(BM107+IF($B$1+63&lt;=$B107,12*($B$7-$B$10),-12*($B$6+$B$10)*(1+$B$4)^63)&gt;0,1+$B$3,1))</f>
        <v/>
      </c>
      <c r="BO107">
        <f>IF($B$1+64&gt;90,BN107,(BN107+IF($B$1+64&lt;=$B107,12*($B$7-$B$10),-12*($B$6+$B$10)*(1+$B$4)^64))*IF(BN107+IF($B$1+64&lt;=$B107,12*($B$7-$B$10),-12*($B$6+$B$10)*(1+$B$4)^64)&gt;0,1+$B$3,1))</f>
        <v/>
      </c>
      <c r="BP107">
        <f>IF($B$1+65&gt;90,BO107,(BO107+IF($B$1+65&lt;=$B107,12*($B$7-$B$10),-12*($B$6+$B$10)*(1+$B$4)^65))*IF(BO107+IF($B$1+65&lt;=$B107,12*($B$7-$B$10),-12*($B$6+$B$10)*(1+$B$4)^65)&gt;0,1+$B$3,1))</f>
        <v/>
      </c>
      <c r="BQ107">
        <f>IF($B$1+66&gt;90,BP107,(BP107+IF($B$1+66&lt;=$B107,12*($B$7-$B$10),-12*($B$6+$B$10)*(1+$B$4)^66))*IF(BP107+IF($B$1+66&lt;=$B107,12*($B$7-$B$10),-12*($B$6+$B$10)*(1+$B$4)^66)&gt;0,1+$B$3,1))</f>
        <v/>
      </c>
      <c r="BR107">
        <f>IF($B$1+67&gt;90,BQ107,(BQ107+IF($B$1+67&lt;=$B107,12*($B$7-$B$10),-12*($B$6+$B$10)*(1+$B$4)^67))*IF(BQ107+IF($B$1+67&lt;=$B107,12*($B$7-$B$10),-12*($B$6+$B$10)*(1+$B$4)^67)&gt;0,1+$B$3,1))</f>
        <v/>
      </c>
      <c r="BS107">
        <f>IF($B$1+68&gt;90,BR107,(BR107+IF($B$1+68&lt;=$B107,12*($B$7-$B$10),-12*($B$6+$B$10)*(1+$B$4)^68))*IF(BR107+IF($B$1+68&lt;=$B107,12*($B$7-$B$10),-12*($B$6+$B$10)*(1+$B$4)^68)&gt;0,1+$B$3,1))</f>
        <v/>
      </c>
      <c r="BT107">
        <f>IF($B$1+69&gt;90,BS107,(BS107+IF($B$1+69&lt;=$B107,12*($B$7-$B$10),-12*($B$6+$B$10)*(1+$B$4)^69))*IF(BS107+IF($B$1+69&lt;=$B107,12*($B$7-$B$10),-12*($B$6+$B$10)*(1+$B$4)^69)&gt;0,1+$B$3,1))</f>
        <v/>
      </c>
      <c r="BU107">
        <f>IF($B$1+70&gt;90,BT107,(BT107+IF($B$1+70&lt;=$B107,12*($B$7-$B$10),-12*($B$6+$B$10)*(1+$B$4)^70))*IF(BT107+IF($B$1+70&lt;=$B107,12*($B$7-$B$10),-12*($B$6+$B$10)*(1+$B$4)^70)&gt;0,1+$B$3,1))</f>
        <v/>
      </c>
      <c r="BV107">
        <f>BU107</f>
        <v/>
      </c>
      <c r="BW107">
        <f>IF(AND($B107&lt;=70,BV107&gt;0),$B107,999)</f>
        <v/>
      </c>
    </row>
    <row r="108">
      <c r="A108" t="n">
        <v>12</v>
      </c>
      <c r="B108">
        <f>$B$1+12</f>
        <v/>
      </c>
      <c r="C108">
        <f>$B$2</f>
        <v/>
      </c>
      <c r="D108">
        <f>IF($B$1+1&gt;90,C108,(C108+IF($B$1+1&lt;=$B108,12*($B$7-$B$10),-12*($B$6+$B$10)*(1+$B$4)^1))*IF(C108+IF($B$1+1&lt;=$B108,12*($B$7-$B$10),-12*($B$6+$B$10)*(1+$B$4)^1)&gt;0,1+$B$3,1))</f>
        <v/>
      </c>
      <c r="E108">
        <f>IF($B$1+2&gt;90,D108,(D108+IF($B$1+2&lt;=$B108,12*($B$7-$B$10),-12*($B$6+$B$10)*(1+$B$4)^2))*IF(D108+IF($B$1+2&lt;=$B108,12*($B$7-$B$10),-12*($B$6+$B$10)*(1+$B$4)^2)&gt;0,1+$B$3,1))</f>
        <v/>
      </c>
      <c r="F108">
        <f>IF($B$1+3&gt;90,E108,(E108+IF($B$1+3&lt;=$B108,12*($B$7-$B$10),-12*($B$6+$B$10)*(1+$B$4)^3))*IF(E108+IF($B$1+3&lt;=$B108,12*($B$7-$B$10),-12*($B$6+$B$10)*(1+$B$4)^3)&gt;0,1+$B$3,1))</f>
        <v/>
      </c>
      <c r="G108">
        <f>IF($B$1+4&gt;90,F108,(F108+IF($B$1+4&lt;=$B108,12*($B$7-$B$10),-12*($B$6+$B$10)*(1+$B$4)^4))*IF(F108+IF($B$1+4&lt;=$B108,12*($B$7-$B$10),-12*($B$6+$B$10)*(1+$B$4)^4)&gt;0,1+$B$3,1))</f>
        <v/>
      </c>
      <c r="H108">
        <f>IF($B$1+5&gt;90,G108,(G108+IF($B$1+5&lt;=$B108,12*($B$7-$B$10),-12*($B$6+$B$10)*(1+$B$4)^5))*IF(G108+IF($B$1+5&lt;=$B108,12*($B$7-$B$10),-12*($B$6+$B$10)*(1+$B$4)^5)&gt;0,1+$B$3,1))</f>
        <v/>
      </c>
      <c r="I108">
        <f>IF($B$1+6&gt;90,H108,(H108+IF($B$1+6&lt;=$B108,12*($B$7-$B$10),-12*($B$6+$B$10)*(1+$B$4)^6))*IF(H108+IF($B$1+6&lt;=$B108,12*($B$7-$B$10),-12*($B$6+$B$10)*(1+$B$4)^6)&gt;0,1+$B$3,1))</f>
        <v/>
      </c>
      <c r="J108">
        <f>IF($B$1+7&gt;90,I108,(I108+IF($B$1+7&lt;=$B108,12*($B$7-$B$10),-12*($B$6+$B$10)*(1+$B$4)^7))*IF(I108+IF($B$1+7&lt;=$B108,12*($B$7-$B$10),-12*($B$6+$B$10)*(1+$B$4)^7)&gt;0,1+$B$3,1))</f>
        <v/>
      </c>
      <c r="K108">
        <f>IF($B$1+8&gt;90,J108,(J108+IF($B$1+8&lt;=$B108,12*($B$7-$B$10),-12*($B$6+$B$10)*(1+$B$4)^8))*IF(J108+IF($B$1+8&lt;=$B108,12*($B$7-$B$10),-12*($B$6+$B$10)*(1+$B$4)^8)&gt;0,1+$B$3,1))</f>
        <v/>
      </c>
      <c r="L108">
        <f>IF($B$1+9&gt;90,K108,(K108+IF($B$1+9&lt;=$B108,12*($B$7-$B$10),-12*($B$6+$B$10)*(1+$B$4)^9))*IF(K108+IF($B$1+9&lt;=$B108,12*($B$7-$B$10),-12*($B$6+$B$10)*(1+$B$4)^9)&gt;0,1+$B$3,1))</f>
        <v/>
      </c>
      <c r="M108">
        <f>IF($B$1+10&gt;90,L108,(L108+IF($B$1+10&lt;=$B108,12*($B$7-$B$10),-12*($B$6+$B$10)*(1+$B$4)^10))*IF(L108+IF($B$1+10&lt;=$B108,12*($B$7-$B$10),-12*($B$6+$B$10)*(1+$B$4)^10)&gt;0,1+$B$3,1))</f>
        <v/>
      </c>
      <c r="N108">
        <f>IF($B$1+11&gt;90,M108,(M108+IF($B$1+11&lt;=$B108,12*($B$7-$B$10),-12*($B$6+$B$10)*(1+$B$4)^11))*IF(M108+IF($B$1+11&lt;=$B108,12*($B$7-$B$10),-12*($B$6+$B$10)*(1+$B$4)^11)&gt;0,1+$B$3,1))</f>
        <v/>
      </c>
      <c r="O108">
        <f>IF($B$1+12&gt;90,N108,(N108+IF($B$1+12&lt;=$B108,12*($B$7-$B$10),-12*($B$6+$B$10)*(1+$B$4)^12))*IF(N108+IF($B$1+12&lt;=$B108,12*($B$7-$B$10),-12*($B$6+$B$10)*(1+$B$4)^12)&gt;0,1+$B$3,1))</f>
        <v/>
      </c>
      <c r="P108">
        <f>IF($B$1+13&gt;90,O108,(O108+IF($B$1+13&lt;=$B108,12*($B$7-$B$10),-12*($B$6+$B$10)*(1+$B$4)^13))*IF(O108+IF($B$1+13&lt;=$B108,12*($B$7-$B$10),-12*($B$6+$B$10)*(1+$B$4)^13)&gt;0,1+$B$3,1))</f>
        <v/>
      </c>
      <c r="Q108">
        <f>IF($B$1+14&gt;90,P108,(P108+IF($B$1+14&lt;=$B108,12*($B$7-$B$10),-12*($B$6+$B$10)*(1+$B$4)^14))*IF(P108+IF($B$1+14&lt;=$B108,12*($B$7-$B$10),-12*($B$6+$B$10)*(1+$B$4)^14)&gt;0,1+$B$3,1))</f>
        <v/>
      </c>
      <c r="R108">
        <f>IF($B$1+15&gt;90,Q108,(Q108+IF($B$1+15&lt;=$B108,12*($B$7-$B$10),-12*($B$6+$B$10)*(1+$B$4)^15))*IF(Q108+IF($B$1+15&lt;=$B108,12*($B$7-$B$10),-12*($B$6+$B$10)*(1+$B$4)^15)&gt;0,1+$B$3,1))</f>
        <v/>
      </c>
      <c r="S108">
        <f>IF($B$1+16&gt;90,R108,(R108+IF($B$1+16&lt;=$B108,12*($B$7-$B$10),-12*($B$6+$B$10)*(1+$B$4)^16))*IF(R108+IF($B$1+16&lt;=$B108,12*($B$7-$B$10),-12*($B$6+$B$10)*(1+$B$4)^16)&gt;0,1+$B$3,1))</f>
        <v/>
      </c>
      <c r="T108">
        <f>IF($B$1+17&gt;90,S108,(S108+IF($B$1+17&lt;=$B108,12*($B$7-$B$10),-12*($B$6+$B$10)*(1+$B$4)^17))*IF(S108+IF($B$1+17&lt;=$B108,12*($B$7-$B$10),-12*($B$6+$B$10)*(1+$B$4)^17)&gt;0,1+$B$3,1))</f>
        <v/>
      </c>
      <c r="U108">
        <f>IF($B$1+18&gt;90,T108,(T108+IF($B$1+18&lt;=$B108,12*($B$7-$B$10),-12*($B$6+$B$10)*(1+$B$4)^18))*IF(T108+IF($B$1+18&lt;=$B108,12*($B$7-$B$10),-12*($B$6+$B$10)*(1+$B$4)^18)&gt;0,1+$B$3,1))</f>
        <v/>
      </c>
      <c r="V108">
        <f>IF($B$1+19&gt;90,U108,(U108+IF($B$1+19&lt;=$B108,12*($B$7-$B$10),-12*($B$6+$B$10)*(1+$B$4)^19))*IF(U108+IF($B$1+19&lt;=$B108,12*($B$7-$B$10),-12*($B$6+$B$10)*(1+$B$4)^19)&gt;0,1+$B$3,1))</f>
        <v/>
      </c>
      <c r="W108">
        <f>IF($B$1+20&gt;90,V108,(V108+IF($B$1+20&lt;=$B108,12*($B$7-$B$10),-12*($B$6+$B$10)*(1+$B$4)^20))*IF(V108+IF($B$1+20&lt;=$B108,12*($B$7-$B$10),-12*($B$6+$B$10)*(1+$B$4)^20)&gt;0,1+$B$3,1))</f>
        <v/>
      </c>
      <c r="X108">
        <f>IF($B$1+21&gt;90,W108,(W108+IF($B$1+21&lt;=$B108,12*($B$7-$B$10),-12*($B$6+$B$10)*(1+$B$4)^21))*IF(W108+IF($B$1+21&lt;=$B108,12*($B$7-$B$10),-12*($B$6+$B$10)*(1+$B$4)^21)&gt;0,1+$B$3,1))</f>
        <v/>
      </c>
      <c r="Y108">
        <f>IF($B$1+22&gt;90,X108,(X108+IF($B$1+22&lt;=$B108,12*($B$7-$B$10),-12*($B$6+$B$10)*(1+$B$4)^22))*IF(X108+IF($B$1+22&lt;=$B108,12*($B$7-$B$10),-12*($B$6+$B$10)*(1+$B$4)^22)&gt;0,1+$B$3,1))</f>
        <v/>
      </c>
      <c r="Z108">
        <f>IF($B$1+23&gt;90,Y108,(Y108+IF($B$1+23&lt;=$B108,12*($B$7-$B$10),-12*($B$6+$B$10)*(1+$B$4)^23))*IF(Y108+IF($B$1+23&lt;=$B108,12*($B$7-$B$10),-12*($B$6+$B$10)*(1+$B$4)^23)&gt;0,1+$B$3,1))</f>
        <v/>
      </c>
      <c r="AA108">
        <f>IF($B$1+24&gt;90,Z108,(Z108+IF($B$1+24&lt;=$B108,12*($B$7-$B$10),-12*($B$6+$B$10)*(1+$B$4)^24))*IF(Z108+IF($B$1+24&lt;=$B108,12*($B$7-$B$10),-12*($B$6+$B$10)*(1+$B$4)^24)&gt;0,1+$B$3,1))</f>
        <v/>
      </c>
      <c r="AB108">
        <f>IF($B$1+25&gt;90,AA108,(AA108+IF($B$1+25&lt;=$B108,12*($B$7-$B$10),-12*($B$6+$B$10)*(1+$B$4)^25))*IF(AA108+IF($B$1+25&lt;=$B108,12*($B$7-$B$10),-12*($B$6+$B$10)*(1+$B$4)^25)&gt;0,1+$B$3,1))</f>
        <v/>
      </c>
      <c r="AC108">
        <f>IF($B$1+26&gt;90,AB108,(AB108+IF($B$1+26&lt;=$B108,12*($B$7-$B$10),-12*($B$6+$B$10)*(1+$B$4)^26))*IF(AB108+IF($B$1+26&lt;=$B108,12*($B$7-$B$10),-12*($B$6+$B$10)*(1+$B$4)^26)&gt;0,1+$B$3,1))</f>
        <v/>
      </c>
      <c r="AD108">
        <f>IF($B$1+27&gt;90,AC108,(AC108+IF($B$1+27&lt;=$B108,12*($B$7-$B$10),-12*($B$6+$B$10)*(1+$B$4)^27))*IF(AC108+IF($B$1+27&lt;=$B108,12*($B$7-$B$10),-12*($B$6+$B$10)*(1+$B$4)^27)&gt;0,1+$B$3,1))</f>
        <v/>
      </c>
      <c r="AE108">
        <f>IF($B$1+28&gt;90,AD108,(AD108+IF($B$1+28&lt;=$B108,12*($B$7-$B$10),-12*($B$6+$B$10)*(1+$B$4)^28))*IF(AD108+IF($B$1+28&lt;=$B108,12*($B$7-$B$10),-12*($B$6+$B$10)*(1+$B$4)^28)&gt;0,1+$B$3,1))</f>
        <v/>
      </c>
      <c r="AF108">
        <f>IF($B$1+29&gt;90,AE108,(AE108+IF($B$1+29&lt;=$B108,12*($B$7-$B$10),-12*($B$6+$B$10)*(1+$B$4)^29))*IF(AE108+IF($B$1+29&lt;=$B108,12*($B$7-$B$10),-12*($B$6+$B$10)*(1+$B$4)^29)&gt;0,1+$B$3,1))</f>
        <v/>
      </c>
      <c r="AG108">
        <f>IF($B$1+30&gt;90,AF108,(AF108+IF($B$1+30&lt;=$B108,12*($B$7-$B$10),-12*($B$6+$B$10)*(1+$B$4)^30))*IF(AF108+IF($B$1+30&lt;=$B108,12*($B$7-$B$10),-12*($B$6+$B$10)*(1+$B$4)^30)&gt;0,1+$B$3,1))</f>
        <v/>
      </c>
      <c r="AH108">
        <f>IF($B$1+31&gt;90,AG108,(AG108+IF($B$1+31&lt;=$B108,12*($B$7-$B$10),-12*($B$6+$B$10)*(1+$B$4)^31))*IF(AG108+IF($B$1+31&lt;=$B108,12*($B$7-$B$10),-12*($B$6+$B$10)*(1+$B$4)^31)&gt;0,1+$B$3,1))</f>
        <v/>
      </c>
      <c r="AI108">
        <f>IF($B$1+32&gt;90,AH108,(AH108+IF($B$1+32&lt;=$B108,12*($B$7-$B$10),-12*($B$6+$B$10)*(1+$B$4)^32))*IF(AH108+IF($B$1+32&lt;=$B108,12*($B$7-$B$10),-12*($B$6+$B$10)*(1+$B$4)^32)&gt;0,1+$B$3,1))</f>
        <v/>
      </c>
      <c r="AJ108">
        <f>IF($B$1+33&gt;90,AI108,(AI108+IF($B$1+33&lt;=$B108,12*($B$7-$B$10),-12*($B$6+$B$10)*(1+$B$4)^33))*IF(AI108+IF($B$1+33&lt;=$B108,12*($B$7-$B$10),-12*($B$6+$B$10)*(1+$B$4)^33)&gt;0,1+$B$3,1))</f>
        <v/>
      </c>
      <c r="AK108">
        <f>IF($B$1+34&gt;90,AJ108,(AJ108+IF($B$1+34&lt;=$B108,12*($B$7-$B$10),-12*($B$6+$B$10)*(1+$B$4)^34))*IF(AJ108+IF($B$1+34&lt;=$B108,12*($B$7-$B$10),-12*($B$6+$B$10)*(1+$B$4)^34)&gt;0,1+$B$3,1))</f>
        <v/>
      </c>
      <c r="AL108">
        <f>IF($B$1+35&gt;90,AK108,(AK108+IF($B$1+35&lt;=$B108,12*($B$7-$B$10),-12*($B$6+$B$10)*(1+$B$4)^35))*IF(AK108+IF($B$1+35&lt;=$B108,12*($B$7-$B$10),-12*($B$6+$B$10)*(1+$B$4)^35)&gt;0,1+$B$3,1))</f>
        <v/>
      </c>
      <c r="AM108">
        <f>IF($B$1+36&gt;90,AL108,(AL108+IF($B$1+36&lt;=$B108,12*($B$7-$B$10),-12*($B$6+$B$10)*(1+$B$4)^36))*IF(AL108+IF($B$1+36&lt;=$B108,12*($B$7-$B$10),-12*($B$6+$B$10)*(1+$B$4)^36)&gt;0,1+$B$3,1))</f>
        <v/>
      </c>
      <c r="AN108">
        <f>IF($B$1+37&gt;90,AM108,(AM108+IF($B$1+37&lt;=$B108,12*($B$7-$B$10),-12*($B$6+$B$10)*(1+$B$4)^37))*IF(AM108+IF($B$1+37&lt;=$B108,12*($B$7-$B$10),-12*($B$6+$B$10)*(1+$B$4)^37)&gt;0,1+$B$3,1))</f>
        <v/>
      </c>
      <c r="AO108">
        <f>IF($B$1+38&gt;90,AN108,(AN108+IF($B$1+38&lt;=$B108,12*($B$7-$B$10),-12*($B$6+$B$10)*(1+$B$4)^38))*IF(AN108+IF($B$1+38&lt;=$B108,12*($B$7-$B$10),-12*($B$6+$B$10)*(1+$B$4)^38)&gt;0,1+$B$3,1))</f>
        <v/>
      </c>
      <c r="AP108">
        <f>IF($B$1+39&gt;90,AO108,(AO108+IF($B$1+39&lt;=$B108,12*($B$7-$B$10),-12*($B$6+$B$10)*(1+$B$4)^39))*IF(AO108+IF($B$1+39&lt;=$B108,12*($B$7-$B$10),-12*($B$6+$B$10)*(1+$B$4)^39)&gt;0,1+$B$3,1))</f>
        <v/>
      </c>
      <c r="AQ108">
        <f>IF($B$1+40&gt;90,AP108,(AP108+IF($B$1+40&lt;=$B108,12*($B$7-$B$10),-12*($B$6+$B$10)*(1+$B$4)^40))*IF(AP108+IF($B$1+40&lt;=$B108,12*($B$7-$B$10),-12*($B$6+$B$10)*(1+$B$4)^40)&gt;0,1+$B$3,1))</f>
        <v/>
      </c>
      <c r="AR108">
        <f>IF($B$1+41&gt;90,AQ108,(AQ108+IF($B$1+41&lt;=$B108,12*($B$7-$B$10),-12*($B$6+$B$10)*(1+$B$4)^41))*IF(AQ108+IF($B$1+41&lt;=$B108,12*($B$7-$B$10),-12*($B$6+$B$10)*(1+$B$4)^41)&gt;0,1+$B$3,1))</f>
        <v/>
      </c>
      <c r="AS108">
        <f>IF($B$1+42&gt;90,AR108,(AR108+IF($B$1+42&lt;=$B108,12*($B$7-$B$10),-12*($B$6+$B$10)*(1+$B$4)^42))*IF(AR108+IF($B$1+42&lt;=$B108,12*($B$7-$B$10),-12*($B$6+$B$10)*(1+$B$4)^42)&gt;0,1+$B$3,1))</f>
        <v/>
      </c>
      <c r="AT108">
        <f>IF($B$1+43&gt;90,AS108,(AS108+IF($B$1+43&lt;=$B108,12*($B$7-$B$10),-12*($B$6+$B$10)*(1+$B$4)^43))*IF(AS108+IF($B$1+43&lt;=$B108,12*($B$7-$B$10),-12*($B$6+$B$10)*(1+$B$4)^43)&gt;0,1+$B$3,1))</f>
        <v/>
      </c>
      <c r="AU108">
        <f>IF($B$1+44&gt;90,AT108,(AT108+IF($B$1+44&lt;=$B108,12*($B$7-$B$10),-12*($B$6+$B$10)*(1+$B$4)^44))*IF(AT108+IF($B$1+44&lt;=$B108,12*($B$7-$B$10),-12*($B$6+$B$10)*(1+$B$4)^44)&gt;0,1+$B$3,1))</f>
        <v/>
      </c>
      <c r="AV108">
        <f>IF($B$1+45&gt;90,AU108,(AU108+IF($B$1+45&lt;=$B108,12*($B$7-$B$10),-12*($B$6+$B$10)*(1+$B$4)^45))*IF(AU108+IF($B$1+45&lt;=$B108,12*($B$7-$B$10),-12*($B$6+$B$10)*(1+$B$4)^45)&gt;0,1+$B$3,1))</f>
        <v/>
      </c>
      <c r="AW108">
        <f>IF($B$1+46&gt;90,AV108,(AV108+IF($B$1+46&lt;=$B108,12*($B$7-$B$10),-12*($B$6+$B$10)*(1+$B$4)^46))*IF(AV108+IF($B$1+46&lt;=$B108,12*($B$7-$B$10),-12*($B$6+$B$10)*(1+$B$4)^46)&gt;0,1+$B$3,1))</f>
        <v/>
      </c>
      <c r="AX108">
        <f>IF($B$1+47&gt;90,AW108,(AW108+IF($B$1+47&lt;=$B108,12*($B$7-$B$10),-12*($B$6+$B$10)*(1+$B$4)^47))*IF(AW108+IF($B$1+47&lt;=$B108,12*($B$7-$B$10),-12*($B$6+$B$10)*(1+$B$4)^47)&gt;0,1+$B$3,1))</f>
        <v/>
      </c>
      <c r="AY108">
        <f>IF($B$1+48&gt;90,AX108,(AX108+IF($B$1+48&lt;=$B108,12*($B$7-$B$10),-12*($B$6+$B$10)*(1+$B$4)^48))*IF(AX108+IF($B$1+48&lt;=$B108,12*($B$7-$B$10),-12*($B$6+$B$10)*(1+$B$4)^48)&gt;0,1+$B$3,1))</f>
        <v/>
      </c>
      <c r="AZ108">
        <f>IF($B$1+49&gt;90,AY108,(AY108+IF($B$1+49&lt;=$B108,12*($B$7-$B$10),-12*($B$6+$B$10)*(1+$B$4)^49))*IF(AY108+IF($B$1+49&lt;=$B108,12*($B$7-$B$10),-12*($B$6+$B$10)*(1+$B$4)^49)&gt;0,1+$B$3,1))</f>
        <v/>
      </c>
      <c r="BA108">
        <f>IF($B$1+50&gt;90,AZ108,(AZ108+IF($B$1+50&lt;=$B108,12*($B$7-$B$10),-12*($B$6+$B$10)*(1+$B$4)^50))*IF(AZ108+IF($B$1+50&lt;=$B108,12*($B$7-$B$10),-12*($B$6+$B$10)*(1+$B$4)^50)&gt;0,1+$B$3,1))</f>
        <v/>
      </c>
      <c r="BB108">
        <f>IF($B$1+51&gt;90,BA108,(BA108+IF($B$1+51&lt;=$B108,12*($B$7-$B$10),-12*($B$6+$B$10)*(1+$B$4)^51))*IF(BA108+IF($B$1+51&lt;=$B108,12*($B$7-$B$10),-12*($B$6+$B$10)*(1+$B$4)^51)&gt;0,1+$B$3,1))</f>
        <v/>
      </c>
      <c r="BC108">
        <f>IF($B$1+52&gt;90,BB108,(BB108+IF($B$1+52&lt;=$B108,12*($B$7-$B$10),-12*($B$6+$B$10)*(1+$B$4)^52))*IF(BB108+IF($B$1+52&lt;=$B108,12*($B$7-$B$10),-12*($B$6+$B$10)*(1+$B$4)^52)&gt;0,1+$B$3,1))</f>
        <v/>
      </c>
      <c r="BD108">
        <f>IF($B$1+53&gt;90,BC108,(BC108+IF($B$1+53&lt;=$B108,12*($B$7-$B$10),-12*($B$6+$B$10)*(1+$B$4)^53))*IF(BC108+IF($B$1+53&lt;=$B108,12*($B$7-$B$10),-12*($B$6+$B$10)*(1+$B$4)^53)&gt;0,1+$B$3,1))</f>
        <v/>
      </c>
      <c r="BE108">
        <f>IF($B$1+54&gt;90,BD108,(BD108+IF($B$1+54&lt;=$B108,12*($B$7-$B$10),-12*($B$6+$B$10)*(1+$B$4)^54))*IF(BD108+IF($B$1+54&lt;=$B108,12*($B$7-$B$10),-12*($B$6+$B$10)*(1+$B$4)^54)&gt;0,1+$B$3,1))</f>
        <v/>
      </c>
      <c r="BF108">
        <f>IF($B$1+55&gt;90,BE108,(BE108+IF($B$1+55&lt;=$B108,12*($B$7-$B$10),-12*($B$6+$B$10)*(1+$B$4)^55))*IF(BE108+IF($B$1+55&lt;=$B108,12*($B$7-$B$10),-12*($B$6+$B$10)*(1+$B$4)^55)&gt;0,1+$B$3,1))</f>
        <v/>
      </c>
      <c r="BG108">
        <f>IF($B$1+56&gt;90,BF108,(BF108+IF($B$1+56&lt;=$B108,12*($B$7-$B$10),-12*($B$6+$B$10)*(1+$B$4)^56))*IF(BF108+IF($B$1+56&lt;=$B108,12*($B$7-$B$10),-12*($B$6+$B$10)*(1+$B$4)^56)&gt;0,1+$B$3,1))</f>
        <v/>
      </c>
      <c r="BH108">
        <f>IF($B$1+57&gt;90,BG108,(BG108+IF($B$1+57&lt;=$B108,12*($B$7-$B$10),-12*($B$6+$B$10)*(1+$B$4)^57))*IF(BG108+IF($B$1+57&lt;=$B108,12*($B$7-$B$10),-12*($B$6+$B$10)*(1+$B$4)^57)&gt;0,1+$B$3,1))</f>
        <v/>
      </c>
      <c r="BI108">
        <f>IF($B$1+58&gt;90,BH108,(BH108+IF($B$1+58&lt;=$B108,12*($B$7-$B$10),-12*($B$6+$B$10)*(1+$B$4)^58))*IF(BH108+IF($B$1+58&lt;=$B108,12*($B$7-$B$10),-12*($B$6+$B$10)*(1+$B$4)^58)&gt;0,1+$B$3,1))</f>
        <v/>
      </c>
      <c r="BJ108">
        <f>IF($B$1+59&gt;90,BI108,(BI108+IF($B$1+59&lt;=$B108,12*($B$7-$B$10),-12*($B$6+$B$10)*(1+$B$4)^59))*IF(BI108+IF($B$1+59&lt;=$B108,12*($B$7-$B$10),-12*($B$6+$B$10)*(1+$B$4)^59)&gt;0,1+$B$3,1))</f>
        <v/>
      </c>
      <c r="BK108">
        <f>IF($B$1+60&gt;90,BJ108,(BJ108+IF($B$1+60&lt;=$B108,12*($B$7-$B$10),-12*($B$6+$B$10)*(1+$B$4)^60))*IF(BJ108+IF($B$1+60&lt;=$B108,12*($B$7-$B$10),-12*($B$6+$B$10)*(1+$B$4)^60)&gt;0,1+$B$3,1))</f>
        <v/>
      </c>
      <c r="BL108">
        <f>IF($B$1+61&gt;90,BK108,(BK108+IF($B$1+61&lt;=$B108,12*($B$7-$B$10),-12*($B$6+$B$10)*(1+$B$4)^61))*IF(BK108+IF($B$1+61&lt;=$B108,12*($B$7-$B$10),-12*($B$6+$B$10)*(1+$B$4)^61)&gt;0,1+$B$3,1))</f>
        <v/>
      </c>
      <c r="BM108">
        <f>IF($B$1+62&gt;90,BL108,(BL108+IF($B$1+62&lt;=$B108,12*($B$7-$B$10),-12*($B$6+$B$10)*(1+$B$4)^62))*IF(BL108+IF($B$1+62&lt;=$B108,12*($B$7-$B$10),-12*($B$6+$B$10)*(1+$B$4)^62)&gt;0,1+$B$3,1))</f>
        <v/>
      </c>
      <c r="BN108">
        <f>IF($B$1+63&gt;90,BM108,(BM108+IF($B$1+63&lt;=$B108,12*($B$7-$B$10),-12*($B$6+$B$10)*(1+$B$4)^63))*IF(BM108+IF($B$1+63&lt;=$B108,12*($B$7-$B$10),-12*($B$6+$B$10)*(1+$B$4)^63)&gt;0,1+$B$3,1))</f>
        <v/>
      </c>
      <c r="BO108">
        <f>IF($B$1+64&gt;90,BN108,(BN108+IF($B$1+64&lt;=$B108,12*($B$7-$B$10),-12*($B$6+$B$10)*(1+$B$4)^64))*IF(BN108+IF($B$1+64&lt;=$B108,12*($B$7-$B$10),-12*($B$6+$B$10)*(1+$B$4)^64)&gt;0,1+$B$3,1))</f>
        <v/>
      </c>
      <c r="BP108">
        <f>IF($B$1+65&gt;90,BO108,(BO108+IF($B$1+65&lt;=$B108,12*($B$7-$B$10),-12*($B$6+$B$10)*(1+$B$4)^65))*IF(BO108+IF($B$1+65&lt;=$B108,12*($B$7-$B$10),-12*($B$6+$B$10)*(1+$B$4)^65)&gt;0,1+$B$3,1))</f>
        <v/>
      </c>
      <c r="BQ108">
        <f>IF($B$1+66&gt;90,BP108,(BP108+IF($B$1+66&lt;=$B108,12*($B$7-$B$10),-12*($B$6+$B$10)*(1+$B$4)^66))*IF(BP108+IF($B$1+66&lt;=$B108,12*($B$7-$B$10),-12*($B$6+$B$10)*(1+$B$4)^66)&gt;0,1+$B$3,1))</f>
        <v/>
      </c>
      <c r="BR108">
        <f>IF($B$1+67&gt;90,BQ108,(BQ108+IF($B$1+67&lt;=$B108,12*($B$7-$B$10),-12*($B$6+$B$10)*(1+$B$4)^67))*IF(BQ108+IF($B$1+67&lt;=$B108,12*($B$7-$B$10),-12*($B$6+$B$10)*(1+$B$4)^67)&gt;0,1+$B$3,1))</f>
        <v/>
      </c>
      <c r="BS108">
        <f>IF($B$1+68&gt;90,BR108,(BR108+IF($B$1+68&lt;=$B108,12*($B$7-$B$10),-12*($B$6+$B$10)*(1+$B$4)^68))*IF(BR108+IF($B$1+68&lt;=$B108,12*($B$7-$B$10),-12*($B$6+$B$10)*(1+$B$4)^68)&gt;0,1+$B$3,1))</f>
        <v/>
      </c>
      <c r="BT108">
        <f>IF($B$1+69&gt;90,BS108,(BS108+IF($B$1+69&lt;=$B108,12*($B$7-$B$10),-12*($B$6+$B$10)*(1+$B$4)^69))*IF(BS108+IF($B$1+69&lt;=$B108,12*($B$7-$B$10),-12*($B$6+$B$10)*(1+$B$4)^69)&gt;0,1+$B$3,1))</f>
        <v/>
      </c>
      <c r="BU108">
        <f>IF($B$1+70&gt;90,BT108,(BT108+IF($B$1+70&lt;=$B108,12*($B$7-$B$10),-12*($B$6+$B$10)*(1+$B$4)^70))*IF(BT108+IF($B$1+70&lt;=$B108,12*($B$7-$B$10),-12*($B$6+$B$10)*(1+$B$4)^70)&gt;0,1+$B$3,1))</f>
        <v/>
      </c>
      <c r="BV108">
        <f>BU108</f>
        <v/>
      </c>
      <c r="BW108">
        <f>IF(AND($B108&lt;=70,BV108&gt;0),$B108,999)</f>
        <v/>
      </c>
    </row>
    <row r="109">
      <c r="A109" t="n">
        <v>13</v>
      </c>
      <c r="B109">
        <f>$B$1+13</f>
        <v/>
      </c>
      <c r="C109">
        <f>$B$2</f>
        <v/>
      </c>
      <c r="D109">
        <f>IF($B$1+1&gt;90,C109,(C109+IF($B$1+1&lt;=$B109,12*($B$7-$B$10),-12*($B$6+$B$10)*(1+$B$4)^1))*IF(C109+IF($B$1+1&lt;=$B109,12*($B$7-$B$10),-12*($B$6+$B$10)*(1+$B$4)^1)&gt;0,1+$B$3,1))</f>
        <v/>
      </c>
      <c r="E109">
        <f>IF($B$1+2&gt;90,D109,(D109+IF($B$1+2&lt;=$B109,12*($B$7-$B$10),-12*($B$6+$B$10)*(1+$B$4)^2))*IF(D109+IF($B$1+2&lt;=$B109,12*($B$7-$B$10),-12*($B$6+$B$10)*(1+$B$4)^2)&gt;0,1+$B$3,1))</f>
        <v/>
      </c>
      <c r="F109">
        <f>IF($B$1+3&gt;90,E109,(E109+IF($B$1+3&lt;=$B109,12*($B$7-$B$10),-12*($B$6+$B$10)*(1+$B$4)^3))*IF(E109+IF($B$1+3&lt;=$B109,12*($B$7-$B$10),-12*($B$6+$B$10)*(1+$B$4)^3)&gt;0,1+$B$3,1))</f>
        <v/>
      </c>
      <c r="G109">
        <f>IF($B$1+4&gt;90,F109,(F109+IF($B$1+4&lt;=$B109,12*($B$7-$B$10),-12*($B$6+$B$10)*(1+$B$4)^4))*IF(F109+IF($B$1+4&lt;=$B109,12*($B$7-$B$10),-12*($B$6+$B$10)*(1+$B$4)^4)&gt;0,1+$B$3,1))</f>
        <v/>
      </c>
      <c r="H109">
        <f>IF($B$1+5&gt;90,G109,(G109+IF($B$1+5&lt;=$B109,12*($B$7-$B$10),-12*($B$6+$B$10)*(1+$B$4)^5))*IF(G109+IF($B$1+5&lt;=$B109,12*($B$7-$B$10),-12*($B$6+$B$10)*(1+$B$4)^5)&gt;0,1+$B$3,1))</f>
        <v/>
      </c>
      <c r="I109">
        <f>IF($B$1+6&gt;90,H109,(H109+IF($B$1+6&lt;=$B109,12*($B$7-$B$10),-12*($B$6+$B$10)*(1+$B$4)^6))*IF(H109+IF($B$1+6&lt;=$B109,12*($B$7-$B$10),-12*($B$6+$B$10)*(1+$B$4)^6)&gt;0,1+$B$3,1))</f>
        <v/>
      </c>
      <c r="J109">
        <f>IF($B$1+7&gt;90,I109,(I109+IF($B$1+7&lt;=$B109,12*($B$7-$B$10),-12*($B$6+$B$10)*(1+$B$4)^7))*IF(I109+IF($B$1+7&lt;=$B109,12*($B$7-$B$10),-12*($B$6+$B$10)*(1+$B$4)^7)&gt;0,1+$B$3,1))</f>
        <v/>
      </c>
      <c r="K109">
        <f>IF($B$1+8&gt;90,J109,(J109+IF($B$1+8&lt;=$B109,12*($B$7-$B$10),-12*($B$6+$B$10)*(1+$B$4)^8))*IF(J109+IF($B$1+8&lt;=$B109,12*($B$7-$B$10),-12*($B$6+$B$10)*(1+$B$4)^8)&gt;0,1+$B$3,1))</f>
        <v/>
      </c>
      <c r="L109">
        <f>IF($B$1+9&gt;90,K109,(K109+IF($B$1+9&lt;=$B109,12*($B$7-$B$10),-12*($B$6+$B$10)*(1+$B$4)^9))*IF(K109+IF($B$1+9&lt;=$B109,12*($B$7-$B$10),-12*($B$6+$B$10)*(1+$B$4)^9)&gt;0,1+$B$3,1))</f>
        <v/>
      </c>
      <c r="M109">
        <f>IF($B$1+10&gt;90,L109,(L109+IF($B$1+10&lt;=$B109,12*($B$7-$B$10),-12*($B$6+$B$10)*(1+$B$4)^10))*IF(L109+IF($B$1+10&lt;=$B109,12*($B$7-$B$10),-12*($B$6+$B$10)*(1+$B$4)^10)&gt;0,1+$B$3,1))</f>
        <v/>
      </c>
      <c r="N109">
        <f>IF($B$1+11&gt;90,M109,(M109+IF($B$1+11&lt;=$B109,12*($B$7-$B$10),-12*($B$6+$B$10)*(1+$B$4)^11))*IF(M109+IF($B$1+11&lt;=$B109,12*($B$7-$B$10),-12*($B$6+$B$10)*(1+$B$4)^11)&gt;0,1+$B$3,1))</f>
        <v/>
      </c>
      <c r="O109">
        <f>IF($B$1+12&gt;90,N109,(N109+IF($B$1+12&lt;=$B109,12*($B$7-$B$10),-12*($B$6+$B$10)*(1+$B$4)^12))*IF(N109+IF($B$1+12&lt;=$B109,12*($B$7-$B$10),-12*($B$6+$B$10)*(1+$B$4)^12)&gt;0,1+$B$3,1))</f>
        <v/>
      </c>
      <c r="P109">
        <f>IF($B$1+13&gt;90,O109,(O109+IF($B$1+13&lt;=$B109,12*($B$7-$B$10),-12*($B$6+$B$10)*(1+$B$4)^13))*IF(O109+IF($B$1+13&lt;=$B109,12*($B$7-$B$10),-12*($B$6+$B$10)*(1+$B$4)^13)&gt;0,1+$B$3,1))</f>
        <v/>
      </c>
      <c r="Q109">
        <f>IF($B$1+14&gt;90,P109,(P109+IF($B$1+14&lt;=$B109,12*($B$7-$B$10),-12*($B$6+$B$10)*(1+$B$4)^14))*IF(P109+IF($B$1+14&lt;=$B109,12*($B$7-$B$10),-12*($B$6+$B$10)*(1+$B$4)^14)&gt;0,1+$B$3,1))</f>
        <v/>
      </c>
      <c r="R109">
        <f>IF($B$1+15&gt;90,Q109,(Q109+IF($B$1+15&lt;=$B109,12*($B$7-$B$10),-12*($B$6+$B$10)*(1+$B$4)^15))*IF(Q109+IF($B$1+15&lt;=$B109,12*($B$7-$B$10),-12*($B$6+$B$10)*(1+$B$4)^15)&gt;0,1+$B$3,1))</f>
        <v/>
      </c>
      <c r="S109">
        <f>IF($B$1+16&gt;90,R109,(R109+IF($B$1+16&lt;=$B109,12*($B$7-$B$10),-12*($B$6+$B$10)*(1+$B$4)^16))*IF(R109+IF($B$1+16&lt;=$B109,12*($B$7-$B$10),-12*($B$6+$B$10)*(1+$B$4)^16)&gt;0,1+$B$3,1))</f>
        <v/>
      </c>
      <c r="T109">
        <f>IF($B$1+17&gt;90,S109,(S109+IF($B$1+17&lt;=$B109,12*($B$7-$B$10),-12*($B$6+$B$10)*(1+$B$4)^17))*IF(S109+IF($B$1+17&lt;=$B109,12*($B$7-$B$10),-12*($B$6+$B$10)*(1+$B$4)^17)&gt;0,1+$B$3,1))</f>
        <v/>
      </c>
      <c r="U109">
        <f>IF($B$1+18&gt;90,T109,(T109+IF($B$1+18&lt;=$B109,12*($B$7-$B$10),-12*($B$6+$B$10)*(1+$B$4)^18))*IF(T109+IF($B$1+18&lt;=$B109,12*($B$7-$B$10),-12*($B$6+$B$10)*(1+$B$4)^18)&gt;0,1+$B$3,1))</f>
        <v/>
      </c>
      <c r="V109">
        <f>IF($B$1+19&gt;90,U109,(U109+IF($B$1+19&lt;=$B109,12*($B$7-$B$10),-12*($B$6+$B$10)*(1+$B$4)^19))*IF(U109+IF($B$1+19&lt;=$B109,12*($B$7-$B$10),-12*($B$6+$B$10)*(1+$B$4)^19)&gt;0,1+$B$3,1))</f>
        <v/>
      </c>
      <c r="W109">
        <f>IF($B$1+20&gt;90,V109,(V109+IF($B$1+20&lt;=$B109,12*($B$7-$B$10),-12*($B$6+$B$10)*(1+$B$4)^20))*IF(V109+IF($B$1+20&lt;=$B109,12*($B$7-$B$10),-12*($B$6+$B$10)*(1+$B$4)^20)&gt;0,1+$B$3,1))</f>
        <v/>
      </c>
      <c r="X109">
        <f>IF($B$1+21&gt;90,W109,(W109+IF($B$1+21&lt;=$B109,12*($B$7-$B$10),-12*($B$6+$B$10)*(1+$B$4)^21))*IF(W109+IF($B$1+21&lt;=$B109,12*($B$7-$B$10),-12*($B$6+$B$10)*(1+$B$4)^21)&gt;0,1+$B$3,1))</f>
        <v/>
      </c>
      <c r="Y109">
        <f>IF($B$1+22&gt;90,X109,(X109+IF($B$1+22&lt;=$B109,12*($B$7-$B$10),-12*($B$6+$B$10)*(1+$B$4)^22))*IF(X109+IF($B$1+22&lt;=$B109,12*($B$7-$B$10),-12*($B$6+$B$10)*(1+$B$4)^22)&gt;0,1+$B$3,1))</f>
        <v/>
      </c>
      <c r="Z109">
        <f>IF($B$1+23&gt;90,Y109,(Y109+IF($B$1+23&lt;=$B109,12*($B$7-$B$10),-12*($B$6+$B$10)*(1+$B$4)^23))*IF(Y109+IF($B$1+23&lt;=$B109,12*($B$7-$B$10),-12*($B$6+$B$10)*(1+$B$4)^23)&gt;0,1+$B$3,1))</f>
        <v/>
      </c>
      <c r="AA109">
        <f>IF($B$1+24&gt;90,Z109,(Z109+IF($B$1+24&lt;=$B109,12*($B$7-$B$10),-12*($B$6+$B$10)*(1+$B$4)^24))*IF(Z109+IF($B$1+24&lt;=$B109,12*($B$7-$B$10),-12*($B$6+$B$10)*(1+$B$4)^24)&gt;0,1+$B$3,1))</f>
        <v/>
      </c>
      <c r="AB109">
        <f>IF($B$1+25&gt;90,AA109,(AA109+IF($B$1+25&lt;=$B109,12*($B$7-$B$10),-12*($B$6+$B$10)*(1+$B$4)^25))*IF(AA109+IF($B$1+25&lt;=$B109,12*($B$7-$B$10),-12*($B$6+$B$10)*(1+$B$4)^25)&gt;0,1+$B$3,1))</f>
        <v/>
      </c>
      <c r="AC109">
        <f>IF($B$1+26&gt;90,AB109,(AB109+IF($B$1+26&lt;=$B109,12*($B$7-$B$10),-12*($B$6+$B$10)*(1+$B$4)^26))*IF(AB109+IF($B$1+26&lt;=$B109,12*($B$7-$B$10),-12*($B$6+$B$10)*(1+$B$4)^26)&gt;0,1+$B$3,1))</f>
        <v/>
      </c>
      <c r="AD109">
        <f>IF($B$1+27&gt;90,AC109,(AC109+IF($B$1+27&lt;=$B109,12*($B$7-$B$10),-12*($B$6+$B$10)*(1+$B$4)^27))*IF(AC109+IF($B$1+27&lt;=$B109,12*($B$7-$B$10),-12*($B$6+$B$10)*(1+$B$4)^27)&gt;0,1+$B$3,1))</f>
        <v/>
      </c>
      <c r="AE109">
        <f>IF($B$1+28&gt;90,AD109,(AD109+IF($B$1+28&lt;=$B109,12*($B$7-$B$10),-12*($B$6+$B$10)*(1+$B$4)^28))*IF(AD109+IF($B$1+28&lt;=$B109,12*($B$7-$B$10),-12*($B$6+$B$10)*(1+$B$4)^28)&gt;0,1+$B$3,1))</f>
        <v/>
      </c>
      <c r="AF109">
        <f>IF($B$1+29&gt;90,AE109,(AE109+IF($B$1+29&lt;=$B109,12*($B$7-$B$10),-12*($B$6+$B$10)*(1+$B$4)^29))*IF(AE109+IF($B$1+29&lt;=$B109,12*($B$7-$B$10),-12*($B$6+$B$10)*(1+$B$4)^29)&gt;0,1+$B$3,1))</f>
        <v/>
      </c>
      <c r="AG109">
        <f>IF($B$1+30&gt;90,AF109,(AF109+IF($B$1+30&lt;=$B109,12*($B$7-$B$10),-12*($B$6+$B$10)*(1+$B$4)^30))*IF(AF109+IF($B$1+30&lt;=$B109,12*($B$7-$B$10),-12*($B$6+$B$10)*(1+$B$4)^30)&gt;0,1+$B$3,1))</f>
        <v/>
      </c>
      <c r="AH109">
        <f>IF($B$1+31&gt;90,AG109,(AG109+IF($B$1+31&lt;=$B109,12*($B$7-$B$10),-12*($B$6+$B$10)*(1+$B$4)^31))*IF(AG109+IF($B$1+31&lt;=$B109,12*($B$7-$B$10),-12*($B$6+$B$10)*(1+$B$4)^31)&gt;0,1+$B$3,1))</f>
        <v/>
      </c>
      <c r="AI109">
        <f>IF($B$1+32&gt;90,AH109,(AH109+IF($B$1+32&lt;=$B109,12*($B$7-$B$10),-12*($B$6+$B$10)*(1+$B$4)^32))*IF(AH109+IF($B$1+32&lt;=$B109,12*($B$7-$B$10),-12*($B$6+$B$10)*(1+$B$4)^32)&gt;0,1+$B$3,1))</f>
        <v/>
      </c>
      <c r="AJ109">
        <f>IF($B$1+33&gt;90,AI109,(AI109+IF($B$1+33&lt;=$B109,12*($B$7-$B$10),-12*($B$6+$B$10)*(1+$B$4)^33))*IF(AI109+IF($B$1+33&lt;=$B109,12*($B$7-$B$10),-12*($B$6+$B$10)*(1+$B$4)^33)&gt;0,1+$B$3,1))</f>
        <v/>
      </c>
      <c r="AK109">
        <f>IF($B$1+34&gt;90,AJ109,(AJ109+IF($B$1+34&lt;=$B109,12*($B$7-$B$10),-12*($B$6+$B$10)*(1+$B$4)^34))*IF(AJ109+IF($B$1+34&lt;=$B109,12*($B$7-$B$10),-12*($B$6+$B$10)*(1+$B$4)^34)&gt;0,1+$B$3,1))</f>
        <v/>
      </c>
      <c r="AL109">
        <f>IF($B$1+35&gt;90,AK109,(AK109+IF($B$1+35&lt;=$B109,12*($B$7-$B$10),-12*($B$6+$B$10)*(1+$B$4)^35))*IF(AK109+IF($B$1+35&lt;=$B109,12*($B$7-$B$10),-12*($B$6+$B$10)*(1+$B$4)^35)&gt;0,1+$B$3,1))</f>
        <v/>
      </c>
      <c r="AM109">
        <f>IF($B$1+36&gt;90,AL109,(AL109+IF($B$1+36&lt;=$B109,12*($B$7-$B$10),-12*($B$6+$B$10)*(1+$B$4)^36))*IF(AL109+IF($B$1+36&lt;=$B109,12*($B$7-$B$10),-12*($B$6+$B$10)*(1+$B$4)^36)&gt;0,1+$B$3,1))</f>
        <v/>
      </c>
      <c r="AN109">
        <f>IF($B$1+37&gt;90,AM109,(AM109+IF($B$1+37&lt;=$B109,12*($B$7-$B$10),-12*($B$6+$B$10)*(1+$B$4)^37))*IF(AM109+IF($B$1+37&lt;=$B109,12*($B$7-$B$10),-12*($B$6+$B$10)*(1+$B$4)^37)&gt;0,1+$B$3,1))</f>
        <v/>
      </c>
      <c r="AO109">
        <f>IF($B$1+38&gt;90,AN109,(AN109+IF($B$1+38&lt;=$B109,12*($B$7-$B$10),-12*($B$6+$B$10)*(1+$B$4)^38))*IF(AN109+IF($B$1+38&lt;=$B109,12*($B$7-$B$10),-12*($B$6+$B$10)*(1+$B$4)^38)&gt;0,1+$B$3,1))</f>
        <v/>
      </c>
      <c r="AP109">
        <f>IF($B$1+39&gt;90,AO109,(AO109+IF($B$1+39&lt;=$B109,12*($B$7-$B$10),-12*($B$6+$B$10)*(1+$B$4)^39))*IF(AO109+IF($B$1+39&lt;=$B109,12*($B$7-$B$10),-12*($B$6+$B$10)*(1+$B$4)^39)&gt;0,1+$B$3,1))</f>
        <v/>
      </c>
      <c r="AQ109">
        <f>IF($B$1+40&gt;90,AP109,(AP109+IF($B$1+40&lt;=$B109,12*($B$7-$B$10),-12*($B$6+$B$10)*(1+$B$4)^40))*IF(AP109+IF($B$1+40&lt;=$B109,12*($B$7-$B$10),-12*($B$6+$B$10)*(1+$B$4)^40)&gt;0,1+$B$3,1))</f>
        <v/>
      </c>
      <c r="AR109">
        <f>IF($B$1+41&gt;90,AQ109,(AQ109+IF($B$1+41&lt;=$B109,12*($B$7-$B$10),-12*($B$6+$B$10)*(1+$B$4)^41))*IF(AQ109+IF($B$1+41&lt;=$B109,12*($B$7-$B$10),-12*($B$6+$B$10)*(1+$B$4)^41)&gt;0,1+$B$3,1))</f>
        <v/>
      </c>
      <c r="AS109">
        <f>IF($B$1+42&gt;90,AR109,(AR109+IF($B$1+42&lt;=$B109,12*($B$7-$B$10),-12*($B$6+$B$10)*(1+$B$4)^42))*IF(AR109+IF($B$1+42&lt;=$B109,12*($B$7-$B$10),-12*($B$6+$B$10)*(1+$B$4)^42)&gt;0,1+$B$3,1))</f>
        <v/>
      </c>
      <c r="AT109">
        <f>IF($B$1+43&gt;90,AS109,(AS109+IF($B$1+43&lt;=$B109,12*($B$7-$B$10),-12*($B$6+$B$10)*(1+$B$4)^43))*IF(AS109+IF($B$1+43&lt;=$B109,12*($B$7-$B$10),-12*($B$6+$B$10)*(1+$B$4)^43)&gt;0,1+$B$3,1))</f>
        <v/>
      </c>
      <c r="AU109">
        <f>IF($B$1+44&gt;90,AT109,(AT109+IF($B$1+44&lt;=$B109,12*($B$7-$B$10),-12*($B$6+$B$10)*(1+$B$4)^44))*IF(AT109+IF($B$1+44&lt;=$B109,12*($B$7-$B$10),-12*($B$6+$B$10)*(1+$B$4)^44)&gt;0,1+$B$3,1))</f>
        <v/>
      </c>
      <c r="AV109">
        <f>IF($B$1+45&gt;90,AU109,(AU109+IF($B$1+45&lt;=$B109,12*($B$7-$B$10),-12*($B$6+$B$10)*(1+$B$4)^45))*IF(AU109+IF($B$1+45&lt;=$B109,12*($B$7-$B$10),-12*($B$6+$B$10)*(1+$B$4)^45)&gt;0,1+$B$3,1))</f>
        <v/>
      </c>
      <c r="AW109">
        <f>IF($B$1+46&gt;90,AV109,(AV109+IF($B$1+46&lt;=$B109,12*($B$7-$B$10),-12*($B$6+$B$10)*(1+$B$4)^46))*IF(AV109+IF($B$1+46&lt;=$B109,12*($B$7-$B$10),-12*($B$6+$B$10)*(1+$B$4)^46)&gt;0,1+$B$3,1))</f>
        <v/>
      </c>
      <c r="AX109">
        <f>IF($B$1+47&gt;90,AW109,(AW109+IF($B$1+47&lt;=$B109,12*($B$7-$B$10),-12*($B$6+$B$10)*(1+$B$4)^47))*IF(AW109+IF($B$1+47&lt;=$B109,12*($B$7-$B$10),-12*($B$6+$B$10)*(1+$B$4)^47)&gt;0,1+$B$3,1))</f>
        <v/>
      </c>
      <c r="AY109">
        <f>IF($B$1+48&gt;90,AX109,(AX109+IF($B$1+48&lt;=$B109,12*($B$7-$B$10),-12*($B$6+$B$10)*(1+$B$4)^48))*IF(AX109+IF($B$1+48&lt;=$B109,12*($B$7-$B$10),-12*($B$6+$B$10)*(1+$B$4)^48)&gt;0,1+$B$3,1))</f>
        <v/>
      </c>
      <c r="AZ109">
        <f>IF($B$1+49&gt;90,AY109,(AY109+IF($B$1+49&lt;=$B109,12*($B$7-$B$10),-12*($B$6+$B$10)*(1+$B$4)^49))*IF(AY109+IF($B$1+49&lt;=$B109,12*($B$7-$B$10),-12*($B$6+$B$10)*(1+$B$4)^49)&gt;0,1+$B$3,1))</f>
        <v/>
      </c>
      <c r="BA109">
        <f>IF($B$1+50&gt;90,AZ109,(AZ109+IF($B$1+50&lt;=$B109,12*($B$7-$B$10),-12*($B$6+$B$10)*(1+$B$4)^50))*IF(AZ109+IF($B$1+50&lt;=$B109,12*($B$7-$B$10),-12*($B$6+$B$10)*(1+$B$4)^50)&gt;0,1+$B$3,1))</f>
        <v/>
      </c>
      <c r="BB109">
        <f>IF($B$1+51&gt;90,BA109,(BA109+IF($B$1+51&lt;=$B109,12*($B$7-$B$10),-12*($B$6+$B$10)*(1+$B$4)^51))*IF(BA109+IF($B$1+51&lt;=$B109,12*($B$7-$B$10),-12*($B$6+$B$10)*(1+$B$4)^51)&gt;0,1+$B$3,1))</f>
        <v/>
      </c>
      <c r="BC109">
        <f>IF($B$1+52&gt;90,BB109,(BB109+IF($B$1+52&lt;=$B109,12*($B$7-$B$10),-12*($B$6+$B$10)*(1+$B$4)^52))*IF(BB109+IF($B$1+52&lt;=$B109,12*($B$7-$B$10),-12*($B$6+$B$10)*(1+$B$4)^52)&gt;0,1+$B$3,1))</f>
        <v/>
      </c>
      <c r="BD109">
        <f>IF($B$1+53&gt;90,BC109,(BC109+IF($B$1+53&lt;=$B109,12*($B$7-$B$10),-12*($B$6+$B$10)*(1+$B$4)^53))*IF(BC109+IF($B$1+53&lt;=$B109,12*($B$7-$B$10),-12*($B$6+$B$10)*(1+$B$4)^53)&gt;0,1+$B$3,1))</f>
        <v/>
      </c>
      <c r="BE109">
        <f>IF($B$1+54&gt;90,BD109,(BD109+IF($B$1+54&lt;=$B109,12*($B$7-$B$10),-12*($B$6+$B$10)*(1+$B$4)^54))*IF(BD109+IF($B$1+54&lt;=$B109,12*($B$7-$B$10),-12*($B$6+$B$10)*(1+$B$4)^54)&gt;0,1+$B$3,1))</f>
        <v/>
      </c>
      <c r="BF109">
        <f>IF($B$1+55&gt;90,BE109,(BE109+IF($B$1+55&lt;=$B109,12*($B$7-$B$10),-12*($B$6+$B$10)*(1+$B$4)^55))*IF(BE109+IF($B$1+55&lt;=$B109,12*($B$7-$B$10),-12*($B$6+$B$10)*(1+$B$4)^55)&gt;0,1+$B$3,1))</f>
        <v/>
      </c>
      <c r="BG109">
        <f>IF($B$1+56&gt;90,BF109,(BF109+IF($B$1+56&lt;=$B109,12*($B$7-$B$10),-12*($B$6+$B$10)*(1+$B$4)^56))*IF(BF109+IF($B$1+56&lt;=$B109,12*($B$7-$B$10),-12*($B$6+$B$10)*(1+$B$4)^56)&gt;0,1+$B$3,1))</f>
        <v/>
      </c>
      <c r="BH109">
        <f>IF($B$1+57&gt;90,BG109,(BG109+IF($B$1+57&lt;=$B109,12*($B$7-$B$10),-12*($B$6+$B$10)*(1+$B$4)^57))*IF(BG109+IF($B$1+57&lt;=$B109,12*($B$7-$B$10),-12*($B$6+$B$10)*(1+$B$4)^57)&gt;0,1+$B$3,1))</f>
        <v/>
      </c>
      <c r="BI109">
        <f>IF($B$1+58&gt;90,BH109,(BH109+IF($B$1+58&lt;=$B109,12*($B$7-$B$10),-12*($B$6+$B$10)*(1+$B$4)^58))*IF(BH109+IF($B$1+58&lt;=$B109,12*($B$7-$B$10),-12*($B$6+$B$10)*(1+$B$4)^58)&gt;0,1+$B$3,1))</f>
        <v/>
      </c>
      <c r="BJ109">
        <f>IF($B$1+59&gt;90,BI109,(BI109+IF($B$1+59&lt;=$B109,12*($B$7-$B$10),-12*($B$6+$B$10)*(1+$B$4)^59))*IF(BI109+IF($B$1+59&lt;=$B109,12*($B$7-$B$10),-12*($B$6+$B$10)*(1+$B$4)^59)&gt;0,1+$B$3,1))</f>
        <v/>
      </c>
      <c r="BK109">
        <f>IF($B$1+60&gt;90,BJ109,(BJ109+IF($B$1+60&lt;=$B109,12*($B$7-$B$10),-12*($B$6+$B$10)*(1+$B$4)^60))*IF(BJ109+IF($B$1+60&lt;=$B109,12*($B$7-$B$10),-12*($B$6+$B$10)*(1+$B$4)^60)&gt;0,1+$B$3,1))</f>
        <v/>
      </c>
      <c r="BL109">
        <f>IF($B$1+61&gt;90,BK109,(BK109+IF($B$1+61&lt;=$B109,12*($B$7-$B$10),-12*($B$6+$B$10)*(1+$B$4)^61))*IF(BK109+IF($B$1+61&lt;=$B109,12*($B$7-$B$10),-12*($B$6+$B$10)*(1+$B$4)^61)&gt;0,1+$B$3,1))</f>
        <v/>
      </c>
      <c r="BM109">
        <f>IF($B$1+62&gt;90,BL109,(BL109+IF($B$1+62&lt;=$B109,12*($B$7-$B$10),-12*($B$6+$B$10)*(1+$B$4)^62))*IF(BL109+IF($B$1+62&lt;=$B109,12*($B$7-$B$10),-12*($B$6+$B$10)*(1+$B$4)^62)&gt;0,1+$B$3,1))</f>
        <v/>
      </c>
      <c r="BN109">
        <f>IF($B$1+63&gt;90,BM109,(BM109+IF($B$1+63&lt;=$B109,12*($B$7-$B$10),-12*($B$6+$B$10)*(1+$B$4)^63))*IF(BM109+IF($B$1+63&lt;=$B109,12*($B$7-$B$10),-12*($B$6+$B$10)*(1+$B$4)^63)&gt;0,1+$B$3,1))</f>
        <v/>
      </c>
      <c r="BO109">
        <f>IF($B$1+64&gt;90,BN109,(BN109+IF($B$1+64&lt;=$B109,12*($B$7-$B$10),-12*($B$6+$B$10)*(1+$B$4)^64))*IF(BN109+IF($B$1+64&lt;=$B109,12*($B$7-$B$10),-12*($B$6+$B$10)*(1+$B$4)^64)&gt;0,1+$B$3,1))</f>
        <v/>
      </c>
      <c r="BP109">
        <f>IF($B$1+65&gt;90,BO109,(BO109+IF($B$1+65&lt;=$B109,12*($B$7-$B$10),-12*($B$6+$B$10)*(1+$B$4)^65))*IF(BO109+IF($B$1+65&lt;=$B109,12*($B$7-$B$10),-12*($B$6+$B$10)*(1+$B$4)^65)&gt;0,1+$B$3,1))</f>
        <v/>
      </c>
      <c r="BQ109">
        <f>IF($B$1+66&gt;90,BP109,(BP109+IF($B$1+66&lt;=$B109,12*($B$7-$B$10),-12*($B$6+$B$10)*(1+$B$4)^66))*IF(BP109+IF($B$1+66&lt;=$B109,12*($B$7-$B$10),-12*($B$6+$B$10)*(1+$B$4)^66)&gt;0,1+$B$3,1))</f>
        <v/>
      </c>
      <c r="BR109">
        <f>IF($B$1+67&gt;90,BQ109,(BQ109+IF($B$1+67&lt;=$B109,12*($B$7-$B$10),-12*($B$6+$B$10)*(1+$B$4)^67))*IF(BQ109+IF($B$1+67&lt;=$B109,12*($B$7-$B$10),-12*($B$6+$B$10)*(1+$B$4)^67)&gt;0,1+$B$3,1))</f>
        <v/>
      </c>
      <c r="BS109">
        <f>IF($B$1+68&gt;90,BR109,(BR109+IF($B$1+68&lt;=$B109,12*($B$7-$B$10),-12*($B$6+$B$10)*(1+$B$4)^68))*IF(BR109+IF($B$1+68&lt;=$B109,12*($B$7-$B$10),-12*($B$6+$B$10)*(1+$B$4)^68)&gt;0,1+$B$3,1))</f>
        <v/>
      </c>
      <c r="BT109">
        <f>IF($B$1+69&gt;90,BS109,(BS109+IF($B$1+69&lt;=$B109,12*($B$7-$B$10),-12*($B$6+$B$10)*(1+$B$4)^69))*IF(BS109+IF($B$1+69&lt;=$B109,12*($B$7-$B$10),-12*($B$6+$B$10)*(1+$B$4)^69)&gt;0,1+$B$3,1))</f>
        <v/>
      </c>
      <c r="BU109">
        <f>IF($B$1+70&gt;90,BT109,(BT109+IF($B$1+70&lt;=$B109,12*($B$7-$B$10),-12*($B$6+$B$10)*(1+$B$4)^70))*IF(BT109+IF($B$1+70&lt;=$B109,12*($B$7-$B$10),-12*($B$6+$B$10)*(1+$B$4)^70)&gt;0,1+$B$3,1))</f>
        <v/>
      </c>
      <c r="BV109">
        <f>BU109</f>
        <v/>
      </c>
      <c r="BW109">
        <f>IF(AND($B109&lt;=70,BV109&gt;0),$B109,999)</f>
        <v/>
      </c>
    </row>
    <row r="110">
      <c r="A110" t="n">
        <v>14</v>
      </c>
      <c r="B110">
        <f>$B$1+14</f>
        <v/>
      </c>
      <c r="C110">
        <f>$B$2</f>
        <v/>
      </c>
      <c r="D110">
        <f>IF($B$1+1&gt;90,C110,(C110+IF($B$1+1&lt;=$B110,12*($B$7-$B$10),-12*($B$6+$B$10)*(1+$B$4)^1))*IF(C110+IF($B$1+1&lt;=$B110,12*($B$7-$B$10),-12*($B$6+$B$10)*(1+$B$4)^1)&gt;0,1+$B$3,1))</f>
        <v/>
      </c>
      <c r="E110">
        <f>IF($B$1+2&gt;90,D110,(D110+IF($B$1+2&lt;=$B110,12*($B$7-$B$10),-12*($B$6+$B$10)*(1+$B$4)^2))*IF(D110+IF($B$1+2&lt;=$B110,12*($B$7-$B$10),-12*($B$6+$B$10)*(1+$B$4)^2)&gt;0,1+$B$3,1))</f>
        <v/>
      </c>
      <c r="F110">
        <f>IF($B$1+3&gt;90,E110,(E110+IF($B$1+3&lt;=$B110,12*($B$7-$B$10),-12*($B$6+$B$10)*(1+$B$4)^3))*IF(E110+IF($B$1+3&lt;=$B110,12*($B$7-$B$10),-12*($B$6+$B$10)*(1+$B$4)^3)&gt;0,1+$B$3,1))</f>
        <v/>
      </c>
      <c r="G110">
        <f>IF($B$1+4&gt;90,F110,(F110+IF($B$1+4&lt;=$B110,12*($B$7-$B$10),-12*($B$6+$B$10)*(1+$B$4)^4))*IF(F110+IF($B$1+4&lt;=$B110,12*($B$7-$B$10),-12*($B$6+$B$10)*(1+$B$4)^4)&gt;0,1+$B$3,1))</f>
        <v/>
      </c>
      <c r="H110">
        <f>IF($B$1+5&gt;90,G110,(G110+IF($B$1+5&lt;=$B110,12*($B$7-$B$10),-12*($B$6+$B$10)*(1+$B$4)^5))*IF(G110+IF($B$1+5&lt;=$B110,12*($B$7-$B$10),-12*($B$6+$B$10)*(1+$B$4)^5)&gt;0,1+$B$3,1))</f>
        <v/>
      </c>
      <c r="I110">
        <f>IF($B$1+6&gt;90,H110,(H110+IF($B$1+6&lt;=$B110,12*($B$7-$B$10),-12*($B$6+$B$10)*(1+$B$4)^6))*IF(H110+IF($B$1+6&lt;=$B110,12*($B$7-$B$10),-12*($B$6+$B$10)*(1+$B$4)^6)&gt;0,1+$B$3,1))</f>
        <v/>
      </c>
      <c r="J110">
        <f>IF($B$1+7&gt;90,I110,(I110+IF($B$1+7&lt;=$B110,12*($B$7-$B$10),-12*($B$6+$B$10)*(1+$B$4)^7))*IF(I110+IF($B$1+7&lt;=$B110,12*($B$7-$B$10),-12*($B$6+$B$10)*(1+$B$4)^7)&gt;0,1+$B$3,1))</f>
        <v/>
      </c>
      <c r="K110">
        <f>IF($B$1+8&gt;90,J110,(J110+IF($B$1+8&lt;=$B110,12*($B$7-$B$10),-12*($B$6+$B$10)*(1+$B$4)^8))*IF(J110+IF($B$1+8&lt;=$B110,12*($B$7-$B$10),-12*($B$6+$B$10)*(1+$B$4)^8)&gt;0,1+$B$3,1))</f>
        <v/>
      </c>
      <c r="L110">
        <f>IF($B$1+9&gt;90,K110,(K110+IF($B$1+9&lt;=$B110,12*($B$7-$B$10),-12*($B$6+$B$10)*(1+$B$4)^9))*IF(K110+IF($B$1+9&lt;=$B110,12*($B$7-$B$10),-12*($B$6+$B$10)*(1+$B$4)^9)&gt;0,1+$B$3,1))</f>
        <v/>
      </c>
      <c r="M110">
        <f>IF($B$1+10&gt;90,L110,(L110+IF($B$1+10&lt;=$B110,12*($B$7-$B$10),-12*($B$6+$B$10)*(1+$B$4)^10))*IF(L110+IF($B$1+10&lt;=$B110,12*($B$7-$B$10),-12*($B$6+$B$10)*(1+$B$4)^10)&gt;0,1+$B$3,1))</f>
        <v/>
      </c>
      <c r="N110">
        <f>IF($B$1+11&gt;90,M110,(M110+IF($B$1+11&lt;=$B110,12*($B$7-$B$10),-12*($B$6+$B$10)*(1+$B$4)^11))*IF(M110+IF($B$1+11&lt;=$B110,12*($B$7-$B$10),-12*($B$6+$B$10)*(1+$B$4)^11)&gt;0,1+$B$3,1))</f>
        <v/>
      </c>
      <c r="O110">
        <f>IF($B$1+12&gt;90,N110,(N110+IF($B$1+12&lt;=$B110,12*($B$7-$B$10),-12*($B$6+$B$10)*(1+$B$4)^12))*IF(N110+IF($B$1+12&lt;=$B110,12*($B$7-$B$10),-12*($B$6+$B$10)*(1+$B$4)^12)&gt;0,1+$B$3,1))</f>
        <v/>
      </c>
      <c r="P110">
        <f>IF($B$1+13&gt;90,O110,(O110+IF($B$1+13&lt;=$B110,12*($B$7-$B$10),-12*($B$6+$B$10)*(1+$B$4)^13))*IF(O110+IF($B$1+13&lt;=$B110,12*($B$7-$B$10),-12*($B$6+$B$10)*(1+$B$4)^13)&gt;0,1+$B$3,1))</f>
        <v/>
      </c>
      <c r="Q110">
        <f>IF($B$1+14&gt;90,P110,(P110+IF($B$1+14&lt;=$B110,12*($B$7-$B$10),-12*($B$6+$B$10)*(1+$B$4)^14))*IF(P110+IF($B$1+14&lt;=$B110,12*($B$7-$B$10),-12*($B$6+$B$10)*(1+$B$4)^14)&gt;0,1+$B$3,1))</f>
        <v/>
      </c>
      <c r="R110">
        <f>IF($B$1+15&gt;90,Q110,(Q110+IF($B$1+15&lt;=$B110,12*($B$7-$B$10),-12*($B$6+$B$10)*(1+$B$4)^15))*IF(Q110+IF($B$1+15&lt;=$B110,12*($B$7-$B$10),-12*($B$6+$B$10)*(1+$B$4)^15)&gt;0,1+$B$3,1))</f>
        <v/>
      </c>
      <c r="S110">
        <f>IF($B$1+16&gt;90,R110,(R110+IF($B$1+16&lt;=$B110,12*($B$7-$B$10),-12*($B$6+$B$10)*(1+$B$4)^16))*IF(R110+IF($B$1+16&lt;=$B110,12*($B$7-$B$10),-12*($B$6+$B$10)*(1+$B$4)^16)&gt;0,1+$B$3,1))</f>
        <v/>
      </c>
      <c r="T110">
        <f>IF($B$1+17&gt;90,S110,(S110+IF($B$1+17&lt;=$B110,12*($B$7-$B$10),-12*($B$6+$B$10)*(1+$B$4)^17))*IF(S110+IF($B$1+17&lt;=$B110,12*($B$7-$B$10),-12*($B$6+$B$10)*(1+$B$4)^17)&gt;0,1+$B$3,1))</f>
        <v/>
      </c>
      <c r="U110">
        <f>IF($B$1+18&gt;90,T110,(T110+IF($B$1+18&lt;=$B110,12*($B$7-$B$10),-12*($B$6+$B$10)*(1+$B$4)^18))*IF(T110+IF($B$1+18&lt;=$B110,12*($B$7-$B$10),-12*($B$6+$B$10)*(1+$B$4)^18)&gt;0,1+$B$3,1))</f>
        <v/>
      </c>
      <c r="V110">
        <f>IF($B$1+19&gt;90,U110,(U110+IF($B$1+19&lt;=$B110,12*($B$7-$B$10),-12*($B$6+$B$10)*(1+$B$4)^19))*IF(U110+IF($B$1+19&lt;=$B110,12*($B$7-$B$10),-12*($B$6+$B$10)*(1+$B$4)^19)&gt;0,1+$B$3,1))</f>
        <v/>
      </c>
      <c r="W110">
        <f>IF($B$1+20&gt;90,V110,(V110+IF($B$1+20&lt;=$B110,12*($B$7-$B$10),-12*($B$6+$B$10)*(1+$B$4)^20))*IF(V110+IF($B$1+20&lt;=$B110,12*($B$7-$B$10),-12*($B$6+$B$10)*(1+$B$4)^20)&gt;0,1+$B$3,1))</f>
        <v/>
      </c>
      <c r="X110">
        <f>IF($B$1+21&gt;90,W110,(W110+IF($B$1+21&lt;=$B110,12*($B$7-$B$10),-12*($B$6+$B$10)*(1+$B$4)^21))*IF(W110+IF($B$1+21&lt;=$B110,12*($B$7-$B$10),-12*($B$6+$B$10)*(1+$B$4)^21)&gt;0,1+$B$3,1))</f>
        <v/>
      </c>
      <c r="Y110">
        <f>IF($B$1+22&gt;90,X110,(X110+IF($B$1+22&lt;=$B110,12*($B$7-$B$10),-12*($B$6+$B$10)*(1+$B$4)^22))*IF(X110+IF($B$1+22&lt;=$B110,12*($B$7-$B$10),-12*($B$6+$B$10)*(1+$B$4)^22)&gt;0,1+$B$3,1))</f>
        <v/>
      </c>
      <c r="Z110">
        <f>IF($B$1+23&gt;90,Y110,(Y110+IF($B$1+23&lt;=$B110,12*($B$7-$B$10),-12*($B$6+$B$10)*(1+$B$4)^23))*IF(Y110+IF($B$1+23&lt;=$B110,12*($B$7-$B$10),-12*($B$6+$B$10)*(1+$B$4)^23)&gt;0,1+$B$3,1))</f>
        <v/>
      </c>
      <c r="AA110">
        <f>IF($B$1+24&gt;90,Z110,(Z110+IF($B$1+24&lt;=$B110,12*($B$7-$B$10),-12*($B$6+$B$10)*(1+$B$4)^24))*IF(Z110+IF($B$1+24&lt;=$B110,12*($B$7-$B$10),-12*($B$6+$B$10)*(1+$B$4)^24)&gt;0,1+$B$3,1))</f>
        <v/>
      </c>
      <c r="AB110">
        <f>IF($B$1+25&gt;90,AA110,(AA110+IF($B$1+25&lt;=$B110,12*($B$7-$B$10),-12*($B$6+$B$10)*(1+$B$4)^25))*IF(AA110+IF($B$1+25&lt;=$B110,12*($B$7-$B$10),-12*($B$6+$B$10)*(1+$B$4)^25)&gt;0,1+$B$3,1))</f>
        <v/>
      </c>
      <c r="AC110">
        <f>IF($B$1+26&gt;90,AB110,(AB110+IF($B$1+26&lt;=$B110,12*($B$7-$B$10),-12*($B$6+$B$10)*(1+$B$4)^26))*IF(AB110+IF($B$1+26&lt;=$B110,12*($B$7-$B$10),-12*($B$6+$B$10)*(1+$B$4)^26)&gt;0,1+$B$3,1))</f>
        <v/>
      </c>
      <c r="AD110">
        <f>IF($B$1+27&gt;90,AC110,(AC110+IF($B$1+27&lt;=$B110,12*($B$7-$B$10),-12*($B$6+$B$10)*(1+$B$4)^27))*IF(AC110+IF($B$1+27&lt;=$B110,12*($B$7-$B$10),-12*($B$6+$B$10)*(1+$B$4)^27)&gt;0,1+$B$3,1))</f>
        <v/>
      </c>
      <c r="AE110">
        <f>IF($B$1+28&gt;90,AD110,(AD110+IF($B$1+28&lt;=$B110,12*($B$7-$B$10),-12*($B$6+$B$10)*(1+$B$4)^28))*IF(AD110+IF($B$1+28&lt;=$B110,12*($B$7-$B$10),-12*($B$6+$B$10)*(1+$B$4)^28)&gt;0,1+$B$3,1))</f>
        <v/>
      </c>
      <c r="AF110">
        <f>IF($B$1+29&gt;90,AE110,(AE110+IF($B$1+29&lt;=$B110,12*($B$7-$B$10),-12*($B$6+$B$10)*(1+$B$4)^29))*IF(AE110+IF($B$1+29&lt;=$B110,12*($B$7-$B$10),-12*($B$6+$B$10)*(1+$B$4)^29)&gt;0,1+$B$3,1))</f>
        <v/>
      </c>
      <c r="AG110">
        <f>IF($B$1+30&gt;90,AF110,(AF110+IF($B$1+30&lt;=$B110,12*($B$7-$B$10),-12*($B$6+$B$10)*(1+$B$4)^30))*IF(AF110+IF($B$1+30&lt;=$B110,12*($B$7-$B$10),-12*($B$6+$B$10)*(1+$B$4)^30)&gt;0,1+$B$3,1))</f>
        <v/>
      </c>
      <c r="AH110">
        <f>IF($B$1+31&gt;90,AG110,(AG110+IF($B$1+31&lt;=$B110,12*($B$7-$B$10),-12*($B$6+$B$10)*(1+$B$4)^31))*IF(AG110+IF($B$1+31&lt;=$B110,12*($B$7-$B$10),-12*($B$6+$B$10)*(1+$B$4)^31)&gt;0,1+$B$3,1))</f>
        <v/>
      </c>
      <c r="AI110">
        <f>IF($B$1+32&gt;90,AH110,(AH110+IF($B$1+32&lt;=$B110,12*($B$7-$B$10),-12*($B$6+$B$10)*(1+$B$4)^32))*IF(AH110+IF($B$1+32&lt;=$B110,12*($B$7-$B$10),-12*($B$6+$B$10)*(1+$B$4)^32)&gt;0,1+$B$3,1))</f>
        <v/>
      </c>
      <c r="AJ110">
        <f>IF($B$1+33&gt;90,AI110,(AI110+IF($B$1+33&lt;=$B110,12*($B$7-$B$10),-12*($B$6+$B$10)*(1+$B$4)^33))*IF(AI110+IF($B$1+33&lt;=$B110,12*($B$7-$B$10),-12*($B$6+$B$10)*(1+$B$4)^33)&gt;0,1+$B$3,1))</f>
        <v/>
      </c>
      <c r="AK110">
        <f>IF($B$1+34&gt;90,AJ110,(AJ110+IF($B$1+34&lt;=$B110,12*($B$7-$B$10),-12*($B$6+$B$10)*(1+$B$4)^34))*IF(AJ110+IF($B$1+34&lt;=$B110,12*($B$7-$B$10),-12*($B$6+$B$10)*(1+$B$4)^34)&gt;0,1+$B$3,1))</f>
        <v/>
      </c>
      <c r="AL110">
        <f>IF($B$1+35&gt;90,AK110,(AK110+IF($B$1+35&lt;=$B110,12*($B$7-$B$10),-12*($B$6+$B$10)*(1+$B$4)^35))*IF(AK110+IF($B$1+35&lt;=$B110,12*($B$7-$B$10),-12*($B$6+$B$10)*(1+$B$4)^35)&gt;0,1+$B$3,1))</f>
        <v/>
      </c>
      <c r="AM110">
        <f>IF($B$1+36&gt;90,AL110,(AL110+IF($B$1+36&lt;=$B110,12*($B$7-$B$10),-12*($B$6+$B$10)*(1+$B$4)^36))*IF(AL110+IF($B$1+36&lt;=$B110,12*($B$7-$B$10),-12*($B$6+$B$10)*(1+$B$4)^36)&gt;0,1+$B$3,1))</f>
        <v/>
      </c>
      <c r="AN110">
        <f>IF($B$1+37&gt;90,AM110,(AM110+IF($B$1+37&lt;=$B110,12*($B$7-$B$10),-12*($B$6+$B$10)*(1+$B$4)^37))*IF(AM110+IF($B$1+37&lt;=$B110,12*($B$7-$B$10),-12*($B$6+$B$10)*(1+$B$4)^37)&gt;0,1+$B$3,1))</f>
        <v/>
      </c>
      <c r="AO110">
        <f>IF($B$1+38&gt;90,AN110,(AN110+IF($B$1+38&lt;=$B110,12*($B$7-$B$10),-12*($B$6+$B$10)*(1+$B$4)^38))*IF(AN110+IF($B$1+38&lt;=$B110,12*($B$7-$B$10),-12*($B$6+$B$10)*(1+$B$4)^38)&gt;0,1+$B$3,1))</f>
        <v/>
      </c>
      <c r="AP110">
        <f>IF($B$1+39&gt;90,AO110,(AO110+IF($B$1+39&lt;=$B110,12*($B$7-$B$10),-12*($B$6+$B$10)*(1+$B$4)^39))*IF(AO110+IF($B$1+39&lt;=$B110,12*($B$7-$B$10),-12*($B$6+$B$10)*(1+$B$4)^39)&gt;0,1+$B$3,1))</f>
        <v/>
      </c>
      <c r="AQ110">
        <f>IF($B$1+40&gt;90,AP110,(AP110+IF($B$1+40&lt;=$B110,12*($B$7-$B$10),-12*($B$6+$B$10)*(1+$B$4)^40))*IF(AP110+IF($B$1+40&lt;=$B110,12*($B$7-$B$10),-12*($B$6+$B$10)*(1+$B$4)^40)&gt;0,1+$B$3,1))</f>
        <v/>
      </c>
      <c r="AR110">
        <f>IF($B$1+41&gt;90,AQ110,(AQ110+IF($B$1+41&lt;=$B110,12*($B$7-$B$10),-12*($B$6+$B$10)*(1+$B$4)^41))*IF(AQ110+IF($B$1+41&lt;=$B110,12*($B$7-$B$10),-12*($B$6+$B$10)*(1+$B$4)^41)&gt;0,1+$B$3,1))</f>
        <v/>
      </c>
      <c r="AS110">
        <f>IF($B$1+42&gt;90,AR110,(AR110+IF($B$1+42&lt;=$B110,12*($B$7-$B$10),-12*($B$6+$B$10)*(1+$B$4)^42))*IF(AR110+IF($B$1+42&lt;=$B110,12*($B$7-$B$10),-12*($B$6+$B$10)*(1+$B$4)^42)&gt;0,1+$B$3,1))</f>
        <v/>
      </c>
      <c r="AT110">
        <f>IF($B$1+43&gt;90,AS110,(AS110+IF($B$1+43&lt;=$B110,12*($B$7-$B$10),-12*($B$6+$B$10)*(1+$B$4)^43))*IF(AS110+IF($B$1+43&lt;=$B110,12*($B$7-$B$10),-12*($B$6+$B$10)*(1+$B$4)^43)&gt;0,1+$B$3,1))</f>
        <v/>
      </c>
      <c r="AU110">
        <f>IF($B$1+44&gt;90,AT110,(AT110+IF($B$1+44&lt;=$B110,12*($B$7-$B$10),-12*($B$6+$B$10)*(1+$B$4)^44))*IF(AT110+IF($B$1+44&lt;=$B110,12*($B$7-$B$10),-12*($B$6+$B$10)*(1+$B$4)^44)&gt;0,1+$B$3,1))</f>
        <v/>
      </c>
      <c r="AV110">
        <f>IF($B$1+45&gt;90,AU110,(AU110+IF($B$1+45&lt;=$B110,12*($B$7-$B$10),-12*($B$6+$B$10)*(1+$B$4)^45))*IF(AU110+IF($B$1+45&lt;=$B110,12*($B$7-$B$10),-12*($B$6+$B$10)*(1+$B$4)^45)&gt;0,1+$B$3,1))</f>
        <v/>
      </c>
      <c r="AW110">
        <f>IF($B$1+46&gt;90,AV110,(AV110+IF($B$1+46&lt;=$B110,12*($B$7-$B$10),-12*($B$6+$B$10)*(1+$B$4)^46))*IF(AV110+IF($B$1+46&lt;=$B110,12*($B$7-$B$10),-12*($B$6+$B$10)*(1+$B$4)^46)&gt;0,1+$B$3,1))</f>
        <v/>
      </c>
      <c r="AX110">
        <f>IF($B$1+47&gt;90,AW110,(AW110+IF($B$1+47&lt;=$B110,12*($B$7-$B$10),-12*($B$6+$B$10)*(1+$B$4)^47))*IF(AW110+IF($B$1+47&lt;=$B110,12*($B$7-$B$10),-12*($B$6+$B$10)*(1+$B$4)^47)&gt;0,1+$B$3,1))</f>
        <v/>
      </c>
      <c r="AY110">
        <f>IF($B$1+48&gt;90,AX110,(AX110+IF($B$1+48&lt;=$B110,12*($B$7-$B$10),-12*($B$6+$B$10)*(1+$B$4)^48))*IF(AX110+IF($B$1+48&lt;=$B110,12*($B$7-$B$10),-12*($B$6+$B$10)*(1+$B$4)^48)&gt;0,1+$B$3,1))</f>
        <v/>
      </c>
      <c r="AZ110">
        <f>IF($B$1+49&gt;90,AY110,(AY110+IF($B$1+49&lt;=$B110,12*($B$7-$B$10),-12*($B$6+$B$10)*(1+$B$4)^49))*IF(AY110+IF($B$1+49&lt;=$B110,12*($B$7-$B$10),-12*($B$6+$B$10)*(1+$B$4)^49)&gt;0,1+$B$3,1))</f>
        <v/>
      </c>
      <c r="BA110">
        <f>IF($B$1+50&gt;90,AZ110,(AZ110+IF($B$1+50&lt;=$B110,12*($B$7-$B$10),-12*($B$6+$B$10)*(1+$B$4)^50))*IF(AZ110+IF($B$1+50&lt;=$B110,12*($B$7-$B$10),-12*($B$6+$B$10)*(1+$B$4)^50)&gt;0,1+$B$3,1))</f>
        <v/>
      </c>
      <c r="BB110">
        <f>IF($B$1+51&gt;90,BA110,(BA110+IF($B$1+51&lt;=$B110,12*($B$7-$B$10),-12*($B$6+$B$10)*(1+$B$4)^51))*IF(BA110+IF($B$1+51&lt;=$B110,12*($B$7-$B$10),-12*($B$6+$B$10)*(1+$B$4)^51)&gt;0,1+$B$3,1))</f>
        <v/>
      </c>
      <c r="BC110">
        <f>IF($B$1+52&gt;90,BB110,(BB110+IF($B$1+52&lt;=$B110,12*($B$7-$B$10),-12*($B$6+$B$10)*(1+$B$4)^52))*IF(BB110+IF($B$1+52&lt;=$B110,12*($B$7-$B$10),-12*($B$6+$B$10)*(1+$B$4)^52)&gt;0,1+$B$3,1))</f>
        <v/>
      </c>
      <c r="BD110">
        <f>IF($B$1+53&gt;90,BC110,(BC110+IF($B$1+53&lt;=$B110,12*($B$7-$B$10),-12*($B$6+$B$10)*(1+$B$4)^53))*IF(BC110+IF($B$1+53&lt;=$B110,12*($B$7-$B$10),-12*($B$6+$B$10)*(1+$B$4)^53)&gt;0,1+$B$3,1))</f>
        <v/>
      </c>
      <c r="BE110">
        <f>IF($B$1+54&gt;90,BD110,(BD110+IF($B$1+54&lt;=$B110,12*($B$7-$B$10),-12*($B$6+$B$10)*(1+$B$4)^54))*IF(BD110+IF($B$1+54&lt;=$B110,12*($B$7-$B$10),-12*($B$6+$B$10)*(1+$B$4)^54)&gt;0,1+$B$3,1))</f>
        <v/>
      </c>
      <c r="BF110">
        <f>IF($B$1+55&gt;90,BE110,(BE110+IF($B$1+55&lt;=$B110,12*($B$7-$B$10),-12*($B$6+$B$10)*(1+$B$4)^55))*IF(BE110+IF($B$1+55&lt;=$B110,12*($B$7-$B$10),-12*($B$6+$B$10)*(1+$B$4)^55)&gt;0,1+$B$3,1))</f>
        <v/>
      </c>
      <c r="BG110">
        <f>IF($B$1+56&gt;90,BF110,(BF110+IF($B$1+56&lt;=$B110,12*($B$7-$B$10),-12*($B$6+$B$10)*(1+$B$4)^56))*IF(BF110+IF($B$1+56&lt;=$B110,12*($B$7-$B$10),-12*($B$6+$B$10)*(1+$B$4)^56)&gt;0,1+$B$3,1))</f>
        <v/>
      </c>
      <c r="BH110">
        <f>IF($B$1+57&gt;90,BG110,(BG110+IF($B$1+57&lt;=$B110,12*($B$7-$B$10),-12*($B$6+$B$10)*(1+$B$4)^57))*IF(BG110+IF($B$1+57&lt;=$B110,12*($B$7-$B$10),-12*($B$6+$B$10)*(1+$B$4)^57)&gt;0,1+$B$3,1))</f>
        <v/>
      </c>
      <c r="BI110">
        <f>IF($B$1+58&gt;90,BH110,(BH110+IF($B$1+58&lt;=$B110,12*($B$7-$B$10),-12*($B$6+$B$10)*(1+$B$4)^58))*IF(BH110+IF($B$1+58&lt;=$B110,12*($B$7-$B$10),-12*($B$6+$B$10)*(1+$B$4)^58)&gt;0,1+$B$3,1))</f>
        <v/>
      </c>
      <c r="BJ110">
        <f>IF($B$1+59&gt;90,BI110,(BI110+IF($B$1+59&lt;=$B110,12*($B$7-$B$10),-12*($B$6+$B$10)*(1+$B$4)^59))*IF(BI110+IF($B$1+59&lt;=$B110,12*($B$7-$B$10),-12*($B$6+$B$10)*(1+$B$4)^59)&gt;0,1+$B$3,1))</f>
        <v/>
      </c>
      <c r="BK110">
        <f>IF($B$1+60&gt;90,BJ110,(BJ110+IF($B$1+60&lt;=$B110,12*($B$7-$B$10),-12*($B$6+$B$10)*(1+$B$4)^60))*IF(BJ110+IF($B$1+60&lt;=$B110,12*($B$7-$B$10),-12*($B$6+$B$10)*(1+$B$4)^60)&gt;0,1+$B$3,1))</f>
        <v/>
      </c>
      <c r="BL110">
        <f>IF($B$1+61&gt;90,BK110,(BK110+IF($B$1+61&lt;=$B110,12*($B$7-$B$10),-12*($B$6+$B$10)*(1+$B$4)^61))*IF(BK110+IF($B$1+61&lt;=$B110,12*($B$7-$B$10),-12*($B$6+$B$10)*(1+$B$4)^61)&gt;0,1+$B$3,1))</f>
        <v/>
      </c>
      <c r="BM110">
        <f>IF($B$1+62&gt;90,BL110,(BL110+IF($B$1+62&lt;=$B110,12*($B$7-$B$10),-12*($B$6+$B$10)*(1+$B$4)^62))*IF(BL110+IF($B$1+62&lt;=$B110,12*($B$7-$B$10),-12*($B$6+$B$10)*(1+$B$4)^62)&gt;0,1+$B$3,1))</f>
        <v/>
      </c>
      <c r="BN110">
        <f>IF($B$1+63&gt;90,BM110,(BM110+IF($B$1+63&lt;=$B110,12*($B$7-$B$10),-12*($B$6+$B$10)*(1+$B$4)^63))*IF(BM110+IF($B$1+63&lt;=$B110,12*($B$7-$B$10),-12*($B$6+$B$10)*(1+$B$4)^63)&gt;0,1+$B$3,1))</f>
        <v/>
      </c>
      <c r="BO110">
        <f>IF($B$1+64&gt;90,BN110,(BN110+IF($B$1+64&lt;=$B110,12*($B$7-$B$10),-12*($B$6+$B$10)*(1+$B$4)^64))*IF(BN110+IF($B$1+64&lt;=$B110,12*($B$7-$B$10),-12*($B$6+$B$10)*(1+$B$4)^64)&gt;0,1+$B$3,1))</f>
        <v/>
      </c>
      <c r="BP110">
        <f>IF($B$1+65&gt;90,BO110,(BO110+IF($B$1+65&lt;=$B110,12*($B$7-$B$10),-12*($B$6+$B$10)*(1+$B$4)^65))*IF(BO110+IF($B$1+65&lt;=$B110,12*($B$7-$B$10),-12*($B$6+$B$10)*(1+$B$4)^65)&gt;0,1+$B$3,1))</f>
        <v/>
      </c>
      <c r="BQ110">
        <f>IF($B$1+66&gt;90,BP110,(BP110+IF($B$1+66&lt;=$B110,12*($B$7-$B$10),-12*($B$6+$B$10)*(1+$B$4)^66))*IF(BP110+IF($B$1+66&lt;=$B110,12*($B$7-$B$10),-12*($B$6+$B$10)*(1+$B$4)^66)&gt;0,1+$B$3,1))</f>
        <v/>
      </c>
      <c r="BR110">
        <f>IF($B$1+67&gt;90,BQ110,(BQ110+IF($B$1+67&lt;=$B110,12*($B$7-$B$10),-12*($B$6+$B$10)*(1+$B$4)^67))*IF(BQ110+IF($B$1+67&lt;=$B110,12*($B$7-$B$10),-12*($B$6+$B$10)*(1+$B$4)^67)&gt;0,1+$B$3,1))</f>
        <v/>
      </c>
      <c r="BS110">
        <f>IF($B$1+68&gt;90,BR110,(BR110+IF($B$1+68&lt;=$B110,12*($B$7-$B$10),-12*($B$6+$B$10)*(1+$B$4)^68))*IF(BR110+IF($B$1+68&lt;=$B110,12*($B$7-$B$10),-12*($B$6+$B$10)*(1+$B$4)^68)&gt;0,1+$B$3,1))</f>
        <v/>
      </c>
      <c r="BT110">
        <f>IF($B$1+69&gt;90,BS110,(BS110+IF($B$1+69&lt;=$B110,12*($B$7-$B$10),-12*($B$6+$B$10)*(1+$B$4)^69))*IF(BS110+IF($B$1+69&lt;=$B110,12*($B$7-$B$10),-12*($B$6+$B$10)*(1+$B$4)^69)&gt;0,1+$B$3,1))</f>
        <v/>
      </c>
      <c r="BU110">
        <f>IF($B$1+70&gt;90,BT110,(BT110+IF($B$1+70&lt;=$B110,12*($B$7-$B$10),-12*($B$6+$B$10)*(1+$B$4)^70))*IF(BT110+IF($B$1+70&lt;=$B110,12*($B$7-$B$10),-12*($B$6+$B$10)*(1+$B$4)^70)&gt;0,1+$B$3,1))</f>
        <v/>
      </c>
      <c r="BV110">
        <f>BU110</f>
        <v/>
      </c>
      <c r="BW110">
        <f>IF(AND($B110&lt;=70,BV110&gt;0),$B110,999)</f>
        <v/>
      </c>
    </row>
    <row r="111">
      <c r="A111" t="n">
        <v>15</v>
      </c>
      <c r="B111">
        <f>$B$1+15</f>
        <v/>
      </c>
      <c r="C111">
        <f>$B$2</f>
        <v/>
      </c>
      <c r="D111">
        <f>IF($B$1+1&gt;90,C111,(C111+IF($B$1+1&lt;=$B111,12*($B$7-$B$10),-12*($B$6+$B$10)*(1+$B$4)^1))*IF(C111+IF($B$1+1&lt;=$B111,12*($B$7-$B$10),-12*($B$6+$B$10)*(1+$B$4)^1)&gt;0,1+$B$3,1))</f>
        <v/>
      </c>
      <c r="E111">
        <f>IF($B$1+2&gt;90,D111,(D111+IF($B$1+2&lt;=$B111,12*($B$7-$B$10),-12*($B$6+$B$10)*(1+$B$4)^2))*IF(D111+IF($B$1+2&lt;=$B111,12*($B$7-$B$10),-12*($B$6+$B$10)*(1+$B$4)^2)&gt;0,1+$B$3,1))</f>
        <v/>
      </c>
      <c r="F111">
        <f>IF($B$1+3&gt;90,E111,(E111+IF($B$1+3&lt;=$B111,12*($B$7-$B$10),-12*($B$6+$B$10)*(1+$B$4)^3))*IF(E111+IF($B$1+3&lt;=$B111,12*($B$7-$B$10),-12*($B$6+$B$10)*(1+$B$4)^3)&gt;0,1+$B$3,1))</f>
        <v/>
      </c>
      <c r="G111">
        <f>IF($B$1+4&gt;90,F111,(F111+IF($B$1+4&lt;=$B111,12*($B$7-$B$10),-12*($B$6+$B$10)*(1+$B$4)^4))*IF(F111+IF($B$1+4&lt;=$B111,12*($B$7-$B$10),-12*($B$6+$B$10)*(1+$B$4)^4)&gt;0,1+$B$3,1))</f>
        <v/>
      </c>
      <c r="H111">
        <f>IF($B$1+5&gt;90,G111,(G111+IF($B$1+5&lt;=$B111,12*($B$7-$B$10),-12*($B$6+$B$10)*(1+$B$4)^5))*IF(G111+IF($B$1+5&lt;=$B111,12*($B$7-$B$10),-12*($B$6+$B$10)*(1+$B$4)^5)&gt;0,1+$B$3,1))</f>
        <v/>
      </c>
      <c r="I111">
        <f>IF($B$1+6&gt;90,H111,(H111+IF($B$1+6&lt;=$B111,12*($B$7-$B$10),-12*($B$6+$B$10)*(1+$B$4)^6))*IF(H111+IF($B$1+6&lt;=$B111,12*($B$7-$B$10),-12*($B$6+$B$10)*(1+$B$4)^6)&gt;0,1+$B$3,1))</f>
        <v/>
      </c>
      <c r="J111">
        <f>IF($B$1+7&gt;90,I111,(I111+IF($B$1+7&lt;=$B111,12*($B$7-$B$10),-12*($B$6+$B$10)*(1+$B$4)^7))*IF(I111+IF($B$1+7&lt;=$B111,12*($B$7-$B$10),-12*($B$6+$B$10)*(1+$B$4)^7)&gt;0,1+$B$3,1))</f>
        <v/>
      </c>
      <c r="K111">
        <f>IF($B$1+8&gt;90,J111,(J111+IF($B$1+8&lt;=$B111,12*($B$7-$B$10),-12*($B$6+$B$10)*(1+$B$4)^8))*IF(J111+IF($B$1+8&lt;=$B111,12*($B$7-$B$10),-12*($B$6+$B$10)*(1+$B$4)^8)&gt;0,1+$B$3,1))</f>
        <v/>
      </c>
      <c r="L111">
        <f>IF($B$1+9&gt;90,K111,(K111+IF($B$1+9&lt;=$B111,12*($B$7-$B$10),-12*($B$6+$B$10)*(1+$B$4)^9))*IF(K111+IF($B$1+9&lt;=$B111,12*($B$7-$B$10),-12*($B$6+$B$10)*(1+$B$4)^9)&gt;0,1+$B$3,1))</f>
        <v/>
      </c>
      <c r="M111">
        <f>IF($B$1+10&gt;90,L111,(L111+IF($B$1+10&lt;=$B111,12*($B$7-$B$10),-12*($B$6+$B$10)*(1+$B$4)^10))*IF(L111+IF($B$1+10&lt;=$B111,12*($B$7-$B$10),-12*($B$6+$B$10)*(1+$B$4)^10)&gt;0,1+$B$3,1))</f>
        <v/>
      </c>
      <c r="N111">
        <f>IF($B$1+11&gt;90,M111,(M111+IF($B$1+11&lt;=$B111,12*($B$7-$B$10),-12*($B$6+$B$10)*(1+$B$4)^11))*IF(M111+IF($B$1+11&lt;=$B111,12*($B$7-$B$10),-12*($B$6+$B$10)*(1+$B$4)^11)&gt;0,1+$B$3,1))</f>
        <v/>
      </c>
      <c r="O111">
        <f>IF($B$1+12&gt;90,N111,(N111+IF($B$1+12&lt;=$B111,12*($B$7-$B$10),-12*($B$6+$B$10)*(1+$B$4)^12))*IF(N111+IF($B$1+12&lt;=$B111,12*($B$7-$B$10),-12*($B$6+$B$10)*(1+$B$4)^12)&gt;0,1+$B$3,1))</f>
        <v/>
      </c>
      <c r="P111">
        <f>IF($B$1+13&gt;90,O111,(O111+IF($B$1+13&lt;=$B111,12*($B$7-$B$10),-12*($B$6+$B$10)*(1+$B$4)^13))*IF(O111+IF($B$1+13&lt;=$B111,12*($B$7-$B$10),-12*($B$6+$B$10)*(1+$B$4)^13)&gt;0,1+$B$3,1))</f>
        <v/>
      </c>
      <c r="Q111">
        <f>IF($B$1+14&gt;90,P111,(P111+IF($B$1+14&lt;=$B111,12*($B$7-$B$10),-12*($B$6+$B$10)*(1+$B$4)^14))*IF(P111+IF($B$1+14&lt;=$B111,12*($B$7-$B$10),-12*($B$6+$B$10)*(1+$B$4)^14)&gt;0,1+$B$3,1))</f>
        <v/>
      </c>
      <c r="R111">
        <f>IF($B$1+15&gt;90,Q111,(Q111+IF($B$1+15&lt;=$B111,12*($B$7-$B$10),-12*($B$6+$B$10)*(1+$B$4)^15))*IF(Q111+IF($B$1+15&lt;=$B111,12*($B$7-$B$10),-12*($B$6+$B$10)*(1+$B$4)^15)&gt;0,1+$B$3,1))</f>
        <v/>
      </c>
      <c r="S111">
        <f>IF($B$1+16&gt;90,R111,(R111+IF($B$1+16&lt;=$B111,12*($B$7-$B$10),-12*($B$6+$B$10)*(1+$B$4)^16))*IF(R111+IF($B$1+16&lt;=$B111,12*($B$7-$B$10),-12*($B$6+$B$10)*(1+$B$4)^16)&gt;0,1+$B$3,1))</f>
        <v/>
      </c>
      <c r="T111">
        <f>IF($B$1+17&gt;90,S111,(S111+IF($B$1+17&lt;=$B111,12*($B$7-$B$10),-12*($B$6+$B$10)*(1+$B$4)^17))*IF(S111+IF($B$1+17&lt;=$B111,12*($B$7-$B$10),-12*($B$6+$B$10)*(1+$B$4)^17)&gt;0,1+$B$3,1))</f>
        <v/>
      </c>
      <c r="U111">
        <f>IF($B$1+18&gt;90,T111,(T111+IF($B$1+18&lt;=$B111,12*($B$7-$B$10),-12*($B$6+$B$10)*(1+$B$4)^18))*IF(T111+IF($B$1+18&lt;=$B111,12*($B$7-$B$10),-12*($B$6+$B$10)*(1+$B$4)^18)&gt;0,1+$B$3,1))</f>
        <v/>
      </c>
      <c r="V111">
        <f>IF($B$1+19&gt;90,U111,(U111+IF($B$1+19&lt;=$B111,12*($B$7-$B$10),-12*($B$6+$B$10)*(1+$B$4)^19))*IF(U111+IF($B$1+19&lt;=$B111,12*($B$7-$B$10),-12*($B$6+$B$10)*(1+$B$4)^19)&gt;0,1+$B$3,1))</f>
        <v/>
      </c>
      <c r="W111">
        <f>IF($B$1+20&gt;90,V111,(V111+IF($B$1+20&lt;=$B111,12*($B$7-$B$10),-12*($B$6+$B$10)*(1+$B$4)^20))*IF(V111+IF($B$1+20&lt;=$B111,12*($B$7-$B$10),-12*($B$6+$B$10)*(1+$B$4)^20)&gt;0,1+$B$3,1))</f>
        <v/>
      </c>
      <c r="X111">
        <f>IF($B$1+21&gt;90,W111,(W111+IF($B$1+21&lt;=$B111,12*($B$7-$B$10),-12*($B$6+$B$10)*(1+$B$4)^21))*IF(W111+IF($B$1+21&lt;=$B111,12*($B$7-$B$10),-12*($B$6+$B$10)*(1+$B$4)^21)&gt;0,1+$B$3,1))</f>
        <v/>
      </c>
      <c r="Y111">
        <f>IF($B$1+22&gt;90,X111,(X111+IF($B$1+22&lt;=$B111,12*($B$7-$B$10),-12*($B$6+$B$10)*(1+$B$4)^22))*IF(X111+IF($B$1+22&lt;=$B111,12*($B$7-$B$10),-12*($B$6+$B$10)*(1+$B$4)^22)&gt;0,1+$B$3,1))</f>
        <v/>
      </c>
      <c r="Z111">
        <f>IF($B$1+23&gt;90,Y111,(Y111+IF($B$1+23&lt;=$B111,12*($B$7-$B$10),-12*($B$6+$B$10)*(1+$B$4)^23))*IF(Y111+IF($B$1+23&lt;=$B111,12*($B$7-$B$10),-12*($B$6+$B$10)*(1+$B$4)^23)&gt;0,1+$B$3,1))</f>
        <v/>
      </c>
      <c r="AA111">
        <f>IF($B$1+24&gt;90,Z111,(Z111+IF($B$1+24&lt;=$B111,12*($B$7-$B$10),-12*($B$6+$B$10)*(1+$B$4)^24))*IF(Z111+IF($B$1+24&lt;=$B111,12*($B$7-$B$10),-12*($B$6+$B$10)*(1+$B$4)^24)&gt;0,1+$B$3,1))</f>
        <v/>
      </c>
      <c r="AB111">
        <f>IF($B$1+25&gt;90,AA111,(AA111+IF($B$1+25&lt;=$B111,12*($B$7-$B$10),-12*($B$6+$B$10)*(1+$B$4)^25))*IF(AA111+IF($B$1+25&lt;=$B111,12*($B$7-$B$10),-12*($B$6+$B$10)*(1+$B$4)^25)&gt;0,1+$B$3,1))</f>
        <v/>
      </c>
      <c r="AC111">
        <f>IF($B$1+26&gt;90,AB111,(AB111+IF($B$1+26&lt;=$B111,12*($B$7-$B$10),-12*($B$6+$B$10)*(1+$B$4)^26))*IF(AB111+IF($B$1+26&lt;=$B111,12*($B$7-$B$10),-12*($B$6+$B$10)*(1+$B$4)^26)&gt;0,1+$B$3,1))</f>
        <v/>
      </c>
      <c r="AD111">
        <f>IF($B$1+27&gt;90,AC111,(AC111+IF($B$1+27&lt;=$B111,12*($B$7-$B$10),-12*($B$6+$B$10)*(1+$B$4)^27))*IF(AC111+IF($B$1+27&lt;=$B111,12*($B$7-$B$10),-12*($B$6+$B$10)*(1+$B$4)^27)&gt;0,1+$B$3,1))</f>
        <v/>
      </c>
      <c r="AE111">
        <f>IF($B$1+28&gt;90,AD111,(AD111+IF($B$1+28&lt;=$B111,12*($B$7-$B$10),-12*($B$6+$B$10)*(1+$B$4)^28))*IF(AD111+IF($B$1+28&lt;=$B111,12*($B$7-$B$10),-12*($B$6+$B$10)*(1+$B$4)^28)&gt;0,1+$B$3,1))</f>
        <v/>
      </c>
      <c r="AF111">
        <f>IF($B$1+29&gt;90,AE111,(AE111+IF($B$1+29&lt;=$B111,12*($B$7-$B$10),-12*($B$6+$B$10)*(1+$B$4)^29))*IF(AE111+IF($B$1+29&lt;=$B111,12*($B$7-$B$10),-12*($B$6+$B$10)*(1+$B$4)^29)&gt;0,1+$B$3,1))</f>
        <v/>
      </c>
      <c r="AG111">
        <f>IF($B$1+30&gt;90,AF111,(AF111+IF($B$1+30&lt;=$B111,12*($B$7-$B$10),-12*($B$6+$B$10)*(1+$B$4)^30))*IF(AF111+IF($B$1+30&lt;=$B111,12*($B$7-$B$10),-12*($B$6+$B$10)*(1+$B$4)^30)&gt;0,1+$B$3,1))</f>
        <v/>
      </c>
      <c r="AH111">
        <f>IF($B$1+31&gt;90,AG111,(AG111+IF($B$1+31&lt;=$B111,12*($B$7-$B$10),-12*($B$6+$B$10)*(1+$B$4)^31))*IF(AG111+IF($B$1+31&lt;=$B111,12*($B$7-$B$10),-12*($B$6+$B$10)*(1+$B$4)^31)&gt;0,1+$B$3,1))</f>
        <v/>
      </c>
      <c r="AI111">
        <f>IF($B$1+32&gt;90,AH111,(AH111+IF($B$1+32&lt;=$B111,12*($B$7-$B$10),-12*($B$6+$B$10)*(1+$B$4)^32))*IF(AH111+IF($B$1+32&lt;=$B111,12*($B$7-$B$10),-12*($B$6+$B$10)*(1+$B$4)^32)&gt;0,1+$B$3,1))</f>
        <v/>
      </c>
      <c r="AJ111">
        <f>IF($B$1+33&gt;90,AI111,(AI111+IF($B$1+33&lt;=$B111,12*($B$7-$B$10),-12*($B$6+$B$10)*(1+$B$4)^33))*IF(AI111+IF($B$1+33&lt;=$B111,12*($B$7-$B$10),-12*($B$6+$B$10)*(1+$B$4)^33)&gt;0,1+$B$3,1))</f>
        <v/>
      </c>
      <c r="AK111">
        <f>IF($B$1+34&gt;90,AJ111,(AJ111+IF($B$1+34&lt;=$B111,12*($B$7-$B$10),-12*($B$6+$B$10)*(1+$B$4)^34))*IF(AJ111+IF($B$1+34&lt;=$B111,12*($B$7-$B$10),-12*($B$6+$B$10)*(1+$B$4)^34)&gt;0,1+$B$3,1))</f>
        <v/>
      </c>
      <c r="AL111">
        <f>IF($B$1+35&gt;90,AK111,(AK111+IF($B$1+35&lt;=$B111,12*($B$7-$B$10),-12*($B$6+$B$10)*(1+$B$4)^35))*IF(AK111+IF($B$1+35&lt;=$B111,12*($B$7-$B$10),-12*($B$6+$B$10)*(1+$B$4)^35)&gt;0,1+$B$3,1))</f>
        <v/>
      </c>
      <c r="AM111">
        <f>IF($B$1+36&gt;90,AL111,(AL111+IF($B$1+36&lt;=$B111,12*($B$7-$B$10),-12*($B$6+$B$10)*(1+$B$4)^36))*IF(AL111+IF($B$1+36&lt;=$B111,12*($B$7-$B$10),-12*($B$6+$B$10)*(1+$B$4)^36)&gt;0,1+$B$3,1))</f>
        <v/>
      </c>
      <c r="AN111">
        <f>IF($B$1+37&gt;90,AM111,(AM111+IF($B$1+37&lt;=$B111,12*($B$7-$B$10),-12*($B$6+$B$10)*(1+$B$4)^37))*IF(AM111+IF($B$1+37&lt;=$B111,12*($B$7-$B$10),-12*($B$6+$B$10)*(1+$B$4)^37)&gt;0,1+$B$3,1))</f>
        <v/>
      </c>
      <c r="AO111">
        <f>IF($B$1+38&gt;90,AN111,(AN111+IF($B$1+38&lt;=$B111,12*($B$7-$B$10),-12*($B$6+$B$10)*(1+$B$4)^38))*IF(AN111+IF($B$1+38&lt;=$B111,12*($B$7-$B$10),-12*($B$6+$B$10)*(1+$B$4)^38)&gt;0,1+$B$3,1))</f>
        <v/>
      </c>
      <c r="AP111">
        <f>IF($B$1+39&gt;90,AO111,(AO111+IF($B$1+39&lt;=$B111,12*($B$7-$B$10),-12*($B$6+$B$10)*(1+$B$4)^39))*IF(AO111+IF($B$1+39&lt;=$B111,12*($B$7-$B$10),-12*($B$6+$B$10)*(1+$B$4)^39)&gt;0,1+$B$3,1))</f>
        <v/>
      </c>
      <c r="AQ111">
        <f>IF($B$1+40&gt;90,AP111,(AP111+IF($B$1+40&lt;=$B111,12*($B$7-$B$10),-12*($B$6+$B$10)*(1+$B$4)^40))*IF(AP111+IF($B$1+40&lt;=$B111,12*($B$7-$B$10),-12*($B$6+$B$10)*(1+$B$4)^40)&gt;0,1+$B$3,1))</f>
        <v/>
      </c>
      <c r="AR111">
        <f>IF($B$1+41&gt;90,AQ111,(AQ111+IF($B$1+41&lt;=$B111,12*($B$7-$B$10),-12*($B$6+$B$10)*(1+$B$4)^41))*IF(AQ111+IF($B$1+41&lt;=$B111,12*($B$7-$B$10),-12*($B$6+$B$10)*(1+$B$4)^41)&gt;0,1+$B$3,1))</f>
        <v/>
      </c>
      <c r="AS111">
        <f>IF($B$1+42&gt;90,AR111,(AR111+IF($B$1+42&lt;=$B111,12*($B$7-$B$10),-12*($B$6+$B$10)*(1+$B$4)^42))*IF(AR111+IF($B$1+42&lt;=$B111,12*($B$7-$B$10),-12*($B$6+$B$10)*(1+$B$4)^42)&gt;0,1+$B$3,1))</f>
        <v/>
      </c>
      <c r="AT111">
        <f>IF($B$1+43&gt;90,AS111,(AS111+IF($B$1+43&lt;=$B111,12*($B$7-$B$10),-12*($B$6+$B$10)*(1+$B$4)^43))*IF(AS111+IF($B$1+43&lt;=$B111,12*($B$7-$B$10),-12*($B$6+$B$10)*(1+$B$4)^43)&gt;0,1+$B$3,1))</f>
        <v/>
      </c>
      <c r="AU111">
        <f>IF($B$1+44&gt;90,AT111,(AT111+IF($B$1+44&lt;=$B111,12*($B$7-$B$10),-12*($B$6+$B$10)*(1+$B$4)^44))*IF(AT111+IF($B$1+44&lt;=$B111,12*($B$7-$B$10),-12*($B$6+$B$10)*(1+$B$4)^44)&gt;0,1+$B$3,1))</f>
        <v/>
      </c>
      <c r="AV111">
        <f>IF($B$1+45&gt;90,AU111,(AU111+IF($B$1+45&lt;=$B111,12*($B$7-$B$10),-12*($B$6+$B$10)*(1+$B$4)^45))*IF(AU111+IF($B$1+45&lt;=$B111,12*($B$7-$B$10),-12*($B$6+$B$10)*(1+$B$4)^45)&gt;0,1+$B$3,1))</f>
        <v/>
      </c>
      <c r="AW111">
        <f>IF($B$1+46&gt;90,AV111,(AV111+IF($B$1+46&lt;=$B111,12*($B$7-$B$10),-12*($B$6+$B$10)*(1+$B$4)^46))*IF(AV111+IF($B$1+46&lt;=$B111,12*($B$7-$B$10),-12*($B$6+$B$10)*(1+$B$4)^46)&gt;0,1+$B$3,1))</f>
        <v/>
      </c>
      <c r="AX111">
        <f>IF($B$1+47&gt;90,AW111,(AW111+IF($B$1+47&lt;=$B111,12*($B$7-$B$10),-12*($B$6+$B$10)*(1+$B$4)^47))*IF(AW111+IF($B$1+47&lt;=$B111,12*($B$7-$B$10),-12*($B$6+$B$10)*(1+$B$4)^47)&gt;0,1+$B$3,1))</f>
        <v/>
      </c>
      <c r="AY111">
        <f>IF($B$1+48&gt;90,AX111,(AX111+IF($B$1+48&lt;=$B111,12*($B$7-$B$10),-12*($B$6+$B$10)*(1+$B$4)^48))*IF(AX111+IF($B$1+48&lt;=$B111,12*($B$7-$B$10),-12*($B$6+$B$10)*(1+$B$4)^48)&gt;0,1+$B$3,1))</f>
        <v/>
      </c>
      <c r="AZ111">
        <f>IF($B$1+49&gt;90,AY111,(AY111+IF($B$1+49&lt;=$B111,12*($B$7-$B$10),-12*($B$6+$B$10)*(1+$B$4)^49))*IF(AY111+IF($B$1+49&lt;=$B111,12*($B$7-$B$10),-12*($B$6+$B$10)*(1+$B$4)^49)&gt;0,1+$B$3,1))</f>
        <v/>
      </c>
      <c r="BA111">
        <f>IF($B$1+50&gt;90,AZ111,(AZ111+IF($B$1+50&lt;=$B111,12*($B$7-$B$10),-12*($B$6+$B$10)*(1+$B$4)^50))*IF(AZ111+IF($B$1+50&lt;=$B111,12*($B$7-$B$10),-12*($B$6+$B$10)*(1+$B$4)^50)&gt;0,1+$B$3,1))</f>
        <v/>
      </c>
      <c r="BB111">
        <f>IF($B$1+51&gt;90,BA111,(BA111+IF($B$1+51&lt;=$B111,12*($B$7-$B$10),-12*($B$6+$B$10)*(1+$B$4)^51))*IF(BA111+IF($B$1+51&lt;=$B111,12*($B$7-$B$10),-12*($B$6+$B$10)*(1+$B$4)^51)&gt;0,1+$B$3,1))</f>
        <v/>
      </c>
      <c r="BC111">
        <f>IF($B$1+52&gt;90,BB111,(BB111+IF($B$1+52&lt;=$B111,12*($B$7-$B$10),-12*($B$6+$B$10)*(1+$B$4)^52))*IF(BB111+IF($B$1+52&lt;=$B111,12*($B$7-$B$10),-12*($B$6+$B$10)*(1+$B$4)^52)&gt;0,1+$B$3,1))</f>
        <v/>
      </c>
      <c r="BD111">
        <f>IF($B$1+53&gt;90,BC111,(BC111+IF($B$1+53&lt;=$B111,12*($B$7-$B$10),-12*($B$6+$B$10)*(1+$B$4)^53))*IF(BC111+IF($B$1+53&lt;=$B111,12*($B$7-$B$10),-12*($B$6+$B$10)*(1+$B$4)^53)&gt;0,1+$B$3,1))</f>
        <v/>
      </c>
      <c r="BE111">
        <f>IF($B$1+54&gt;90,BD111,(BD111+IF($B$1+54&lt;=$B111,12*($B$7-$B$10),-12*($B$6+$B$10)*(1+$B$4)^54))*IF(BD111+IF($B$1+54&lt;=$B111,12*($B$7-$B$10),-12*($B$6+$B$10)*(1+$B$4)^54)&gt;0,1+$B$3,1))</f>
        <v/>
      </c>
      <c r="BF111">
        <f>IF($B$1+55&gt;90,BE111,(BE111+IF($B$1+55&lt;=$B111,12*($B$7-$B$10),-12*($B$6+$B$10)*(1+$B$4)^55))*IF(BE111+IF($B$1+55&lt;=$B111,12*($B$7-$B$10),-12*($B$6+$B$10)*(1+$B$4)^55)&gt;0,1+$B$3,1))</f>
        <v/>
      </c>
      <c r="BG111">
        <f>IF($B$1+56&gt;90,BF111,(BF111+IF($B$1+56&lt;=$B111,12*($B$7-$B$10),-12*($B$6+$B$10)*(1+$B$4)^56))*IF(BF111+IF($B$1+56&lt;=$B111,12*($B$7-$B$10),-12*($B$6+$B$10)*(1+$B$4)^56)&gt;0,1+$B$3,1))</f>
        <v/>
      </c>
      <c r="BH111">
        <f>IF($B$1+57&gt;90,BG111,(BG111+IF($B$1+57&lt;=$B111,12*($B$7-$B$10),-12*($B$6+$B$10)*(1+$B$4)^57))*IF(BG111+IF($B$1+57&lt;=$B111,12*($B$7-$B$10),-12*($B$6+$B$10)*(1+$B$4)^57)&gt;0,1+$B$3,1))</f>
        <v/>
      </c>
      <c r="BI111">
        <f>IF($B$1+58&gt;90,BH111,(BH111+IF($B$1+58&lt;=$B111,12*($B$7-$B$10),-12*($B$6+$B$10)*(1+$B$4)^58))*IF(BH111+IF($B$1+58&lt;=$B111,12*($B$7-$B$10),-12*($B$6+$B$10)*(1+$B$4)^58)&gt;0,1+$B$3,1))</f>
        <v/>
      </c>
      <c r="BJ111">
        <f>IF($B$1+59&gt;90,BI111,(BI111+IF($B$1+59&lt;=$B111,12*($B$7-$B$10),-12*($B$6+$B$10)*(1+$B$4)^59))*IF(BI111+IF($B$1+59&lt;=$B111,12*($B$7-$B$10),-12*($B$6+$B$10)*(1+$B$4)^59)&gt;0,1+$B$3,1))</f>
        <v/>
      </c>
      <c r="BK111">
        <f>IF($B$1+60&gt;90,BJ111,(BJ111+IF($B$1+60&lt;=$B111,12*($B$7-$B$10),-12*($B$6+$B$10)*(1+$B$4)^60))*IF(BJ111+IF($B$1+60&lt;=$B111,12*($B$7-$B$10),-12*($B$6+$B$10)*(1+$B$4)^60)&gt;0,1+$B$3,1))</f>
        <v/>
      </c>
      <c r="BL111">
        <f>IF($B$1+61&gt;90,BK111,(BK111+IF($B$1+61&lt;=$B111,12*($B$7-$B$10),-12*($B$6+$B$10)*(1+$B$4)^61))*IF(BK111+IF($B$1+61&lt;=$B111,12*($B$7-$B$10),-12*($B$6+$B$10)*(1+$B$4)^61)&gt;0,1+$B$3,1))</f>
        <v/>
      </c>
      <c r="BM111">
        <f>IF($B$1+62&gt;90,BL111,(BL111+IF($B$1+62&lt;=$B111,12*($B$7-$B$10),-12*($B$6+$B$10)*(1+$B$4)^62))*IF(BL111+IF($B$1+62&lt;=$B111,12*($B$7-$B$10),-12*($B$6+$B$10)*(1+$B$4)^62)&gt;0,1+$B$3,1))</f>
        <v/>
      </c>
      <c r="BN111">
        <f>IF($B$1+63&gt;90,BM111,(BM111+IF($B$1+63&lt;=$B111,12*($B$7-$B$10),-12*($B$6+$B$10)*(1+$B$4)^63))*IF(BM111+IF($B$1+63&lt;=$B111,12*($B$7-$B$10),-12*($B$6+$B$10)*(1+$B$4)^63)&gt;0,1+$B$3,1))</f>
        <v/>
      </c>
      <c r="BO111">
        <f>IF($B$1+64&gt;90,BN111,(BN111+IF($B$1+64&lt;=$B111,12*($B$7-$B$10),-12*($B$6+$B$10)*(1+$B$4)^64))*IF(BN111+IF($B$1+64&lt;=$B111,12*($B$7-$B$10),-12*($B$6+$B$10)*(1+$B$4)^64)&gt;0,1+$B$3,1))</f>
        <v/>
      </c>
      <c r="BP111">
        <f>IF($B$1+65&gt;90,BO111,(BO111+IF($B$1+65&lt;=$B111,12*($B$7-$B$10),-12*($B$6+$B$10)*(1+$B$4)^65))*IF(BO111+IF($B$1+65&lt;=$B111,12*($B$7-$B$10),-12*($B$6+$B$10)*(1+$B$4)^65)&gt;0,1+$B$3,1))</f>
        <v/>
      </c>
      <c r="BQ111">
        <f>IF($B$1+66&gt;90,BP111,(BP111+IF($B$1+66&lt;=$B111,12*($B$7-$B$10),-12*($B$6+$B$10)*(1+$B$4)^66))*IF(BP111+IF($B$1+66&lt;=$B111,12*($B$7-$B$10),-12*($B$6+$B$10)*(1+$B$4)^66)&gt;0,1+$B$3,1))</f>
        <v/>
      </c>
      <c r="BR111">
        <f>IF($B$1+67&gt;90,BQ111,(BQ111+IF($B$1+67&lt;=$B111,12*($B$7-$B$10),-12*($B$6+$B$10)*(1+$B$4)^67))*IF(BQ111+IF($B$1+67&lt;=$B111,12*($B$7-$B$10),-12*($B$6+$B$10)*(1+$B$4)^67)&gt;0,1+$B$3,1))</f>
        <v/>
      </c>
      <c r="BS111">
        <f>IF($B$1+68&gt;90,BR111,(BR111+IF($B$1+68&lt;=$B111,12*($B$7-$B$10),-12*($B$6+$B$10)*(1+$B$4)^68))*IF(BR111+IF($B$1+68&lt;=$B111,12*($B$7-$B$10),-12*($B$6+$B$10)*(1+$B$4)^68)&gt;0,1+$B$3,1))</f>
        <v/>
      </c>
      <c r="BT111">
        <f>IF($B$1+69&gt;90,BS111,(BS111+IF($B$1+69&lt;=$B111,12*($B$7-$B$10),-12*($B$6+$B$10)*(1+$B$4)^69))*IF(BS111+IF($B$1+69&lt;=$B111,12*($B$7-$B$10),-12*($B$6+$B$10)*(1+$B$4)^69)&gt;0,1+$B$3,1))</f>
        <v/>
      </c>
      <c r="BU111">
        <f>IF($B$1+70&gt;90,BT111,(BT111+IF($B$1+70&lt;=$B111,12*($B$7-$B$10),-12*($B$6+$B$10)*(1+$B$4)^70))*IF(BT111+IF($B$1+70&lt;=$B111,12*($B$7-$B$10),-12*($B$6+$B$10)*(1+$B$4)^70)&gt;0,1+$B$3,1))</f>
        <v/>
      </c>
      <c r="BV111">
        <f>BU111</f>
        <v/>
      </c>
      <c r="BW111">
        <f>IF(AND($B111&lt;=70,BV111&gt;0),$B111,999)</f>
        <v/>
      </c>
    </row>
    <row r="112">
      <c r="A112" t="n">
        <v>16</v>
      </c>
      <c r="B112">
        <f>$B$1+16</f>
        <v/>
      </c>
      <c r="C112">
        <f>$B$2</f>
        <v/>
      </c>
      <c r="D112">
        <f>IF($B$1+1&gt;90,C112,(C112+IF($B$1+1&lt;=$B112,12*($B$7-$B$10),-12*($B$6+$B$10)*(1+$B$4)^1))*IF(C112+IF($B$1+1&lt;=$B112,12*($B$7-$B$10),-12*($B$6+$B$10)*(1+$B$4)^1)&gt;0,1+$B$3,1))</f>
        <v/>
      </c>
      <c r="E112">
        <f>IF($B$1+2&gt;90,D112,(D112+IF($B$1+2&lt;=$B112,12*($B$7-$B$10),-12*($B$6+$B$10)*(1+$B$4)^2))*IF(D112+IF($B$1+2&lt;=$B112,12*($B$7-$B$10),-12*($B$6+$B$10)*(1+$B$4)^2)&gt;0,1+$B$3,1))</f>
        <v/>
      </c>
      <c r="F112">
        <f>IF($B$1+3&gt;90,E112,(E112+IF($B$1+3&lt;=$B112,12*($B$7-$B$10),-12*($B$6+$B$10)*(1+$B$4)^3))*IF(E112+IF($B$1+3&lt;=$B112,12*($B$7-$B$10),-12*($B$6+$B$10)*(1+$B$4)^3)&gt;0,1+$B$3,1))</f>
        <v/>
      </c>
      <c r="G112">
        <f>IF($B$1+4&gt;90,F112,(F112+IF($B$1+4&lt;=$B112,12*($B$7-$B$10),-12*($B$6+$B$10)*(1+$B$4)^4))*IF(F112+IF($B$1+4&lt;=$B112,12*($B$7-$B$10),-12*($B$6+$B$10)*(1+$B$4)^4)&gt;0,1+$B$3,1))</f>
        <v/>
      </c>
      <c r="H112">
        <f>IF($B$1+5&gt;90,G112,(G112+IF($B$1+5&lt;=$B112,12*($B$7-$B$10),-12*($B$6+$B$10)*(1+$B$4)^5))*IF(G112+IF($B$1+5&lt;=$B112,12*($B$7-$B$10),-12*($B$6+$B$10)*(1+$B$4)^5)&gt;0,1+$B$3,1))</f>
        <v/>
      </c>
      <c r="I112">
        <f>IF($B$1+6&gt;90,H112,(H112+IF($B$1+6&lt;=$B112,12*($B$7-$B$10),-12*($B$6+$B$10)*(1+$B$4)^6))*IF(H112+IF($B$1+6&lt;=$B112,12*($B$7-$B$10),-12*($B$6+$B$10)*(1+$B$4)^6)&gt;0,1+$B$3,1))</f>
        <v/>
      </c>
      <c r="J112">
        <f>IF($B$1+7&gt;90,I112,(I112+IF($B$1+7&lt;=$B112,12*($B$7-$B$10),-12*($B$6+$B$10)*(1+$B$4)^7))*IF(I112+IF($B$1+7&lt;=$B112,12*($B$7-$B$10),-12*($B$6+$B$10)*(1+$B$4)^7)&gt;0,1+$B$3,1))</f>
        <v/>
      </c>
      <c r="K112">
        <f>IF($B$1+8&gt;90,J112,(J112+IF($B$1+8&lt;=$B112,12*($B$7-$B$10),-12*($B$6+$B$10)*(1+$B$4)^8))*IF(J112+IF($B$1+8&lt;=$B112,12*($B$7-$B$10),-12*($B$6+$B$10)*(1+$B$4)^8)&gt;0,1+$B$3,1))</f>
        <v/>
      </c>
      <c r="L112">
        <f>IF($B$1+9&gt;90,K112,(K112+IF($B$1+9&lt;=$B112,12*($B$7-$B$10),-12*($B$6+$B$10)*(1+$B$4)^9))*IF(K112+IF($B$1+9&lt;=$B112,12*($B$7-$B$10),-12*($B$6+$B$10)*(1+$B$4)^9)&gt;0,1+$B$3,1))</f>
        <v/>
      </c>
      <c r="M112">
        <f>IF($B$1+10&gt;90,L112,(L112+IF($B$1+10&lt;=$B112,12*($B$7-$B$10),-12*($B$6+$B$10)*(1+$B$4)^10))*IF(L112+IF($B$1+10&lt;=$B112,12*($B$7-$B$10),-12*($B$6+$B$10)*(1+$B$4)^10)&gt;0,1+$B$3,1))</f>
        <v/>
      </c>
      <c r="N112">
        <f>IF($B$1+11&gt;90,M112,(M112+IF($B$1+11&lt;=$B112,12*($B$7-$B$10),-12*($B$6+$B$10)*(1+$B$4)^11))*IF(M112+IF($B$1+11&lt;=$B112,12*($B$7-$B$10),-12*($B$6+$B$10)*(1+$B$4)^11)&gt;0,1+$B$3,1))</f>
        <v/>
      </c>
      <c r="O112">
        <f>IF($B$1+12&gt;90,N112,(N112+IF($B$1+12&lt;=$B112,12*($B$7-$B$10),-12*($B$6+$B$10)*(1+$B$4)^12))*IF(N112+IF($B$1+12&lt;=$B112,12*($B$7-$B$10),-12*($B$6+$B$10)*(1+$B$4)^12)&gt;0,1+$B$3,1))</f>
        <v/>
      </c>
      <c r="P112">
        <f>IF($B$1+13&gt;90,O112,(O112+IF($B$1+13&lt;=$B112,12*($B$7-$B$10),-12*($B$6+$B$10)*(1+$B$4)^13))*IF(O112+IF($B$1+13&lt;=$B112,12*($B$7-$B$10),-12*($B$6+$B$10)*(1+$B$4)^13)&gt;0,1+$B$3,1))</f>
        <v/>
      </c>
      <c r="Q112">
        <f>IF($B$1+14&gt;90,P112,(P112+IF($B$1+14&lt;=$B112,12*($B$7-$B$10),-12*($B$6+$B$10)*(1+$B$4)^14))*IF(P112+IF($B$1+14&lt;=$B112,12*($B$7-$B$10),-12*($B$6+$B$10)*(1+$B$4)^14)&gt;0,1+$B$3,1))</f>
        <v/>
      </c>
      <c r="R112">
        <f>IF($B$1+15&gt;90,Q112,(Q112+IF($B$1+15&lt;=$B112,12*($B$7-$B$10),-12*($B$6+$B$10)*(1+$B$4)^15))*IF(Q112+IF($B$1+15&lt;=$B112,12*($B$7-$B$10),-12*($B$6+$B$10)*(1+$B$4)^15)&gt;0,1+$B$3,1))</f>
        <v/>
      </c>
      <c r="S112">
        <f>IF($B$1+16&gt;90,R112,(R112+IF($B$1+16&lt;=$B112,12*($B$7-$B$10),-12*($B$6+$B$10)*(1+$B$4)^16))*IF(R112+IF($B$1+16&lt;=$B112,12*($B$7-$B$10),-12*($B$6+$B$10)*(1+$B$4)^16)&gt;0,1+$B$3,1))</f>
        <v/>
      </c>
      <c r="T112">
        <f>IF($B$1+17&gt;90,S112,(S112+IF($B$1+17&lt;=$B112,12*($B$7-$B$10),-12*($B$6+$B$10)*(1+$B$4)^17))*IF(S112+IF($B$1+17&lt;=$B112,12*($B$7-$B$10),-12*($B$6+$B$10)*(1+$B$4)^17)&gt;0,1+$B$3,1))</f>
        <v/>
      </c>
      <c r="U112">
        <f>IF($B$1+18&gt;90,T112,(T112+IF($B$1+18&lt;=$B112,12*($B$7-$B$10),-12*($B$6+$B$10)*(1+$B$4)^18))*IF(T112+IF($B$1+18&lt;=$B112,12*($B$7-$B$10),-12*($B$6+$B$10)*(1+$B$4)^18)&gt;0,1+$B$3,1))</f>
        <v/>
      </c>
      <c r="V112">
        <f>IF($B$1+19&gt;90,U112,(U112+IF($B$1+19&lt;=$B112,12*($B$7-$B$10),-12*($B$6+$B$10)*(1+$B$4)^19))*IF(U112+IF($B$1+19&lt;=$B112,12*($B$7-$B$10),-12*($B$6+$B$10)*(1+$B$4)^19)&gt;0,1+$B$3,1))</f>
        <v/>
      </c>
      <c r="W112">
        <f>IF($B$1+20&gt;90,V112,(V112+IF($B$1+20&lt;=$B112,12*($B$7-$B$10),-12*($B$6+$B$10)*(1+$B$4)^20))*IF(V112+IF($B$1+20&lt;=$B112,12*($B$7-$B$10),-12*($B$6+$B$10)*(1+$B$4)^20)&gt;0,1+$B$3,1))</f>
        <v/>
      </c>
      <c r="X112">
        <f>IF($B$1+21&gt;90,W112,(W112+IF($B$1+21&lt;=$B112,12*($B$7-$B$10),-12*($B$6+$B$10)*(1+$B$4)^21))*IF(W112+IF($B$1+21&lt;=$B112,12*($B$7-$B$10),-12*($B$6+$B$10)*(1+$B$4)^21)&gt;0,1+$B$3,1))</f>
        <v/>
      </c>
      <c r="Y112">
        <f>IF($B$1+22&gt;90,X112,(X112+IF($B$1+22&lt;=$B112,12*($B$7-$B$10),-12*($B$6+$B$10)*(1+$B$4)^22))*IF(X112+IF($B$1+22&lt;=$B112,12*($B$7-$B$10),-12*($B$6+$B$10)*(1+$B$4)^22)&gt;0,1+$B$3,1))</f>
        <v/>
      </c>
      <c r="Z112">
        <f>IF($B$1+23&gt;90,Y112,(Y112+IF($B$1+23&lt;=$B112,12*($B$7-$B$10),-12*($B$6+$B$10)*(1+$B$4)^23))*IF(Y112+IF($B$1+23&lt;=$B112,12*($B$7-$B$10),-12*($B$6+$B$10)*(1+$B$4)^23)&gt;0,1+$B$3,1))</f>
        <v/>
      </c>
      <c r="AA112">
        <f>IF($B$1+24&gt;90,Z112,(Z112+IF($B$1+24&lt;=$B112,12*($B$7-$B$10),-12*($B$6+$B$10)*(1+$B$4)^24))*IF(Z112+IF($B$1+24&lt;=$B112,12*($B$7-$B$10),-12*($B$6+$B$10)*(1+$B$4)^24)&gt;0,1+$B$3,1))</f>
        <v/>
      </c>
      <c r="AB112">
        <f>IF($B$1+25&gt;90,AA112,(AA112+IF($B$1+25&lt;=$B112,12*($B$7-$B$10),-12*($B$6+$B$10)*(1+$B$4)^25))*IF(AA112+IF($B$1+25&lt;=$B112,12*($B$7-$B$10),-12*($B$6+$B$10)*(1+$B$4)^25)&gt;0,1+$B$3,1))</f>
        <v/>
      </c>
      <c r="AC112">
        <f>IF($B$1+26&gt;90,AB112,(AB112+IF($B$1+26&lt;=$B112,12*($B$7-$B$10),-12*($B$6+$B$10)*(1+$B$4)^26))*IF(AB112+IF($B$1+26&lt;=$B112,12*($B$7-$B$10),-12*($B$6+$B$10)*(1+$B$4)^26)&gt;0,1+$B$3,1))</f>
        <v/>
      </c>
      <c r="AD112">
        <f>IF($B$1+27&gt;90,AC112,(AC112+IF($B$1+27&lt;=$B112,12*($B$7-$B$10),-12*($B$6+$B$10)*(1+$B$4)^27))*IF(AC112+IF($B$1+27&lt;=$B112,12*($B$7-$B$10),-12*($B$6+$B$10)*(1+$B$4)^27)&gt;0,1+$B$3,1))</f>
        <v/>
      </c>
      <c r="AE112">
        <f>IF($B$1+28&gt;90,AD112,(AD112+IF($B$1+28&lt;=$B112,12*($B$7-$B$10),-12*($B$6+$B$10)*(1+$B$4)^28))*IF(AD112+IF($B$1+28&lt;=$B112,12*($B$7-$B$10),-12*($B$6+$B$10)*(1+$B$4)^28)&gt;0,1+$B$3,1))</f>
        <v/>
      </c>
      <c r="AF112">
        <f>IF($B$1+29&gt;90,AE112,(AE112+IF($B$1+29&lt;=$B112,12*($B$7-$B$10),-12*($B$6+$B$10)*(1+$B$4)^29))*IF(AE112+IF($B$1+29&lt;=$B112,12*($B$7-$B$10),-12*($B$6+$B$10)*(1+$B$4)^29)&gt;0,1+$B$3,1))</f>
        <v/>
      </c>
      <c r="AG112">
        <f>IF($B$1+30&gt;90,AF112,(AF112+IF($B$1+30&lt;=$B112,12*($B$7-$B$10),-12*($B$6+$B$10)*(1+$B$4)^30))*IF(AF112+IF($B$1+30&lt;=$B112,12*($B$7-$B$10),-12*($B$6+$B$10)*(1+$B$4)^30)&gt;0,1+$B$3,1))</f>
        <v/>
      </c>
      <c r="AH112">
        <f>IF($B$1+31&gt;90,AG112,(AG112+IF($B$1+31&lt;=$B112,12*($B$7-$B$10),-12*($B$6+$B$10)*(1+$B$4)^31))*IF(AG112+IF($B$1+31&lt;=$B112,12*($B$7-$B$10),-12*($B$6+$B$10)*(1+$B$4)^31)&gt;0,1+$B$3,1))</f>
        <v/>
      </c>
      <c r="AI112">
        <f>IF($B$1+32&gt;90,AH112,(AH112+IF($B$1+32&lt;=$B112,12*($B$7-$B$10),-12*($B$6+$B$10)*(1+$B$4)^32))*IF(AH112+IF($B$1+32&lt;=$B112,12*($B$7-$B$10),-12*($B$6+$B$10)*(1+$B$4)^32)&gt;0,1+$B$3,1))</f>
        <v/>
      </c>
      <c r="AJ112">
        <f>IF($B$1+33&gt;90,AI112,(AI112+IF($B$1+33&lt;=$B112,12*($B$7-$B$10),-12*($B$6+$B$10)*(1+$B$4)^33))*IF(AI112+IF($B$1+33&lt;=$B112,12*($B$7-$B$10),-12*($B$6+$B$10)*(1+$B$4)^33)&gt;0,1+$B$3,1))</f>
        <v/>
      </c>
      <c r="AK112">
        <f>IF($B$1+34&gt;90,AJ112,(AJ112+IF($B$1+34&lt;=$B112,12*($B$7-$B$10),-12*($B$6+$B$10)*(1+$B$4)^34))*IF(AJ112+IF($B$1+34&lt;=$B112,12*($B$7-$B$10),-12*($B$6+$B$10)*(1+$B$4)^34)&gt;0,1+$B$3,1))</f>
        <v/>
      </c>
      <c r="AL112">
        <f>IF($B$1+35&gt;90,AK112,(AK112+IF($B$1+35&lt;=$B112,12*($B$7-$B$10),-12*($B$6+$B$10)*(1+$B$4)^35))*IF(AK112+IF($B$1+35&lt;=$B112,12*($B$7-$B$10),-12*($B$6+$B$10)*(1+$B$4)^35)&gt;0,1+$B$3,1))</f>
        <v/>
      </c>
      <c r="AM112">
        <f>IF($B$1+36&gt;90,AL112,(AL112+IF($B$1+36&lt;=$B112,12*($B$7-$B$10),-12*($B$6+$B$10)*(1+$B$4)^36))*IF(AL112+IF($B$1+36&lt;=$B112,12*($B$7-$B$10),-12*($B$6+$B$10)*(1+$B$4)^36)&gt;0,1+$B$3,1))</f>
        <v/>
      </c>
      <c r="AN112">
        <f>IF($B$1+37&gt;90,AM112,(AM112+IF($B$1+37&lt;=$B112,12*($B$7-$B$10),-12*($B$6+$B$10)*(1+$B$4)^37))*IF(AM112+IF($B$1+37&lt;=$B112,12*($B$7-$B$10),-12*($B$6+$B$10)*(1+$B$4)^37)&gt;0,1+$B$3,1))</f>
        <v/>
      </c>
      <c r="AO112">
        <f>IF($B$1+38&gt;90,AN112,(AN112+IF($B$1+38&lt;=$B112,12*($B$7-$B$10),-12*($B$6+$B$10)*(1+$B$4)^38))*IF(AN112+IF($B$1+38&lt;=$B112,12*($B$7-$B$10),-12*($B$6+$B$10)*(1+$B$4)^38)&gt;0,1+$B$3,1))</f>
        <v/>
      </c>
      <c r="AP112">
        <f>IF($B$1+39&gt;90,AO112,(AO112+IF($B$1+39&lt;=$B112,12*($B$7-$B$10),-12*($B$6+$B$10)*(1+$B$4)^39))*IF(AO112+IF($B$1+39&lt;=$B112,12*($B$7-$B$10),-12*($B$6+$B$10)*(1+$B$4)^39)&gt;0,1+$B$3,1))</f>
        <v/>
      </c>
      <c r="AQ112">
        <f>IF($B$1+40&gt;90,AP112,(AP112+IF($B$1+40&lt;=$B112,12*($B$7-$B$10),-12*($B$6+$B$10)*(1+$B$4)^40))*IF(AP112+IF($B$1+40&lt;=$B112,12*($B$7-$B$10),-12*($B$6+$B$10)*(1+$B$4)^40)&gt;0,1+$B$3,1))</f>
        <v/>
      </c>
      <c r="AR112">
        <f>IF($B$1+41&gt;90,AQ112,(AQ112+IF($B$1+41&lt;=$B112,12*($B$7-$B$10),-12*($B$6+$B$10)*(1+$B$4)^41))*IF(AQ112+IF($B$1+41&lt;=$B112,12*($B$7-$B$10),-12*($B$6+$B$10)*(1+$B$4)^41)&gt;0,1+$B$3,1))</f>
        <v/>
      </c>
      <c r="AS112">
        <f>IF($B$1+42&gt;90,AR112,(AR112+IF($B$1+42&lt;=$B112,12*($B$7-$B$10),-12*($B$6+$B$10)*(1+$B$4)^42))*IF(AR112+IF($B$1+42&lt;=$B112,12*($B$7-$B$10),-12*($B$6+$B$10)*(1+$B$4)^42)&gt;0,1+$B$3,1))</f>
        <v/>
      </c>
      <c r="AT112">
        <f>IF($B$1+43&gt;90,AS112,(AS112+IF($B$1+43&lt;=$B112,12*($B$7-$B$10),-12*($B$6+$B$10)*(1+$B$4)^43))*IF(AS112+IF($B$1+43&lt;=$B112,12*($B$7-$B$10),-12*($B$6+$B$10)*(1+$B$4)^43)&gt;0,1+$B$3,1))</f>
        <v/>
      </c>
      <c r="AU112">
        <f>IF($B$1+44&gt;90,AT112,(AT112+IF($B$1+44&lt;=$B112,12*($B$7-$B$10),-12*($B$6+$B$10)*(1+$B$4)^44))*IF(AT112+IF($B$1+44&lt;=$B112,12*($B$7-$B$10),-12*($B$6+$B$10)*(1+$B$4)^44)&gt;0,1+$B$3,1))</f>
        <v/>
      </c>
      <c r="AV112">
        <f>IF($B$1+45&gt;90,AU112,(AU112+IF($B$1+45&lt;=$B112,12*($B$7-$B$10),-12*($B$6+$B$10)*(1+$B$4)^45))*IF(AU112+IF($B$1+45&lt;=$B112,12*($B$7-$B$10),-12*($B$6+$B$10)*(1+$B$4)^45)&gt;0,1+$B$3,1))</f>
        <v/>
      </c>
      <c r="AW112">
        <f>IF($B$1+46&gt;90,AV112,(AV112+IF($B$1+46&lt;=$B112,12*($B$7-$B$10),-12*($B$6+$B$10)*(1+$B$4)^46))*IF(AV112+IF($B$1+46&lt;=$B112,12*($B$7-$B$10),-12*($B$6+$B$10)*(1+$B$4)^46)&gt;0,1+$B$3,1))</f>
        <v/>
      </c>
      <c r="AX112">
        <f>IF($B$1+47&gt;90,AW112,(AW112+IF($B$1+47&lt;=$B112,12*($B$7-$B$10),-12*($B$6+$B$10)*(1+$B$4)^47))*IF(AW112+IF($B$1+47&lt;=$B112,12*($B$7-$B$10),-12*($B$6+$B$10)*(1+$B$4)^47)&gt;0,1+$B$3,1))</f>
        <v/>
      </c>
      <c r="AY112">
        <f>IF($B$1+48&gt;90,AX112,(AX112+IF($B$1+48&lt;=$B112,12*($B$7-$B$10),-12*($B$6+$B$10)*(1+$B$4)^48))*IF(AX112+IF($B$1+48&lt;=$B112,12*($B$7-$B$10),-12*($B$6+$B$10)*(1+$B$4)^48)&gt;0,1+$B$3,1))</f>
        <v/>
      </c>
      <c r="AZ112">
        <f>IF($B$1+49&gt;90,AY112,(AY112+IF($B$1+49&lt;=$B112,12*($B$7-$B$10),-12*($B$6+$B$10)*(1+$B$4)^49))*IF(AY112+IF($B$1+49&lt;=$B112,12*($B$7-$B$10),-12*($B$6+$B$10)*(1+$B$4)^49)&gt;0,1+$B$3,1))</f>
        <v/>
      </c>
      <c r="BA112">
        <f>IF($B$1+50&gt;90,AZ112,(AZ112+IF($B$1+50&lt;=$B112,12*($B$7-$B$10),-12*($B$6+$B$10)*(1+$B$4)^50))*IF(AZ112+IF($B$1+50&lt;=$B112,12*($B$7-$B$10),-12*($B$6+$B$10)*(1+$B$4)^50)&gt;0,1+$B$3,1))</f>
        <v/>
      </c>
      <c r="BB112">
        <f>IF($B$1+51&gt;90,BA112,(BA112+IF($B$1+51&lt;=$B112,12*($B$7-$B$10),-12*($B$6+$B$10)*(1+$B$4)^51))*IF(BA112+IF($B$1+51&lt;=$B112,12*($B$7-$B$10),-12*($B$6+$B$10)*(1+$B$4)^51)&gt;0,1+$B$3,1))</f>
        <v/>
      </c>
      <c r="BC112">
        <f>IF($B$1+52&gt;90,BB112,(BB112+IF($B$1+52&lt;=$B112,12*($B$7-$B$10),-12*($B$6+$B$10)*(1+$B$4)^52))*IF(BB112+IF($B$1+52&lt;=$B112,12*($B$7-$B$10),-12*($B$6+$B$10)*(1+$B$4)^52)&gt;0,1+$B$3,1))</f>
        <v/>
      </c>
      <c r="BD112">
        <f>IF($B$1+53&gt;90,BC112,(BC112+IF($B$1+53&lt;=$B112,12*($B$7-$B$10),-12*($B$6+$B$10)*(1+$B$4)^53))*IF(BC112+IF($B$1+53&lt;=$B112,12*($B$7-$B$10),-12*($B$6+$B$10)*(1+$B$4)^53)&gt;0,1+$B$3,1))</f>
        <v/>
      </c>
      <c r="BE112">
        <f>IF($B$1+54&gt;90,BD112,(BD112+IF($B$1+54&lt;=$B112,12*($B$7-$B$10),-12*($B$6+$B$10)*(1+$B$4)^54))*IF(BD112+IF($B$1+54&lt;=$B112,12*($B$7-$B$10),-12*($B$6+$B$10)*(1+$B$4)^54)&gt;0,1+$B$3,1))</f>
        <v/>
      </c>
      <c r="BF112">
        <f>IF($B$1+55&gt;90,BE112,(BE112+IF($B$1+55&lt;=$B112,12*($B$7-$B$10),-12*($B$6+$B$10)*(1+$B$4)^55))*IF(BE112+IF($B$1+55&lt;=$B112,12*($B$7-$B$10),-12*($B$6+$B$10)*(1+$B$4)^55)&gt;0,1+$B$3,1))</f>
        <v/>
      </c>
      <c r="BG112">
        <f>IF($B$1+56&gt;90,BF112,(BF112+IF($B$1+56&lt;=$B112,12*($B$7-$B$10),-12*($B$6+$B$10)*(1+$B$4)^56))*IF(BF112+IF($B$1+56&lt;=$B112,12*($B$7-$B$10),-12*($B$6+$B$10)*(1+$B$4)^56)&gt;0,1+$B$3,1))</f>
        <v/>
      </c>
      <c r="BH112">
        <f>IF($B$1+57&gt;90,BG112,(BG112+IF($B$1+57&lt;=$B112,12*($B$7-$B$10),-12*($B$6+$B$10)*(1+$B$4)^57))*IF(BG112+IF($B$1+57&lt;=$B112,12*($B$7-$B$10),-12*($B$6+$B$10)*(1+$B$4)^57)&gt;0,1+$B$3,1))</f>
        <v/>
      </c>
      <c r="BI112">
        <f>IF($B$1+58&gt;90,BH112,(BH112+IF($B$1+58&lt;=$B112,12*($B$7-$B$10),-12*($B$6+$B$10)*(1+$B$4)^58))*IF(BH112+IF($B$1+58&lt;=$B112,12*($B$7-$B$10),-12*($B$6+$B$10)*(1+$B$4)^58)&gt;0,1+$B$3,1))</f>
        <v/>
      </c>
      <c r="BJ112">
        <f>IF($B$1+59&gt;90,BI112,(BI112+IF($B$1+59&lt;=$B112,12*($B$7-$B$10),-12*($B$6+$B$10)*(1+$B$4)^59))*IF(BI112+IF($B$1+59&lt;=$B112,12*($B$7-$B$10),-12*($B$6+$B$10)*(1+$B$4)^59)&gt;0,1+$B$3,1))</f>
        <v/>
      </c>
      <c r="BK112">
        <f>IF($B$1+60&gt;90,BJ112,(BJ112+IF($B$1+60&lt;=$B112,12*($B$7-$B$10),-12*($B$6+$B$10)*(1+$B$4)^60))*IF(BJ112+IF($B$1+60&lt;=$B112,12*($B$7-$B$10),-12*($B$6+$B$10)*(1+$B$4)^60)&gt;0,1+$B$3,1))</f>
        <v/>
      </c>
      <c r="BL112">
        <f>IF($B$1+61&gt;90,BK112,(BK112+IF($B$1+61&lt;=$B112,12*($B$7-$B$10),-12*($B$6+$B$10)*(1+$B$4)^61))*IF(BK112+IF($B$1+61&lt;=$B112,12*($B$7-$B$10),-12*($B$6+$B$10)*(1+$B$4)^61)&gt;0,1+$B$3,1))</f>
        <v/>
      </c>
      <c r="BM112">
        <f>IF($B$1+62&gt;90,BL112,(BL112+IF($B$1+62&lt;=$B112,12*($B$7-$B$10),-12*($B$6+$B$10)*(1+$B$4)^62))*IF(BL112+IF($B$1+62&lt;=$B112,12*($B$7-$B$10),-12*($B$6+$B$10)*(1+$B$4)^62)&gt;0,1+$B$3,1))</f>
        <v/>
      </c>
      <c r="BN112">
        <f>IF($B$1+63&gt;90,BM112,(BM112+IF($B$1+63&lt;=$B112,12*($B$7-$B$10),-12*($B$6+$B$10)*(1+$B$4)^63))*IF(BM112+IF($B$1+63&lt;=$B112,12*($B$7-$B$10),-12*($B$6+$B$10)*(1+$B$4)^63)&gt;0,1+$B$3,1))</f>
        <v/>
      </c>
      <c r="BO112">
        <f>IF($B$1+64&gt;90,BN112,(BN112+IF($B$1+64&lt;=$B112,12*($B$7-$B$10),-12*($B$6+$B$10)*(1+$B$4)^64))*IF(BN112+IF($B$1+64&lt;=$B112,12*($B$7-$B$10),-12*($B$6+$B$10)*(1+$B$4)^64)&gt;0,1+$B$3,1))</f>
        <v/>
      </c>
      <c r="BP112">
        <f>IF($B$1+65&gt;90,BO112,(BO112+IF($B$1+65&lt;=$B112,12*($B$7-$B$10),-12*($B$6+$B$10)*(1+$B$4)^65))*IF(BO112+IF($B$1+65&lt;=$B112,12*($B$7-$B$10),-12*($B$6+$B$10)*(1+$B$4)^65)&gt;0,1+$B$3,1))</f>
        <v/>
      </c>
      <c r="BQ112">
        <f>IF($B$1+66&gt;90,BP112,(BP112+IF($B$1+66&lt;=$B112,12*($B$7-$B$10),-12*($B$6+$B$10)*(1+$B$4)^66))*IF(BP112+IF($B$1+66&lt;=$B112,12*($B$7-$B$10),-12*($B$6+$B$10)*(1+$B$4)^66)&gt;0,1+$B$3,1))</f>
        <v/>
      </c>
      <c r="BR112">
        <f>IF($B$1+67&gt;90,BQ112,(BQ112+IF($B$1+67&lt;=$B112,12*($B$7-$B$10),-12*($B$6+$B$10)*(1+$B$4)^67))*IF(BQ112+IF($B$1+67&lt;=$B112,12*($B$7-$B$10),-12*($B$6+$B$10)*(1+$B$4)^67)&gt;0,1+$B$3,1))</f>
        <v/>
      </c>
      <c r="BS112">
        <f>IF($B$1+68&gt;90,BR112,(BR112+IF($B$1+68&lt;=$B112,12*($B$7-$B$10),-12*($B$6+$B$10)*(1+$B$4)^68))*IF(BR112+IF($B$1+68&lt;=$B112,12*($B$7-$B$10),-12*($B$6+$B$10)*(1+$B$4)^68)&gt;0,1+$B$3,1))</f>
        <v/>
      </c>
      <c r="BT112">
        <f>IF($B$1+69&gt;90,BS112,(BS112+IF($B$1+69&lt;=$B112,12*($B$7-$B$10),-12*($B$6+$B$10)*(1+$B$4)^69))*IF(BS112+IF($B$1+69&lt;=$B112,12*($B$7-$B$10),-12*($B$6+$B$10)*(1+$B$4)^69)&gt;0,1+$B$3,1))</f>
        <v/>
      </c>
      <c r="BU112">
        <f>IF($B$1+70&gt;90,BT112,(BT112+IF($B$1+70&lt;=$B112,12*($B$7-$B$10),-12*($B$6+$B$10)*(1+$B$4)^70))*IF(BT112+IF($B$1+70&lt;=$B112,12*($B$7-$B$10),-12*($B$6+$B$10)*(1+$B$4)^70)&gt;0,1+$B$3,1))</f>
        <v/>
      </c>
      <c r="BV112">
        <f>BU112</f>
        <v/>
      </c>
      <c r="BW112">
        <f>IF(AND($B112&lt;=70,BV112&gt;0),$B112,999)</f>
        <v/>
      </c>
    </row>
    <row r="113">
      <c r="A113" t="n">
        <v>17</v>
      </c>
      <c r="B113">
        <f>$B$1+17</f>
        <v/>
      </c>
      <c r="C113">
        <f>$B$2</f>
        <v/>
      </c>
      <c r="D113">
        <f>IF($B$1+1&gt;90,C113,(C113+IF($B$1+1&lt;=$B113,12*($B$7-$B$10),-12*($B$6+$B$10)*(1+$B$4)^1))*IF(C113+IF($B$1+1&lt;=$B113,12*($B$7-$B$10),-12*($B$6+$B$10)*(1+$B$4)^1)&gt;0,1+$B$3,1))</f>
        <v/>
      </c>
      <c r="E113">
        <f>IF($B$1+2&gt;90,D113,(D113+IF($B$1+2&lt;=$B113,12*($B$7-$B$10),-12*($B$6+$B$10)*(1+$B$4)^2))*IF(D113+IF($B$1+2&lt;=$B113,12*($B$7-$B$10),-12*($B$6+$B$10)*(1+$B$4)^2)&gt;0,1+$B$3,1))</f>
        <v/>
      </c>
      <c r="F113">
        <f>IF($B$1+3&gt;90,E113,(E113+IF($B$1+3&lt;=$B113,12*($B$7-$B$10),-12*($B$6+$B$10)*(1+$B$4)^3))*IF(E113+IF($B$1+3&lt;=$B113,12*($B$7-$B$10),-12*($B$6+$B$10)*(1+$B$4)^3)&gt;0,1+$B$3,1))</f>
        <v/>
      </c>
      <c r="G113">
        <f>IF($B$1+4&gt;90,F113,(F113+IF($B$1+4&lt;=$B113,12*($B$7-$B$10),-12*($B$6+$B$10)*(1+$B$4)^4))*IF(F113+IF($B$1+4&lt;=$B113,12*($B$7-$B$10),-12*($B$6+$B$10)*(1+$B$4)^4)&gt;0,1+$B$3,1))</f>
        <v/>
      </c>
      <c r="H113">
        <f>IF($B$1+5&gt;90,G113,(G113+IF($B$1+5&lt;=$B113,12*($B$7-$B$10),-12*($B$6+$B$10)*(1+$B$4)^5))*IF(G113+IF($B$1+5&lt;=$B113,12*($B$7-$B$10),-12*($B$6+$B$10)*(1+$B$4)^5)&gt;0,1+$B$3,1))</f>
        <v/>
      </c>
      <c r="I113">
        <f>IF($B$1+6&gt;90,H113,(H113+IF($B$1+6&lt;=$B113,12*($B$7-$B$10),-12*($B$6+$B$10)*(1+$B$4)^6))*IF(H113+IF($B$1+6&lt;=$B113,12*($B$7-$B$10),-12*($B$6+$B$10)*(1+$B$4)^6)&gt;0,1+$B$3,1))</f>
        <v/>
      </c>
      <c r="J113">
        <f>IF($B$1+7&gt;90,I113,(I113+IF($B$1+7&lt;=$B113,12*($B$7-$B$10),-12*($B$6+$B$10)*(1+$B$4)^7))*IF(I113+IF($B$1+7&lt;=$B113,12*($B$7-$B$10),-12*($B$6+$B$10)*(1+$B$4)^7)&gt;0,1+$B$3,1))</f>
        <v/>
      </c>
      <c r="K113">
        <f>IF($B$1+8&gt;90,J113,(J113+IF($B$1+8&lt;=$B113,12*($B$7-$B$10),-12*($B$6+$B$10)*(1+$B$4)^8))*IF(J113+IF($B$1+8&lt;=$B113,12*($B$7-$B$10),-12*($B$6+$B$10)*(1+$B$4)^8)&gt;0,1+$B$3,1))</f>
        <v/>
      </c>
      <c r="L113">
        <f>IF($B$1+9&gt;90,K113,(K113+IF($B$1+9&lt;=$B113,12*($B$7-$B$10),-12*($B$6+$B$10)*(1+$B$4)^9))*IF(K113+IF($B$1+9&lt;=$B113,12*($B$7-$B$10),-12*($B$6+$B$10)*(1+$B$4)^9)&gt;0,1+$B$3,1))</f>
        <v/>
      </c>
      <c r="M113">
        <f>IF($B$1+10&gt;90,L113,(L113+IF($B$1+10&lt;=$B113,12*($B$7-$B$10),-12*($B$6+$B$10)*(1+$B$4)^10))*IF(L113+IF($B$1+10&lt;=$B113,12*($B$7-$B$10),-12*($B$6+$B$10)*(1+$B$4)^10)&gt;0,1+$B$3,1))</f>
        <v/>
      </c>
      <c r="N113">
        <f>IF($B$1+11&gt;90,M113,(M113+IF($B$1+11&lt;=$B113,12*($B$7-$B$10),-12*($B$6+$B$10)*(1+$B$4)^11))*IF(M113+IF($B$1+11&lt;=$B113,12*($B$7-$B$10),-12*($B$6+$B$10)*(1+$B$4)^11)&gt;0,1+$B$3,1))</f>
        <v/>
      </c>
      <c r="O113">
        <f>IF($B$1+12&gt;90,N113,(N113+IF($B$1+12&lt;=$B113,12*($B$7-$B$10),-12*($B$6+$B$10)*(1+$B$4)^12))*IF(N113+IF($B$1+12&lt;=$B113,12*($B$7-$B$10),-12*($B$6+$B$10)*(1+$B$4)^12)&gt;0,1+$B$3,1))</f>
        <v/>
      </c>
      <c r="P113">
        <f>IF($B$1+13&gt;90,O113,(O113+IF($B$1+13&lt;=$B113,12*($B$7-$B$10),-12*($B$6+$B$10)*(1+$B$4)^13))*IF(O113+IF($B$1+13&lt;=$B113,12*($B$7-$B$10),-12*($B$6+$B$10)*(1+$B$4)^13)&gt;0,1+$B$3,1))</f>
        <v/>
      </c>
      <c r="Q113">
        <f>IF($B$1+14&gt;90,P113,(P113+IF($B$1+14&lt;=$B113,12*($B$7-$B$10),-12*($B$6+$B$10)*(1+$B$4)^14))*IF(P113+IF($B$1+14&lt;=$B113,12*($B$7-$B$10),-12*($B$6+$B$10)*(1+$B$4)^14)&gt;0,1+$B$3,1))</f>
        <v/>
      </c>
      <c r="R113">
        <f>IF($B$1+15&gt;90,Q113,(Q113+IF($B$1+15&lt;=$B113,12*($B$7-$B$10),-12*($B$6+$B$10)*(1+$B$4)^15))*IF(Q113+IF($B$1+15&lt;=$B113,12*($B$7-$B$10),-12*($B$6+$B$10)*(1+$B$4)^15)&gt;0,1+$B$3,1))</f>
        <v/>
      </c>
      <c r="S113">
        <f>IF($B$1+16&gt;90,R113,(R113+IF($B$1+16&lt;=$B113,12*($B$7-$B$10),-12*($B$6+$B$10)*(1+$B$4)^16))*IF(R113+IF($B$1+16&lt;=$B113,12*($B$7-$B$10),-12*($B$6+$B$10)*(1+$B$4)^16)&gt;0,1+$B$3,1))</f>
        <v/>
      </c>
      <c r="T113">
        <f>IF($B$1+17&gt;90,S113,(S113+IF($B$1+17&lt;=$B113,12*($B$7-$B$10),-12*($B$6+$B$10)*(1+$B$4)^17))*IF(S113+IF($B$1+17&lt;=$B113,12*($B$7-$B$10),-12*($B$6+$B$10)*(1+$B$4)^17)&gt;0,1+$B$3,1))</f>
        <v/>
      </c>
      <c r="U113">
        <f>IF($B$1+18&gt;90,T113,(T113+IF($B$1+18&lt;=$B113,12*($B$7-$B$10),-12*($B$6+$B$10)*(1+$B$4)^18))*IF(T113+IF($B$1+18&lt;=$B113,12*($B$7-$B$10),-12*($B$6+$B$10)*(1+$B$4)^18)&gt;0,1+$B$3,1))</f>
        <v/>
      </c>
      <c r="V113">
        <f>IF($B$1+19&gt;90,U113,(U113+IF($B$1+19&lt;=$B113,12*($B$7-$B$10),-12*($B$6+$B$10)*(1+$B$4)^19))*IF(U113+IF($B$1+19&lt;=$B113,12*($B$7-$B$10),-12*($B$6+$B$10)*(1+$B$4)^19)&gt;0,1+$B$3,1))</f>
        <v/>
      </c>
      <c r="W113">
        <f>IF($B$1+20&gt;90,V113,(V113+IF($B$1+20&lt;=$B113,12*($B$7-$B$10),-12*($B$6+$B$10)*(1+$B$4)^20))*IF(V113+IF($B$1+20&lt;=$B113,12*($B$7-$B$10),-12*($B$6+$B$10)*(1+$B$4)^20)&gt;0,1+$B$3,1))</f>
        <v/>
      </c>
      <c r="X113">
        <f>IF($B$1+21&gt;90,W113,(W113+IF($B$1+21&lt;=$B113,12*($B$7-$B$10),-12*($B$6+$B$10)*(1+$B$4)^21))*IF(W113+IF($B$1+21&lt;=$B113,12*($B$7-$B$10),-12*($B$6+$B$10)*(1+$B$4)^21)&gt;0,1+$B$3,1))</f>
        <v/>
      </c>
      <c r="Y113">
        <f>IF($B$1+22&gt;90,X113,(X113+IF($B$1+22&lt;=$B113,12*($B$7-$B$10),-12*($B$6+$B$10)*(1+$B$4)^22))*IF(X113+IF($B$1+22&lt;=$B113,12*($B$7-$B$10),-12*($B$6+$B$10)*(1+$B$4)^22)&gt;0,1+$B$3,1))</f>
        <v/>
      </c>
      <c r="Z113">
        <f>IF($B$1+23&gt;90,Y113,(Y113+IF($B$1+23&lt;=$B113,12*($B$7-$B$10),-12*($B$6+$B$10)*(1+$B$4)^23))*IF(Y113+IF($B$1+23&lt;=$B113,12*($B$7-$B$10),-12*($B$6+$B$10)*(1+$B$4)^23)&gt;0,1+$B$3,1))</f>
        <v/>
      </c>
      <c r="AA113">
        <f>IF($B$1+24&gt;90,Z113,(Z113+IF($B$1+24&lt;=$B113,12*($B$7-$B$10),-12*($B$6+$B$10)*(1+$B$4)^24))*IF(Z113+IF($B$1+24&lt;=$B113,12*($B$7-$B$10),-12*($B$6+$B$10)*(1+$B$4)^24)&gt;0,1+$B$3,1))</f>
        <v/>
      </c>
      <c r="AB113">
        <f>IF($B$1+25&gt;90,AA113,(AA113+IF($B$1+25&lt;=$B113,12*($B$7-$B$10),-12*($B$6+$B$10)*(1+$B$4)^25))*IF(AA113+IF($B$1+25&lt;=$B113,12*($B$7-$B$10),-12*($B$6+$B$10)*(1+$B$4)^25)&gt;0,1+$B$3,1))</f>
        <v/>
      </c>
      <c r="AC113">
        <f>IF($B$1+26&gt;90,AB113,(AB113+IF($B$1+26&lt;=$B113,12*($B$7-$B$10),-12*($B$6+$B$10)*(1+$B$4)^26))*IF(AB113+IF($B$1+26&lt;=$B113,12*($B$7-$B$10),-12*($B$6+$B$10)*(1+$B$4)^26)&gt;0,1+$B$3,1))</f>
        <v/>
      </c>
      <c r="AD113">
        <f>IF($B$1+27&gt;90,AC113,(AC113+IF($B$1+27&lt;=$B113,12*($B$7-$B$10),-12*($B$6+$B$10)*(1+$B$4)^27))*IF(AC113+IF($B$1+27&lt;=$B113,12*($B$7-$B$10),-12*($B$6+$B$10)*(1+$B$4)^27)&gt;0,1+$B$3,1))</f>
        <v/>
      </c>
      <c r="AE113">
        <f>IF($B$1+28&gt;90,AD113,(AD113+IF($B$1+28&lt;=$B113,12*($B$7-$B$10),-12*($B$6+$B$10)*(1+$B$4)^28))*IF(AD113+IF($B$1+28&lt;=$B113,12*($B$7-$B$10),-12*($B$6+$B$10)*(1+$B$4)^28)&gt;0,1+$B$3,1))</f>
        <v/>
      </c>
      <c r="AF113">
        <f>IF($B$1+29&gt;90,AE113,(AE113+IF($B$1+29&lt;=$B113,12*($B$7-$B$10),-12*($B$6+$B$10)*(1+$B$4)^29))*IF(AE113+IF($B$1+29&lt;=$B113,12*($B$7-$B$10),-12*($B$6+$B$10)*(1+$B$4)^29)&gt;0,1+$B$3,1))</f>
        <v/>
      </c>
      <c r="AG113">
        <f>IF($B$1+30&gt;90,AF113,(AF113+IF($B$1+30&lt;=$B113,12*($B$7-$B$10),-12*($B$6+$B$10)*(1+$B$4)^30))*IF(AF113+IF($B$1+30&lt;=$B113,12*($B$7-$B$10),-12*($B$6+$B$10)*(1+$B$4)^30)&gt;0,1+$B$3,1))</f>
        <v/>
      </c>
      <c r="AH113">
        <f>IF($B$1+31&gt;90,AG113,(AG113+IF($B$1+31&lt;=$B113,12*($B$7-$B$10),-12*($B$6+$B$10)*(1+$B$4)^31))*IF(AG113+IF($B$1+31&lt;=$B113,12*($B$7-$B$10),-12*($B$6+$B$10)*(1+$B$4)^31)&gt;0,1+$B$3,1))</f>
        <v/>
      </c>
      <c r="AI113">
        <f>IF($B$1+32&gt;90,AH113,(AH113+IF($B$1+32&lt;=$B113,12*($B$7-$B$10),-12*($B$6+$B$10)*(1+$B$4)^32))*IF(AH113+IF($B$1+32&lt;=$B113,12*($B$7-$B$10),-12*($B$6+$B$10)*(1+$B$4)^32)&gt;0,1+$B$3,1))</f>
        <v/>
      </c>
      <c r="AJ113">
        <f>IF($B$1+33&gt;90,AI113,(AI113+IF($B$1+33&lt;=$B113,12*($B$7-$B$10),-12*($B$6+$B$10)*(1+$B$4)^33))*IF(AI113+IF($B$1+33&lt;=$B113,12*($B$7-$B$10),-12*($B$6+$B$10)*(1+$B$4)^33)&gt;0,1+$B$3,1))</f>
        <v/>
      </c>
      <c r="AK113">
        <f>IF($B$1+34&gt;90,AJ113,(AJ113+IF($B$1+34&lt;=$B113,12*($B$7-$B$10),-12*($B$6+$B$10)*(1+$B$4)^34))*IF(AJ113+IF($B$1+34&lt;=$B113,12*($B$7-$B$10),-12*($B$6+$B$10)*(1+$B$4)^34)&gt;0,1+$B$3,1))</f>
        <v/>
      </c>
      <c r="AL113">
        <f>IF($B$1+35&gt;90,AK113,(AK113+IF($B$1+35&lt;=$B113,12*($B$7-$B$10),-12*($B$6+$B$10)*(1+$B$4)^35))*IF(AK113+IF($B$1+35&lt;=$B113,12*($B$7-$B$10),-12*($B$6+$B$10)*(1+$B$4)^35)&gt;0,1+$B$3,1))</f>
        <v/>
      </c>
      <c r="AM113">
        <f>IF($B$1+36&gt;90,AL113,(AL113+IF($B$1+36&lt;=$B113,12*($B$7-$B$10),-12*($B$6+$B$10)*(1+$B$4)^36))*IF(AL113+IF($B$1+36&lt;=$B113,12*($B$7-$B$10),-12*($B$6+$B$10)*(1+$B$4)^36)&gt;0,1+$B$3,1))</f>
        <v/>
      </c>
      <c r="AN113">
        <f>IF($B$1+37&gt;90,AM113,(AM113+IF($B$1+37&lt;=$B113,12*($B$7-$B$10),-12*($B$6+$B$10)*(1+$B$4)^37))*IF(AM113+IF($B$1+37&lt;=$B113,12*($B$7-$B$10),-12*($B$6+$B$10)*(1+$B$4)^37)&gt;0,1+$B$3,1))</f>
        <v/>
      </c>
      <c r="AO113">
        <f>IF($B$1+38&gt;90,AN113,(AN113+IF($B$1+38&lt;=$B113,12*($B$7-$B$10),-12*($B$6+$B$10)*(1+$B$4)^38))*IF(AN113+IF($B$1+38&lt;=$B113,12*($B$7-$B$10),-12*($B$6+$B$10)*(1+$B$4)^38)&gt;0,1+$B$3,1))</f>
        <v/>
      </c>
      <c r="AP113">
        <f>IF($B$1+39&gt;90,AO113,(AO113+IF($B$1+39&lt;=$B113,12*($B$7-$B$10),-12*($B$6+$B$10)*(1+$B$4)^39))*IF(AO113+IF($B$1+39&lt;=$B113,12*($B$7-$B$10),-12*($B$6+$B$10)*(1+$B$4)^39)&gt;0,1+$B$3,1))</f>
        <v/>
      </c>
      <c r="AQ113">
        <f>IF($B$1+40&gt;90,AP113,(AP113+IF($B$1+40&lt;=$B113,12*($B$7-$B$10),-12*($B$6+$B$10)*(1+$B$4)^40))*IF(AP113+IF($B$1+40&lt;=$B113,12*($B$7-$B$10),-12*($B$6+$B$10)*(1+$B$4)^40)&gt;0,1+$B$3,1))</f>
        <v/>
      </c>
      <c r="AR113">
        <f>IF($B$1+41&gt;90,AQ113,(AQ113+IF($B$1+41&lt;=$B113,12*($B$7-$B$10),-12*($B$6+$B$10)*(1+$B$4)^41))*IF(AQ113+IF($B$1+41&lt;=$B113,12*($B$7-$B$10),-12*($B$6+$B$10)*(1+$B$4)^41)&gt;0,1+$B$3,1))</f>
        <v/>
      </c>
      <c r="AS113">
        <f>IF($B$1+42&gt;90,AR113,(AR113+IF($B$1+42&lt;=$B113,12*($B$7-$B$10),-12*($B$6+$B$10)*(1+$B$4)^42))*IF(AR113+IF($B$1+42&lt;=$B113,12*($B$7-$B$10),-12*($B$6+$B$10)*(1+$B$4)^42)&gt;0,1+$B$3,1))</f>
        <v/>
      </c>
      <c r="AT113">
        <f>IF($B$1+43&gt;90,AS113,(AS113+IF($B$1+43&lt;=$B113,12*($B$7-$B$10),-12*($B$6+$B$10)*(1+$B$4)^43))*IF(AS113+IF($B$1+43&lt;=$B113,12*($B$7-$B$10),-12*($B$6+$B$10)*(1+$B$4)^43)&gt;0,1+$B$3,1))</f>
        <v/>
      </c>
      <c r="AU113">
        <f>IF($B$1+44&gt;90,AT113,(AT113+IF($B$1+44&lt;=$B113,12*($B$7-$B$10),-12*($B$6+$B$10)*(1+$B$4)^44))*IF(AT113+IF($B$1+44&lt;=$B113,12*($B$7-$B$10),-12*($B$6+$B$10)*(1+$B$4)^44)&gt;0,1+$B$3,1))</f>
        <v/>
      </c>
      <c r="AV113">
        <f>IF($B$1+45&gt;90,AU113,(AU113+IF($B$1+45&lt;=$B113,12*($B$7-$B$10),-12*($B$6+$B$10)*(1+$B$4)^45))*IF(AU113+IF($B$1+45&lt;=$B113,12*($B$7-$B$10),-12*($B$6+$B$10)*(1+$B$4)^45)&gt;0,1+$B$3,1))</f>
        <v/>
      </c>
      <c r="AW113">
        <f>IF($B$1+46&gt;90,AV113,(AV113+IF($B$1+46&lt;=$B113,12*($B$7-$B$10),-12*($B$6+$B$10)*(1+$B$4)^46))*IF(AV113+IF($B$1+46&lt;=$B113,12*($B$7-$B$10),-12*($B$6+$B$10)*(1+$B$4)^46)&gt;0,1+$B$3,1))</f>
        <v/>
      </c>
      <c r="AX113">
        <f>IF($B$1+47&gt;90,AW113,(AW113+IF($B$1+47&lt;=$B113,12*($B$7-$B$10),-12*($B$6+$B$10)*(1+$B$4)^47))*IF(AW113+IF($B$1+47&lt;=$B113,12*($B$7-$B$10),-12*($B$6+$B$10)*(1+$B$4)^47)&gt;0,1+$B$3,1))</f>
        <v/>
      </c>
      <c r="AY113">
        <f>IF($B$1+48&gt;90,AX113,(AX113+IF($B$1+48&lt;=$B113,12*($B$7-$B$10),-12*($B$6+$B$10)*(1+$B$4)^48))*IF(AX113+IF($B$1+48&lt;=$B113,12*($B$7-$B$10),-12*($B$6+$B$10)*(1+$B$4)^48)&gt;0,1+$B$3,1))</f>
        <v/>
      </c>
      <c r="AZ113">
        <f>IF($B$1+49&gt;90,AY113,(AY113+IF($B$1+49&lt;=$B113,12*($B$7-$B$10),-12*($B$6+$B$10)*(1+$B$4)^49))*IF(AY113+IF($B$1+49&lt;=$B113,12*($B$7-$B$10),-12*($B$6+$B$10)*(1+$B$4)^49)&gt;0,1+$B$3,1))</f>
        <v/>
      </c>
      <c r="BA113">
        <f>IF($B$1+50&gt;90,AZ113,(AZ113+IF($B$1+50&lt;=$B113,12*($B$7-$B$10),-12*($B$6+$B$10)*(1+$B$4)^50))*IF(AZ113+IF($B$1+50&lt;=$B113,12*($B$7-$B$10),-12*($B$6+$B$10)*(1+$B$4)^50)&gt;0,1+$B$3,1))</f>
        <v/>
      </c>
      <c r="BB113">
        <f>IF($B$1+51&gt;90,BA113,(BA113+IF($B$1+51&lt;=$B113,12*($B$7-$B$10),-12*($B$6+$B$10)*(1+$B$4)^51))*IF(BA113+IF($B$1+51&lt;=$B113,12*($B$7-$B$10),-12*($B$6+$B$10)*(1+$B$4)^51)&gt;0,1+$B$3,1))</f>
        <v/>
      </c>
      <c r="BC113">
        <f>IF($B$1+52&gt;90,BB113,(BB113+IF($B$1+52&lt;=$B113,12*($B$7-$B$10),-12*($B$6+$B$10)*(1+$B$4)^52))*IF(BB113+IF($B$1+52&lt;=$B113,12*($B$7-$B$10),-12*($B$6+$B$10)*(1+$B$4)^52)&gt;0,1+$B$3,1))</f>
        <v/>
      </c>
      <c r="BD113">
        <f>IF($B$1+53&gt;90,BC113,(BC113+IF($B$1+53&lt;=$B113,12*($B$7-$B$10),-12*($B$6+$B$10)*(1+$B$4)^53))*IF(BC113+IF($B$1+53&lt;=$B113,12*($B$7-$B$10),-12*($B$6+$B$10)*(1+$B$4)^53)&gt;0,1+$B$3,1))</f>
        <v/>
      </c>
      <c r="BE113">
        <f>IF($B$1+54&gt;90,BD113,(BD113+IF($B$1+54&lt;=$B113,12*($B$7-$B$10),-12*($B$6+$B$10)*(1+$B$4)^54))*IF(BD113+IF($B$1+54&lt;=$B113,12*($B$7-$B$10),-12*($B$6+$B$10)*(1+$B$4)^54)&gt;0,1+$B$3,1))</f>
        <v/>
      </c>
      <c r="BF113">
        <f>IF($B$1+55&gt;90,BE113,(BE113+IF($B$1+55&lt;=$B113,12*($B$7-$B$10),-12*($B$6+$B$10)*(1+$B$4)^55))*IF(BE113+IF($B$1+55&lt;=$B113,12*($B$7-$B$10),-12*($B$6+$B$10)*(1+$B$4)^55)&gt;0,1+$B$3,1))</f>
        <v/>
      </c>
      <c r="BG113">
        <f>IF($B$1+56&gt;90,BF113,(BF113+IF($B$1+56&lt;=$B113,12*($B$7-$B$10),-12*($B$6+$B$10)*(1+$B$4)^56))*IF(BF113+IF($B$1+56&lt;=$B113,12*($B$7-$B$10),-12*($B$6+$B$10)*(1+$B$4)^56)&gt;0,1+$B$3,1))</f>
        <v/>
      </c>
      <c r="BH113">
        <f>IF($B$1+57&gt;90,BG113,(BG113+IF($B$1+57&lt;=$B113,12*($B$7-$B$10),-12*($B$6+$B$10)*(1+$B$4)^57))*IF(BG113+IF($B$1+57&lt;=$B113,12*($B$7-$B$10),-12*($B$6+$B$10)*(1+$B$4)^57)&gt;0,1+$B$3,1))</f>
        <v/>
      </c>
      <c r="BI113">
        <f>IF($B$1+58&gt;90,BH113,(BH113+IF($B$1+58&lt;=$B113,12*($B$7-$B$10),-12*($B$6+$B$10)*(1+$B$4)^58))*IF(BH113+IF($B$1+58&lt;=$B113,12*($B$7-$B$10),-12*($B$6+$B$10)*(1+$B$4)^58)&gt;0,1+$B$3,1))</f>
        <v/>
      </c>
      <c r="BJ113">
        <f>IF($B$1+59&gt;90,BI113,(BI113+IF($B$1+59&lt;=$B113,12*($B$7-$B$10),-12*($B$6+$B$10)*(1+$B$4)^59))*IF(BI113+IF($B$1+59&lt;=$B113,12*($B$7-$B$10),-12*($B$6+$B$10)*(1+$B$4)^59)&gt;0,1+$B$3,1))</f>
        <v/>
      </c>
      <c r="BK113">
        <f>IF($B$1+60&gt;90,BJ113,(BJ113+IF($B$1+60&lt;=$B113,12*($B$7-$B$10),-12*($B$6+$B$10)*(1+$B$4)^60))*IF(BJ113+IF($B$1+60&lt;=$B113,12*($B$7-$B$10),-12*($B$6+$B$10)*(1+$B$4)^60)&gt;0,1+$B$3,1))</f>
        <v/>
      </c>
      <c r="BL113">
        <f>IF($B$1+61&gt;90,BK113,(BK113+IF($B$1+61&lt;=$B113,12*($B$7-$B$10),-12*($B$6+$B$10)*(1+$B$4)^61))*IF(BK113+IF($B$1+61&lt;=$B113,12*($B$7-$B$10),-12*($B$6+$B$10)*(1+$B$4)^61)&gt;0,1+$B$3,1))</f>
        <v/>
      </c>
      <c r="BM113">
        <f>IF($B$1+62&gt;90,BL113,(BL113+IF($B$1+62&lt;=$B113,12*($B$7-$B$10),-12*($B$6+$B$10)*(1+$B$4)^62))*IF(BL113+IF($B$1+62&lt;=$B113,12*($B$7-$B$10),-12*($B$6+$B$10)*(1+$B$4)^62)&gt;0,1+$B$3,1))</f>
        <v/>
      </c>
      <c r="BN113">
        <f>IF($B$1+63&gt;90,BM113,(BM113+IF($B$1+63&lt;=$B113,12*($B$7-$B$10),-12*($B$6+$B$10)*(1+$B$4)^63))*IF(BM113+IF($B$1+63&lt;=$B113,12*($B$7-$B$10),-12*($B$6+$B$10)*(1+$B$4)^63)&gt;0,1+$B$3,1))</f>
        <v/>
      </c>
      <c r="BO113">
        <f>IF($B$1+64&gt;90,BN113,(BN113+IF($B$1+64&lt;=$B113,12*($B$7-$B$10),-12*($B$6+$B$10)*(1+$B$4)^64))*IF(BN113+IF($B$1+64&lt;=$B113,12*($B$7-$B$10),-12*($B$6+$B$10)*(1+$B$4)^64)&gt;0,1+$B$3,1))</f>
        <v/>
      </c>
      <c r="BP113">
        <f>IF($B$1+65&gt;90,BO113,(BO113+IF($B$1+65&lt;=$B113,12*($B$7-$B$10),-12*($B$6+$B$10)*(1+$B$4)^65))*IF(BO113+IF($B$1+65&lt;=$B113,12*($B$7-$B$10),-12*($B$6+$B$10)*(1+$B$4)^65)&gt;0,1+$B$3,1))</f>
        <v/>
      </c>
      <c r="BQ113">
        <f>IF($B$1+66&gt;90,BP113,(BP113+IF($B$1+66&lt;=$B113,12*($B$7-$B$10),-12*($B$6+$B$10)*(1+$B$4)^66))*IF(BP113+IF($B$1+66&lt;=$B113,12*($B$7-$B$10),-12*($B$6+$B$10)*(1+$B$4)^66)&gt;0,1+$B$3,1))</f>
        <v/>
      </c>
      <c r="BR113">
        <f>IF($B$1+67&gt;90,BQ113,(BQ113+IF($B$1+67&lt;=$B113,12*($B$7-$B$10),-12*($B$6+$B$10)*(1+$B$4)^67))*IF(BQ113+IF($B$1+67&lt;=$B113,12*($B$7-$B$10),-12*($B$6+$B$10)*(1+$B$4)^67)&gt;0,1+$B$3,1))</f>
        <v/>
      </c>
      <c r="BS113">
        <f>IF($B$1+68&gt;90,BR113,(BR113+IF($B$1+68&lt;=$B113,12*($B$7-$B$10),-12*($B$6+$B$10)*(1+$B$4)^68))*IF(BR113+IF($B$1+68&lt;=$B113,12*($B$7-$B$10),-12*($B$6+$B$10)*(1+$B$4)^68)&gt;0,1+$B$3,1))</f>
        <v/>
      </c>
      <c r="BT113">
        <f>IF($B$1+69&gt;90,BS113,(BS113+IF($B$1+69&lt;=$B113,12*($B$7-$B$10),-12*($B$6+$B$10)*(1+$B$4)^69))*IF(BS113+IF($B$1+69&lt;=$B113,12*($B$7-$B$10),-12*($B$6+$B$10)*(1+$B$4)^69)&gt;0,1+$B$3,1))</f>
        <v/>
      </c>
      <c r="BU113">
        <f>IF($B$1+70&gt;90,BT113,(BT113+IF($B$1+70&lt;=$B113,12*($B$7-$B$10),-12*($B$6+$B$10)*(1+$B$4)^70))*IF(BT113+IF($B$1+70&lt;=$B113,12*($B$7-$B$10),-12*($B$6+$B$10)*(1+$B$4)^70)&gt;0,1+$B$3,1))</f>
        <v/>
      </c>
      <c r="BV113">
        <f>BU113</f>
        <v/>
      </c>
      <c r="BW113">
        <f>IF(AND($B113&lt;=70,BV113&gt;0),$B113,999)</f>
        <v/>
      </c>
    </row>
    <row r="114">
      <c r="A114" t="n">
        <v>18</v>
      </c>
      <c r="B114">
        <f>$B$1+18</f>
        <v/>
      </c>
      <c r="C114">
        <f>$B$2</f>
        <v/>
      </c>
      <c r="D114">
        <f>IF($B$1+1&gt;90,C114,(C114+IF($B$1+1&lt;=$B114,12*($B$7-$B$10),-12*($B$6+$B$10)*(1+$B$4)^1))*IF(C114+IF($B$1+1&lt;=$B114,12*($B$7-$B$10),-12*($B$6+$B$10)*(1+$B$4)^1)&gt;0,1+$B$3,1))</f>
        <v/>
      </c>
      <c r="E114">
        <f>IF($B$1+2&gt;90,D114,(D114+IF($B$1+2&lt;=$B114,12*($B$7-$B$10),-12*($B$6+$B$10)*(1+$B$4)^2))*IF(D114+IF($B$1+2&lt;=$B114,12*($B$7-$B$10),-12*($B$6+$B$10)*(1+$B$4)^2)&gt;0,1+$B$3,1))</f>
        <v/>
      </c>
      <c r="F114">
        <f>IF($B$1+3&gt;90,E114,(E114+IF($B$1+3&lt;=$B114,12*($B$7-$B$10),-12*($B$6+$B$10)*(1+$B$4)^3))*IF(E114+IF($B$1+3&lt;=$B114,12*($B$7-$B$10),-12*($B$6+$B$10)*(1+$B$4)^3)&gt;0,1+$B$3,1))</f>
        <v/>
      </c>
      <c r="G114">
        <f>IF($B$1+4&gt;90,F114,(F114+IF($B$1+4&lt;=$B114,12*($B$7-$B$10),-12*($B$6+$B$10)*(1+$B$4)^4))*IF(F114+IF($B$1+4&lt;=$B114,12*($B$7-$B$10),-12*($B$6+$B$10)*(1+$B$4)^4)&gt;0,1+$B$3,1))</f>
        <v/>
      </c>
      <c r="H114">
        <f>IF($B$1+5&gt;90,G114,(G114+IF($B$1+5&lt;=$B114,12*($B$7-$B$10),-12*($B$6+$B$10)*(1+$B$4)^5))*IF(G114+IF($B$1+5&lt;=$B114,12*($B$7-$B$10),-12*($B$6+$B$10)*(1+$B$4)^5)&gt;0,1+$B$3,1))</f>
        <v/>
      </c>
      <c r="I114">
        <f>IF($B$1+6&gt;90,H114,(H114+IF($B$1+6&lt;=$B114,12*($B$7-$B$10),-12*($B$6+$B$10)*(1+$B$4)^6))*IF(H114+IF($B$1+6&lt;=$B114,12*($B$7-$B$10),-12*($B$6+$B$10)*(1+$B$4)^6)&gt;0,1+$B$3,1))</f>
        <v/>
      </c>
      <c r="J114">
        <f>IF($B$1+7&gt;90,I114,(I114+IF($B$1+7&lt;=$B114,12*($B$7-$B$10),-12*($B$6+$B$10)*(1+$B$4)^7))*IF(I114+IF($B$1+7&lt;=$B114,12*($B$7-$B$10),-12*($B$6+$B$10)*(1+$B$4)^7)&gt;0,1+$B$3,1))</f>
        <v/>
      </c>
      <c r="K114">
        <f>IF($B$1+8&gt;90,J114,(J114+IF($B$1+8&lt;=$B114,12*($B$7-$B$10),-12*($B$6+$B$10)*(1+$B$4)^8))*IF(J114+IF($B$1+8&lt;=$B114,12*($B$7-$B$10),-12*($B$6+$B$10)*(1+$B$4)^8)&gt;0,1+$B$3,1))</f>
        <v/>
      </c>
      <c r="L114">
        <f>IF($B$1+9&gt;90,K114,(K114+IF($B$1+9&lt;=$B114,12*($B$7-$B$10),-12*($B$6+$B$10)*(1+$B$4)^9))*IF(K114+IF($B$1+9&lt;=$B114,12*($B$7-$B$10),-12*($B$6+$B$10)*(1+$B$4)^9)&gt;0,1+$B$3,1))</f>
        <v/>
      </c>
      <c r="M114">
        <f>IF($B$1+10&gt;90,L114,(L114+IF($B$1+10&lt;=$B114,12*($B$7-$B$10),-12*($B$6+$B$10)*(1+$B$4)^10))*IF(L114+IF($B$1+10&lt;=$B114,12*($B$7-$B$10),-12*($B$6+$B$10)*(1+$B$4)^10)&gt;0,1+$B$3,1))</f>
        <v/>
      </c>
      <c r="N114">
        <f>IF($B$1+11&gt;90,M114,(M114+IF($B$1+11&lt;=$B114,12*($B$7-$B$10),-12*($B$6+$B$10)*(1+$B$4)^11))*IF(M114+IF($B$1+11&lt;=$B114,12*($B$7-$B$10),-12*($B$6+$B$10)*(1+$B$4)^11)&gt;0,1+$B$3,1))</f>
        <v/>
      </c>
      <c r="O114">
        <f>IF($B$1+12&gt;90,N114,(N114+IF($B$1+12&lt;=$B114,12*($B$7-$B$10),-12*($B$6+$B$10)*(1+$B$4)^12))*IF(N114+IF($B$1+12&lt;=$B114,12*($B$7-$B$10),-12*($B$6+$B$10)*(1+$B$4)^12)&gt;0,1+$B$3,1))</f>
        <v/>
      </c>
      <c r="P114">
        <f>IF($B$1+13&gt;90,O114,(O114+IF($B$1+13&lt;=$B114,12*($B$7-$B$10),-12*($B$6+$B$10)*(1+$B$4)^13))*IF(O114+IF($B$1+13&lt;=$B114,12*($B$7-$B$10),-12*($B$6+$B$10)*(1+$B$4)^13)&gt;0,1+$B$3,1))</f>
        <v/>
      </c>
      <c r="Q114">
        <f>IF($B$1+14&gt;90,P114,(P114+IF($B$1+14&lt;=$B114,12*($B$7-$B$10),-12*($B$6+$B$10)*(1+$B$4)^14))*IF(P114+IF($B$1+14&lt;=$B114,12*($B$7-$B$10),-12*($B$6+$B$10)*(1+$B$4)^14)&gt;0,1+$B$3,1))</f>
        <v/>
      </c>
      <c r="R114">
        <f>IF($B$1+15&gt;90,Q114,(Q114+IF($B$1+15&lt;=$B114,12*($B$7-$B$10),-12*($B$6+$B$10)*(1+$B$4)^15))*IF(Q114+IF($B$1+15&lt;=$B114,12*($B$7-$B$10),-12*($B$6+$B$10)*(1+$B$4)^15)&gt;0,1+$B$3,1))</f>
        <v/>
      </c>
      <c r="S114">
        <f>IF($B$1+16&gt;90,R114,(R114+IF($B$1+16&lt;=$B114,12*($B$7-$B$10),-12*($B$6+$B$10)*(1+$B$4)^16))*IF(R114+IF($B$1+16&lt;=$B114,12*($B$7-$B$10),-12*($B$6+$B$10)*(1+$B$4)^16)&gt;0,1+$B$3,1))</f>
        <v/>
      </c>
      <c r="T114">
        <f>IF($B$1+17&gt;90,S114,(S114+IF($B$1+17&lt;=$B114,12*($B$7-$B$10),-12*($B$6+$B$10)*(1+$B$4)^17))*IF(S114+IF($B$1+17&lt;=$B114,12*($B$7-$B$10),-12*($B$6+$B$10)*(1+$B$4)^17)&gt;0,1+$B$3,1))</f>
        <v/>
      </c>
      <c r="U114">
        <f>IF($B$1+18&gt;90,T114,(T114+IF($B$1+18&lt;=$B114,12*($B$7-$B$10),-12*($B$6+$B$10)*(1+$B$4)^18))*IF(T114+IF($B$1+18&lt;=$B114,12*($B$7-$B$10),-12*($B$6+$B$10)*(1+$B$4)^18)&gt;0,1+$B$3,1))</f>
        <v/>
      </c>
      <c r="V114">
        <f>IF($B$1+19&gt;90,U114,(U114+IF($B$1+19&lt;=$B114,12*($B$7-$B$10),-12*($B$6+$B$10)*(1+$B$4)^19))*IF(U114+IF($B$1+19&lt;=$B114,12*($B$7-$B$10),-12*($B$6+$B$10)*(1+$B$4)^19)&gt;0,1+$B$3,1))</f>
        <v/>
      </c>
      <c r="W114">
        <f>IF($B$1+20&gt;90,V114,(V114+IF($B$1+20&lt;=$B114,12*($B$7-$B$10),-12*($B$6+$B$10)*(1+$B$4)^20))*IF(V114+IF($B$1+20&lt;=$B114,12*($B$7-$B$10),-12*($B$6+$B$10)*(1+$B$4)^20)&gt;0,1+$B$3,1))</f>
        <v/>
      </c>
      <c r="X114">
        <f>IF($B$1+21&gt;90,W114,(W114+IF($B$1+21&lt;=$B114,12*($B$7-$B$10),-12*($B$6+$B$10)*(1+$B$4)^21))*IF(W114+IF($B$1+21&lt;=$B114,12*($B$7-$B$10),-12*($B$6+$B$10)*(1+$B$4)^21)&gt;0,1+$B$3,1))</f>
        <v/>
      </c>
      <c r="Y114">
        <f>IF($B$1+22&gt;90,X114,(X114+IF($B$1+22&lt;=$B114,12*($B$7-$B$10),-12*($B$6+$B$10)*(1+$B$4)^22))*IF(X114+IF($B$1+22&lt;=$B114,12*($B$7-$B$10),-12*($B$6+$B$10)*(1+$B$4)^22)&gt;0,1+$B$3,1))</f>
        <v/>
      </c>
      <c r="Z114">
        <f>IF($B$1+23&gt;90,Y114,(Y114+IF($B$1+23&lt;=$B114,12*($B$7-$B$10),-12*($B$6+$B$10)*(1+$B$4)^23))*IF(Y114+IF($B$1+23&lt;=$B114,12*($B$7-$B$10),-12*($B$6+$B$10)*(1+$B$4)^23)&gt;0,1+$B$3,1))</f>
        <v/>
      </c>
      <c r="AA114">
        <f>IF($B$1+24&gt;90,Z114,(Z114+IF($B$1+24&lt;=$B114,12*($B$7-$B$10),-12*($B$6+$B$10)*(1+$B$4)^24))*IF(Z114+IF($B$1+24&lt;=$B114,12*($B$7-$B$10),-12*($B$6+$B$10)*(1+$B$4)^24)&gt;0,1+$B$3,1))</f>
        <v/>
      </c>
      <c r="AB114">
        <f>IF($B$1+25&gt;90,AA114,(AA114+IF($B$1+25&lt;=$B114,12*($B$7-$B$10),-12*($B$6+$B$10)*(1+$B$4)^25))*IF(AA114+IF($B$1+25&lt;=$B114,12*($B$7-$B$10),-12*($B$6+$B$10)*(1+$B$4)^25)&gt;0,1+$B$3,1))</f>
        <v/>
      </c>
      <c r="AC114">
        <f>IF($B$1+26&gt;90,AB114,(AB114+IF($B$1+26&lt;=$B114,12*($B$7-$B$10),-12*($B$6+$B$10)*(1+$B$4)^26))*IF(AB114+IF($B$1+26&lt;=$B114,12*($B$7-$B$10),-12*($B$6+$B$10)*(1+$B$4)^26)&gt;0,1+$B$3,1))</f>
        <v/>
      </c>
      <c r="AD114">
        <f>IF($B$1+27&gt;90,AC114,(AC114+IF($B$1+27&lt;=$B114,12*($B$7-$B$10),-12*($B$6+$B$10)*(1+$B$4)^27))*IF(AC114+IF($B$1+27&lt;=$B114,12*($B$7-$B$10),-12*($B$6+$B$10)*(1+$B$4)^27)&gt;0,1+$B$3,1))</f>
        <v/>
      </c>
      <c r="AE114">
        <f>IF($B$1+28&gt;90,AD114,(AD114+IF($B$1+28&lt;=$B114,12*($B$7-$B$10),-12*($B$6+$B$10)*(1+$B$4)^28))*IF(AD114+IF($B$1+28&lt;=$B114,12*($B$7-$B$10),-12*($B$6+$B$10)*(1+$B$4)^28)&gt;0,1+$B$3,1))</f>
        <v/>
      </c>
      <c r="AF114">
        <f>IF($B$1+29&gt;90,AE114,(AE114+IF($B$1+29&lt;=$B114,12*($B$7-$B$10),-12*($B$6+$B$10)*(1+$B$4)^29))*IF(AE114+IF($B$1+29&lt;=$B114,12*($B$7-$B$10),-12*($B$6+$B$10)*(1+$B$4)^29)&gt;0,1+$B$3,1))</f>
        <v/>
      </c>
      <c r="AG114">
        <f>IF($B$1+30&gt;90,AF114,(AF114+IF($B$1+30&lt;=$B114,12*($B$7-$B$10),-12*($B$6+$B$10)*(1+$B$4)^30))*IF(AF114+IF($B$1+30&lt;=$B114,12*($B$7-$B$10),-12*($B$6+$B$10)*(1+$B$4)^30)&gt;0,1+$B$3,1))</f>
        <v/>
      </c>
      <c r="AH114">
        <f>IF($B$1+31&gt;90,AG114,(AG114+IF($B$1+31&lt;=$B114,12*($B$7-$B$10),-12*($B$6+$B$10)*(1+$B$4)^31))*IF(AG114+IF($B$1+31&lt;=$B114,12*($B$7-$B$10),-12*($B$6+$B$10)*(1+$B$4)^31)&gt;0,1+$B$3,1))</f>
        <v/>
      </c>
      <c r="AI114">
        <f>IF($B$1+32&gt;90,AH114,(AH114+IF($B$1+32&lt;=$B114,12*($B$7-$B$10),-12*($B$6+$B$10)*(1+$B$4)^32))*IF(AH114+IF($B$1+32&lt;=$B114,12*($B$7-$B$10),-12*($B$6+$B$10)*(1+$B$4)^32)&gt;0,1+$B$3,1))</f>
        <v/>
      </c>
      <c r="AJ114">
        <f>IF($B$1+33&gt;90,AI114,(AI114+IF($B$1+33&lt;=$B114,12*($B$7-$B$10),-12*($B$6+$B$10)*(1+$B$4)^33))*IF(AI114+IF($B$1+33&lt;=$B114,12*($B$7-$B$10),-12*($B$6+$B$10)*(1+$B$4)^33)&gt;0,1+$B$3,1))</f>
        <v/>
      </c>
      <c r="AK114">
        <f>IF($B$1+34&gt;90,AJ114,(AJ114+IF($B$1+34&lt;=$B114,12*($B$7-$B$10),-12*($B$6+$B$10)*(1+$B$4)^34))*IF(AJ114+IF($B$1+34&lt;=$B114,12*($B$7-$B$10),-12*($B$6+$B$10)*(1+$B$4)^34)&gt;0,1+$B$3,1))</f>
        <v/>
      </c>
      <c r="AL114">
        <f>IF($B$1+35&gt;90,AK114,(AK114+IF($B$1+35&lt;=$B114,12*($B$7-$B$10),-12*($B$6+$B$10)*(1+$B$4)^35))*IF(AK114+IF($B$1+35&lt;=$B114,12*($B$7-$B$10),-12*($B$6+$B$10)*(1+$B$4)^35)&gt;0,1+$B$3,1))</f>
        <v/>
      </c>
      <c r="AM114">
        <f>IF($B$1+36&gt;90,AL114,(AL114+IF($B$1+36&lt;=$B114,12*($B$7-$B$10),-12*($B$6+$B$10)*(1+$B$4)^36))*IF(AL114+IF($B$1+36&lt;=$B114,12*($B$7-$B$10),-12*($B$6+$B$10)*(1+$B$4)^36)&gt;0,1+$B$3,1))</f>
        <v/>
      </c>
      <c r="AN114">
        <f>IF($B$1+37&gt;90,AM114,(AM114+IF($B$1+37&lt;=$B114,12*($B$7-$B$10),-12*($B$6+$B$10)*(1+$B$4)^37))*IF(AM114+IF($B$1+37&lt;=$B114,12*($B$7-$B$10),-12*($B$6+$B$10)*(1+$B$4)^37)&gt;0,1+$B$3,1))</f>
        <v/>
      </c>
      <c r="AO114">
        <f>IF($B$1+38&gt;90,AN114,(AN114+IF($B$1+38&lt;=$B114,12*($B$7-$B$10),-12*($B$6+$B$10)*(1+$B$4)^38))*IF(AN114+IF($B$1+38&lt;=$B114,12*($B$7-$B$10),-12*($B$6+$B$10)*(1+$B$4)^38)&gt;0,1+$B$3,1))</f>
        <v/>
      </c>
      <c r="AP114">
        <f>IF($B$1+39&gt;90,AO114,(AO114+IF($B$1+39&lt;=$B114,12*($B$7-$B$10),-12*($B$6+$B$10)*(1+$B$4)^39))*IF(AO114+IF($B$1+39&lt;=$B114,12*($B$7-$B$10),-12*($B$6+$B$10)*(1+$B$4)^39)&gt;0,1+$B$3,1))</f>
        <v/>
      </c>
      <c r="AQ114">
        <f>IF($B$1+40&gt;90,AP114,(AP114+IF($B$1+40&lt;=$B114,12*($B$7-$B$10),-12*($B$6+$B$10)*(1+$B$4)^40))*IF(AP114+IF($B$1+40&lt;=$B114,12*($B$7-$B$10),-12*($B$6+$B$10)*(1+$B$4)^40)&gt;0,1+$B$3,1))</f>
        <v/>
      </c>
      <c r="AR114">
        <f>IF($B$1+41&gt;90,AQ114,(AQ114+IF($B$1+41&lt;=$B114,12*($B$7-$B$10),-12*($B$6+$B$10)*(1+$B$4)^41))*IF(AQ114+IF($B$1+41&lt;=$B114,12*($B$7-$B$10),-12*($B$6+$B$10)*(1+$B$4)^41)&gt;0,1+$B$3,1))</f>
        <v/>
      </c>
      <c r="AS114">
        <f>IF($B$1+42&gt;90,AR114,(AR114+IF($B$1+42&lt;=$B114,12*($B$7-$B$10),-12*($B$6+$B$10)*(1+$B$4)^42))*IF(AR114+IF($B$1+42&lt;=$B114,12*($B$7-$B$10),-12*($B$6+$B$10)*(1+$B$4)^42)&gt;0,1+$B$3,1))</f>
        <v/>
      </c>
      <c r="AT114">
        <f>IF($B$1+43&gt;90,AS114,(AS114+IF($B$1+43&lt;=$B114,12*($B$7-$B$10),-12*($B$6+$B$10)*(1+$B$4)^43))*IF(AS114+IF($B$1+43&lt;=$B114,12*($B$7-$B$10),-12*($B$6+$B$10)*(1+$B$4)^43)&gt;0,1+$B$3,1))</f>
        <v/>
      </c>
      <c r="AU114">
        <f>IF($B$1+44&gt;90,AT114,(AT114+IF($B$1+44&lt;=$B114,12*($B$7-$B$10),-12*($B$6+$B$10)*(1+$B$4)^44))*IF(AT114+IF($B$1+44&lt;=$B114,12*($B$7-$B$10),-12*($B$6+$B$10)*(1+$B$4)^44)&gt;0,1+$B$3,1))</f>
        <v/>
      </c>
      <c r="AV114">
        <f>IF($B$1+45&gt;90,AU114,(AU114+IF($B$1+45&lt;=$B114,12*($B$7-$B$10),-12*($B$6+$B$10)*(1+$B$4)^45))*IF(AU114+IF($B$1+45&lt;=$B114,12*($B$7-$B$10),-12*($B$6+$B$10)*(1+$B$4)^45)&gt;0,1+$B$3,1))</f>
        <v/>
      </c>
      <c r="AW114">
        <f>IF($B$1+46&gt;90,AV114,(AV114+IF($B$1+46&lt;=$B114,12*($B$7-$B$10),-12*($B$6+$B$10)*(1+$B$4)^46))*IF(AV114+IF($B$1+46&lt;=$B114,12*($B$7-$B$10),-12*($B$6+$B$10)*(1+$B$4)^46)&gt;0,1+$B$3,1))</f>
        <v/>
      </c>
      <c r="AX114">
        <f>IF($B$1+47&gt;90,AW114,(AW114+IF($B$1+47&lt;=$B114,12*($B$7-$B$10),-12*($B$6+$B$10)*(1+$B$4)^47))*IF(AW114+IF($B$1+47&lt;=$B114,12*($B$7-$B$10),-12*($B$6+$B$10)*(1+$B$4)^47)&gt;0,1+$B$3,1))</f>
        <v/>
      </c>
      <c r="AY114">
        <f>IF($B$1+48&gt;90,AX114,(AX114+IF($B$1+48&lt;=$B114,12*($B$7-$B$10),-12*($B$6+$B$10)*(1+$B$4)^48))*IF(AX114+IF($B$1+48&lt;=$B114,12*($B$7-$B$10),-12*($B$6+$B$10)*(1+$B$4)^48)&gt;0,1+$B$3,1))</f>
        <v/>
      </c>
      <c r="AZ114">
        <f>IF($B$1+49&gt;90,AY114,(AY114+IF($B$1+49&lt;=$B114,12*($B$7-$B$10),-12*($B$6+$B$10)*(1+$B$4)^49))*IF(AY114+IF($B$1+49&lt;=$B114,12*($B$7-$B$10),-12*($B$6+$B$10)*(1+$B$4)^49)&gt;0,1+$B$3,1))</f>
        <v/>
      </c>
      <c r="BA114">
        <f>IF($B$1+50&gt;90,AZ114,(AZ114+IF($B$1+50&lt;=$B114,12*($B$7-$B$10),-12*($B$6+$B$10)*(1+$B$4)^50))*IF(AZ114+IF($B$1+50&lt;=$B114,12*($B$7-$B$10),-12*($B$6+$B$10)*(1+$B$4)^50)&gt;0,1+$B$3,1))</f>
        <v/>
      </c>
      <c r="BB114">
        <f>IF($B$1+51&gt;90,BA114,(BA114+IF($B$1+51&lt;=$B114,12*($B$7-$B$10),-12*($B$6+$B$10)*(1+$B$4)^51))*IF(BA114+IF($B$1+51&lt;=$B114,12*($B$7-$B$10),-12*($B$6+$B$10)*(1+$B$4)^51)&gt;0,1+$B$3,1))</f>
        <v/>
      </c>
      <c r="BC114">
        <f>IF($B$1+52&gt;90,BB114,(BB114+IF($B$1+52&lt;=$B114,12*($B$7-$B$10),-12*($B$6+$B$10)*(1+$B$4)^52))*IF(BB114+IF($B$1+52&lt;=$B114,12*($B$7-$B$10),-12*($B$6+$B$10)*(1+$B$4)^52)&gt;0,1+$B$3,1))</f>
        <v/>
      </c>
      <c r="BD114">
        <f>IF($B$1+53&gt;90,BC114,(BC114+IF($B$1+53&lt;=$B114,12*($B$7-$B$10),-12*($B$6+$B$10)*(1+$B$4)^53))*IF(BC114+IF($B$1+53&lt;=$B114,12*($B$7-$B$10),-12*($B$6+$B$10)*(1+$B$4)^53)&gt;0,1+$B$3,1))</f>
        <v/>
      </c>
      <c r="BE114">
        <f>IF($B$1+54&gt;90,BD114,(BD114+IF($B$1+54&lt;=$B114,12*($B$7-$B$10),-12*($B$6+$B$10)*(1+$B$4)^54))*IF(BD114+IF($B$1+54&lt;=$B114,12*($B$7-$B$10),-12*($B$6+$B$10)*(1+$B$4)^54)&gt;0,1+$B$3,1))</f>
        <v/>
      </c>
      <c r="BF114">
        <f>IF($B$1+55&gt;90,BE114,(BE114+IF($B$1+55&lt;=$B114,12*($B$7-$B$10),-12*($B$6+$B$10)*(1+$B$4)^55))*IF(BE114+IF($B$1+55&lt;=$B114,12*($B$7-$B$10),-12*($B$6+$B$10)*(1+$B$4)^55)&gt;0,1+$B$3,1))</f>
        <v/>
      </c>
      <c r="BG114">
        <f>IF($B$1+56&gt;90,BF114,(BF114+IF($B$1+56&lt;=$B114,12*($B$7-$B$10),-12*($B$6+$B$10)*(1+$B$4)^56))*IF(BF114+IF($B$1+56&lt;=$B114,12*($B$7-$B$10),-12*($B$6+$B$10)*(1+$B$4)^56)&gt;0,1+$B$3,1))</f>
        <v/>
      </c>
      <c r="BH114">
        <f>IF($B$1+57&gt;90,BG114,(BG114+IF($B$1+57&lt;=$B114,12*($B$7-$B$10),-12*($B$6+$B$10)*(1+$B$4)^57))*IF(BG114+IF($B$1+57&lt;=$B114,12*($B$7-$B$10),-12*($B$6+$B$10)*(1+$B$4)^57)&gt;0,1+$B$3,1))</f>
        <v/>
      </c>
      <c r="BI114">
        <f>IF($B$1+58&gt;90,BH114,(BH114+IF($B$1+58&lt;=$B114,12*($B$7-$B$10),-12*($B$6+$B$10)*(1+$B$4)^58))*IF(BH114+IF($B$1+58&lt;=$B114,12*($B$7-$B$10),-12*($B$6+$B$10)*(1+$B$4)^58)&gt;0,1+$B$3,1))</f>
        <v/>
      </c>
      <c r="BJ114">
        <f>IF($B$1+59&gt;90,BI114,(BI114+IF($B$1+59&lt;=$B114,12*($B$7-$B$10),-12*($B$6+$B$10)*(1+$B$4)^59))*IF(BI114+IF($B$1+59&lt;=$B114,12*($B$7-$B$10),-12*($B$6+$B$10)*(1+$B$4)^59)&gt;0,1+$B$3,1))</f>
        <v/>
      </c>
      <c r="BK114">
        <f>IF($B$1+60&gt;90,BJ114,(BJ114+IF($B$1+60&lt;=$B114,12*($B$7-$B$10),-12*($B$6+$B$10)*(1+$B$4)^60))*IF(BJ114+IF($B$1+60&lt;=$B114,12*($B$7-$B$10),-12*($B$6+$B$10)*(1+$B$4)^60)&gt;0,1+$B$3,1))</f>
        <v/>
      </c>
      <c r="BL114">
        <f>IF($B$1+61&gt;90,BK114,(BK114+IF($B$1+61&lt;=$B114,12*($B$7-$B$10),-12*($B$6+$B$10)*(1+$B$4)^61))*IF(BK114+IF($B$1+61&lt;=$B114,12*($B$7-$B$10),-12*($B$6+$B$10)*(1+$B$4)^61)&gt;0,1+$B$3,1))</f>
        <v/>
      </c>
      <c r="BM114">
        <f>IF($B$1+62&gt;90,BL114,(BL114+IF($B$1+62&lt;=$B114,12*($B$7-$B$10),-12*($B$6+$B$10)*(1+$B$4)^62))*IF(BL114+IF($B$1+62&lt;=$B114,12*($B$7-$B$10),-12*($B$6+$B$10)*(1+$B$4)^62)&gt;0,1+$B$3,1))</f>
        <v/>
      </c>
      <c r="BN114">
        <f>IF($B$1+63&gt;90,BM114,(BM114+IF($B$1+63&lt;=$B114,12*($B$7-$B$10),-12*($B$6+$B$10)*(1+$B$4)^63))*IF(BM114+IF($B$1+63&lt;=$B114,12*($B$7-$B$10),-12*($B$6+$B$10)*(1+$B$4)^63)&gt;0,1+$B$3,1))</f>
        <v/>
      </c>
      <c r="BO114">
        <f>IF($B$1+64&gt;90,BN114,(BN114+IF($B$1+64&lt;=$B114,12*($B$7-$B$10),-12*($B$6+$B$10)*(1+$B$4)^64))*IF(BN114+IF($B$1+64&lt;=$B114,12*($B$7-$B$10),-12*($B$6+$B$10)*(1+$B$4)^64)&gt;0,1+$B$3,1))</f>
        <v/>
      </c>
      <c r="BP114">
        <f>IF($B$1+65&gt;90,BO114,(BO114+IF($B$1+65&lt;=$B114,12*($B$7-$B$10),-12*($B$6+$B$10)*(1+$B$4)^65))*IF(BO114+IF($B$1+65&lt;=$B114,12*($B$7-$B$10),-12*($B$6+$B$10)*(1+$B$4)^65)&gt;0,1+$B$3,1))</f>
        <v/>
      </c>
      <c r="BQ114">
        <f>IF($B$1+66&gt;90,BP114,(BP114+IF($B$1+66&lt;=$B114,12*($B$7-$B$10),-12*($B$6+$B$10)*(1+$B$4)^66))*IF(BP114+IF($B$1+66&lt;=$B114,12*($B$7-$B$10),-12*($B$6+$B$10)*(1+$B$4)^66)&gt;0,1+$B$3,1))</f>
        <v/>
      </c>
      <c r="BR114">
        <f>IF($B$1+67&gt;90,BQ114,(BQ114+IF($B$1+67&lt;=$B114,12*($B$7-$B$10),-12*($B$6+$B$10)*(1+$B$4)^67))*IF(BQ114+IF($B$1+67&lt;=$B114,12*($B$7-$B$10),-12*($B$6+$B$10)*(1+$B$4)^67)&gt;0,1+$B$3,1))</f>
        <v/>
      </c>
      <c r="BS114">
        <f>IF($B$1+68&gt;90,BR114,(BR114+IF($B$1+68&lt;=$B114,12*($B$7-$B$10),-12*($B$6+$B$10)*(1+$B$4)^68))*IF(BR114+IF($B$1+68&lt;=$B114,12*($B$7-$B$10),-12*($B$6+$B$10)*(1+$B$4)^68)&gt;0,1+$B$3,1))</f>
        <v/>
      </c>
      <c r="BT114">
        <f>IF($B$1+69&gt;90,BS114,(BS114+IF($B$1+69&lt;=$B114,12*($B$7-$B$10),-12*($B$6+$B$10)*(1+$B$4)^69))*IF(BS114+IF($B$1+69&lt;=$B114,12*($B$7-$B$10),-12*($B$6+$B$10)*(1+$B$4)^69)&gt;0,1+$B$3,1))</f>
        <v/>
      </c>
      <c r="BU114">
        <f>IF($B$1+70&gt;90,BT114,(BT114+IF($B$1+70&lt;=$B114,12*($B$7-$B$10),-12*($B$6+$B$10)*(1+$B$4)^70))*IF(BT114+IF($B$1+70&lt;=$B114,12*($B$7-$B$10),-12*($B$6+$B$10)*(1+$B$4)^70)&gt;0,1+$B$3,1))</f>
        <v/>
      </c>
      <c r="BV114">
        <f>BU114</f>
        <v/>
      </c>
      <c r="BW114">
        <f>IF(AND($B114&lt;=70,BV114&gt;0),$B114,999)</f>
        <v/>
      </c>
    </row>
    <row r="115">
      <c r="A115" t="n">
        <v>19</v>
      </c>
      <c r="B115">
        <f>$B$1+19</f>
        <v/>
      </c>
      <c r="C115">
        <f>$B$2</f>
        <v/>
      </c>
      <c r="D115">
        <f>IF($B$1+1&gt;90,C115,(C115+IF($B$1+1&lt;=$B115,12*($B$7-$B$10),-12*($B$6+$B$10)*(1+$B$4)^1))*IF(C115+IF($B$1+1&lt;=$B115,12*($B$7-$B$10),-12*($B$6+$B$10)*(1+$B$4)^1)&gt;0,1+$B$3,1))</f>
        <v/>
      </c>
      <c r="E115">
        <f>IF($B$1+2&gt;90,D115,(D115+IF($B$1+2&lt;=$B115,12*($B$7-$B$10),-12*($B$6+$B$10)*(1+$B$4)^2))*IF(D115+IF($B$1+2&lt;=$B115,12*($B$7-$B$10),-12*($B$6+$B$10)*(1+$B$4)^2)&gt;0,1+$B$3,1))</f>
        <v/>
      </c>
      <c r="F115">
        <f>IF($B$1+3&gt;90,E115,(E115+IF($B$1+3&lt;=$B115,12*($B$7-$B$10),-12*($B$6+$B$10)*(1+$B$4)^3))*IF(E115+IF($B$1+3&lt;=$B115,12*($B$7-$B$10),-12*($B$6+$B$10)*(1+$B$4)^3)&gt;0,1+$B$3,1))</f>
        <v/>
      </c>
      <c r="G115">
        <f>IF($B$1+4&gt;90,F115,(F115+IF($B$1+4&lt;=$B115,12*($B$7-$B$10),-12*($B$6+$B$10)*(1+$B$4)^4))*IF(F115+IF($B$1+4&lt;=$B115,12*($B$7-$B$10),-12*($B$6+$B$10)*(1+$B$4)^4)&gt;0,1+$B$3,1))</f>
        <v/>
      </c>
      <c r="H115">
        <f>IF($B$1+5&gt;90,G115,(G115+IF($B$1+5&lt;=$B115,12*($B$7-$B$10),-12*($B$6+$B$10)*(1+$B$4)^5))*IF(G115+IF($B$1+5&lt;=$B115,12*($B$7-$B$10),-12*($B$6+$B$10)*(1+$B$4)^5)&gt;0,1+$B$3,1))</f>
        <v/>
      </c>
      <c r="I115">
        <f>IF($B$1+6&gt;90,H115,(H115+IF($B$1+6&lt;=$B115,12*($B$7-$B$10),-12*($B$6+$B$10)*(1+$B$4)^6))*IF(H115+IF($B$1+6&lt;=$B115,12*($B$7-$B$10),-12*($B$6+$B$10)*(1+$B$4)^6)&gt;0,1+$B$3,1))</f>
        <v/>
      </c>
      <c r="J115">
        <f>IF($B$1+7&gt;90,I115,(I115+IF($B$1+7&lt;=$B115,12*($B$7-$B$10),-12*($B$6+$B$10)*(1+$B$4)^7))*IF(I115+IF($B$1+7&lt;=$B115,12*($B$7-$B$10),-12*($B$6+$B$10)*(1+$B$4)^7)&gt;0,1+$B$3,1))</f>
        <v/>
      </c>
      <c r="K115">
        <f>IF($B$1+8&gt;90,J115,(J115+IF($B$1+8&lt;=$B115,12*($B$7-$B$10),-12*($B$6+$B$10)*(1+$B$4)^8))*IF(J115+IF($B$1+8&lt;=$B115,12*($B$7-$B$10),-12*($B$6+$B$10)*(1+$B$4)^8)&gt;0,1+$B$3,1))</f>
        <v/>
      </c>
      <c r="L115">
        <f>IF($B$1+9&gt;90,K115,(K115+IF($B$1+9&lt;=$B115,12*($B$7-$B$10),-12*($B$6+$B$10)*(1+$B$4)^9))*IF(K115+IF($B$1+9&lt;=$B115,12*($B$7-$B$10),-12*($B$6+$B$10)*(1+$B$4)^9)&gt;0,1+$B$3,1))</f>
        <v/>
      </c>
      <c r="M115">
        <f>IF($B$1+10&gt;90,L115,(L115+IF($B$1+10&lt;=$B115,12*($B$7-$B$10),-12*($B$6+$B$10)*(1+$B$4)^10))*IF(L115+IF($B$1+10&lt;=$B115,12*($B$7-$B$10),-12*($B$6+$B$10)*(1+$B$4)^10)&gt;0,1+$B$3,1))</f>
        <v/>
      </c>
      <c r="N115">
        <f>IF($B$1+11&gt;90,M115,(M115+IF($B$1+11&lt;=$B115,12*($B$7-$B$10),-12*($B$6+$B$10)*(1+$B$4)^11))*IF(M115+IF($B$1+11&lt;=$B115,12*($B$7-$B$10),-12*($B$6+$B$10)*(1+$B$4)^11)&gt;0,1+$B$3,1))</f>
        <v/>
      </c>
      <c r="O115">
        <f>IF($B$1+12&gt;90,N115,(N115+IF($B$1+12&lt;=$B115,12*($B$7-$B$10),-12*($B$6+$B$10)*(1+$B$4)^12))*IF(N115+IF($B$1+12&lt;=$B115,12*($B$7-$B$10),-12*($B$6+$B$10)*(1+$B$4)^12)&gt;0,1+$B$3,1))</f>
        <v/>
      </c>
      <c r="P115">
        <f>IF($B$1+13&gt;90,O115,(O115+IF($B$1+13&lt;=$B115,12*($B$7-$B$10),-12*($B$6+$B$10)*(1+$B$4)^13))*IF(O115+IF($B$1+13&lt;=$B115,12*($B$7-$B$10),-12*($B$6+$B$10)*(1+$B$4)^13)&gt;0,1+$B$3,1))</f>
        <v/>
      </c>
      <c r="Q115">
        <f>IF($B$1+14&gt;90,P115,(P115+IF($B$1+14&lt;=$B115,12*($B$7-$B$10),-12*($B$6+$B$10)*(1+$B$4)^14))*IF(P115+IF($B$1+14&lt;=$B115,12*($B$7-$B$10),-12*($B$6+$B$10)*(1+$B$4)^14)&gt;0,1+$B$3,1))</f>
        <v/>
      </c>
      <c r="R115">
        <f>IF($B$1+15&gt;90,Q115,(Q115+IF($B$1+15&lt;=$B115,12*($B$7-$B$10),-12*($B$6+$B$10)*(1+$B$4)^15))*IF(Q115+IF($B$1+15&lt;=$B115,12*($B$7-$B$10),-12*($B$6+$B$10)*(1+$B$4)^15)&gt;0,1+$B$3,1))</f>
        <v/>
      </c>
      <c r="S115">
        <f>IF($B$1+16&gt;90,R115,(R115+IF($B$1+16&lt;=$B115,12*($B$7-$B$10),-12*($B$6+$B$10)*(1+$B$4)^16))*IF(R115+IF($B$1+16&lt;=$B115,12*($B$7-$B$10),-12*($B$6+$B$10)*(1+$B$4)^16)&gt;0,1+$B$3,1))</f>
        <v/>
      </c>
      <c r="T115">
        <f>IF($B$1+17&gt;90,S115,(S115+IF($B$1+17&lt;=$B115,12*($B$7-$B$10),-12*($B$6+$B$10)*(1+$B$4)^17))*IF(S115+IF($B$1+17&lt;=$B115,12*($B$7-$B$10),-12*($B$6+$B$10)*(1+$B$4)^17)&gt;0,1+$B$3,1))</f>
        <v/>
      </c>
      <c r="U115">
        <f>IF($B$1+18&gt;90,T115,(T115+IF($B$1+18&lt;=$B115,12*($B$7-$B$10),-12*($B$6+$B$10)*(1+$B$4)^18))*IF(T115+IF($B$1+18&lt;=$B115,12*($B$7-$B$10),-12*($B$6+$B$10)*(1+$B$4)^18)&gt;0,1+$B$3,1))</f>
        <v/>
      </c>
      <c r="V115">
        <f>IF($B$1+19&gt;90,U115,(U115+IF($B$1+19&lt;=$B115,12*($B$7-$B$10),-12*($B$6+$B$10)*(1+$B$4)^19))*IF(U115+IF($B$1+19&lt;=$B115,12*($B$7-$B$10),-12*($B$6+$B$10)*(1+$B$4)^19)&gt;0,1+$B$3,1))</f>
        <v/>
      </c>
      <c r="W115">
        <f>IF($B$1+20&gt;90,V115,(V115+IF($B$1+20&lt;=$B115,12*($B$7-$B$10),-12*($B$6+$B$10)*(1+$B$4)^20))*IF(V115+IF($B$1+20&lt;=$B115,12*($B$7-$B$10),-12*($B$6+$B$10)*(1+$B$4)^20)&gt;0,1+$B$3,1))</f>
        <v/>
      </c>
      <c r="X115">
        <f>IF($B$1+21&gt;90,W115,(W115+IF($B$1+21&lt;=$B115,12*($B$7-$B$10),-12*($B$6+$B$10)*(1+$B$4)^21))*IF(W115+IF($B$1+21&lt;=$B115,12*($B$7-$B$10),-12*($B$6+$B$10)*(1+$B$4)^21)&gt;0,1+$B$3,1))</f>
        <v/>
      </c>
      <c r="Y115">
        <f>IF($B$1+22&gt;90,X115,(X115+IF($B$1+22&lt;=$B115,12*($B$7-$B$10),-12*($B$6+$B$10)*(1+$B$4)^22))*IF(X115+IF($B$1+22&lt;=$B115,12*($B$7-$B$10),-12*($B$6+$B$10)*(1+$B$4)^22)&gt;0,1+$B$3,1))</f>
        <v/>
      </c>
      <c r="Z115">
        <f>IF($B$1+23&gt;90,Y115,(Y115+IF($B$1+23&lt;=$B115,12*($B$7-$B$10),-12*($B$6+$B$10)*(1+$B$4)^23))*IF(Y115+IF($B$1+23&lt;=$B115,12*($B$7-$B$10),-12*($B$6+$B$10)*(1+$B$4)^23)&gt;0,1+$B$3,1))</f>
        <v/>
      </c>
      <c r="AA115">
        <f>IF($B$1+24&gt;90,Z115,(Z115+IF($B$1+24&lt;=$B115,12*($B$7-$B$10),-12*($B$6+$B$10)*(1+$B$4)^24))*IF(Z115+IF($B$1+24&lt;=$B115,12*($B$7-$B$10),-12*($B$6+$B$10)*(1+$B$4)^24)&gt;0,1+$B$3,1))</f>
        <v/>
      </c>
      <c r="AB115">
        <f>IF($B$1+25&gt;90,AA115,(AA115+IF($B$1+25&lt;=$B115,12*($B$7-$B$10),-12*($B$6+$B$10)*(1+$B$4)^25))*IF(AA115+IF($B$1+25&lt;=$B115,12*($B$7-$B$10),-12*($B$6+$B$10)*(1+$B$4)^25)&gt;0,1+$B$3,1))</f>
        <v/>
      </c>
      <c r="AC115">
        <f>IF($B$1+26&gt;90,AB115,(AB115+IF($B$1+26&lt;=$B115,12*($B$7-$B$10),-12*($B$6+$B$10)*(1+$B$4)^26))*IF(AB115+IF($B$1+26&lt;=$B115,12*($B$7-$B$10),-12*($B$6+$B$10)*(1+$B$4)^26)&gt;0,1+$B$3,1))</f>
        <v/>
      </c>
      <c r="AD115">
        <f>IF($B$1+27&gt;90,AC115,(AC115+IF($B$1+27&lt;=$B115,12*($B$7-$B$10),-12*($B$6+$B$10)*(1+$B$4)^27))*IF(AC115+IF($B$1+27&lt;=$B115,12*($B$7-$B$10),-12*($B$6+$B$10)*(1+$B$4)^27)&gt;0,1+$B$3,1))</f>
        <v/>
      </c>
      <c r="AE115">
        <f>IF($B$1+28&gt;90,AD115,(AD115+IF($B$1+28&lt;=$B115,12*($B$7-$B$10),-12*($B$6+$B$10)*(1+$B$4)^28))*IF(AD115+IF($B$1+28&lt;=$B115,12*($B$7-$B$10),-12*($B$6+$B$10)*(1+$B$4)^28)&gt;0,1+$B$3,1))</f>
        <v/>
      </c>
      <c r="AF115">
        <f>IF($B$1+29&gt;90,AE115,(AE115+IF($B$1+29&lt;=$B115,12*($B$7-$B$10),-12*($B$6+$B$10)*(1+$B$4)^29))*IF(AE115+IF($B$1+29&lt;=$B115,12*($B$7-$B$10),-12*($B$6+$B$10)*(1+$B$4)^29)&gt;0,1+$B$3,1))</f>
        <v/>
      </c>
      <c r="AG115">
        <f>IF($B$1+30&gt;90,AF115,(AF115+IF($B$1+30&lt;=$B115,12*($B$7-$B$10),-12*($B$6+$B$10)*(1+$B$4)^30))*IF(AF115+IF($B$1+30&lt;=$B115,12*($B$7-$B$10),-12*($B$6+$B$10)*(1+$B$4)^30)&gt;0,1+$B$3,1))</f>
        <v/>
      </c>
      <c r="AH115">
        <f>IF($B$1+31&gt;90,AG115,(AG115+IF($B$1+31&lt;=$B115,12*($B$7-$B$10),-12*($B$6+$B$10)*(1+$B$4)^31))*IF(AG115+IF($B$1+31&lt;=$B115,12*($B$7-$B$10),-12*($B$6+$B$10)*(1+$B$4)^31)&gt;0,1+$B$3,1))</f>
        <v/>
      </c>
      <c r="AI115">
        <f>IF($B$1+32&gt;90,AH115,(AH115+IF($B$1+32&lt;=$B115,12*($B$7-$B$10),-12*($B$6+$B$10)*(1+$B$4)^32))*IF(AH115+IF($B$1+32&lt;=$B115,12*($B$7-$B$10),-12*($B$6+$B$10)*(1+$B$4)^32)&gt;0,1+$B$3,1))</f>
        <v/>
      </c>
      <c r="AJ115">
        <f>IF($B$1+33&gt;90,AI115,(AI115+IF($B$1+33&lt;=$B115,12*($B$7-$B$10),-12*($B$6+$B$10)*(1+$B$4)^33))*IF(AI115+IF($B$1+33&lt;=$B115,12*($B$7-$B$10),-12*($B$6+$B$10)*(1+$B$4)^33)&gt;0,1+$B$3,1))</f>
        <v/>
      </c>
      <c r="AK115">
        <f>IF($B$1+34&gt;90,AJ115,(AJ115+IF($B$1+34&lt;=$B115,12*($B$7-$B$10),-12*($B$6+$B$10)*(1+$B$4)^34))*IF(AJ115+IF($B$1+34&lt;=$B115,12*($B$7-$B$10),-12*($B$6+$B$10)*(1+$B$4)^34)&gt;0,1+$B$3,1))</f>
        <v/>
      </c>
      <c r="AL115">
        <f>IF($B$1+35&gt;90,AK115,(AK115+IF($B$1+35&lt;=$B115,12*($B$7-$B$10),-12*($B$6+$B$10)*(1+$B$4)^35))*IF(AK115+IF($B$1+35&lt;=$B115,12*($B$7-$B$10),-12*($B$6+$B$10)*(1+$B$4)^35)&gt;0,1+$B$3,1))</f>
        <v/>
      </c>
      <c r="AM115">
        <f>IF($B$1+36&gt;90,AL115,(AL115+IF($B$1+36&lt;=$B115,12*($B$7-$B$10),-12*($B$6+$B$10)*(1+$B$4)^36))*IF(AL115+IF($B$1+36&lt;=$B115,12*($B$7-$B$10),-12*($B$6+$B$10)*(1+$B$4)^36)&gt;0,1+$B$3,1))</f>
        <v/>
      </c>
      <c r="AN115">
        <f>IF($B$1+37&gt;90,AM115,(AM115+IF($B$1+37&lt;=$B115,12*($B$7-$B$10),-12*($B$6+$B$10)*(1+$B$4)^37))*IF(AM115+IF($B$1+37&lt;=$B115,12*($B$7-$B$10),-12*($B$6+$B$10)*(1+$B$4)^37)&gt;0,1+$B$3,1))</f>
        <v/>
      </c>
      <c r="AO115">
        <f>IF($B$1+38&gt;90,AN115,(AN115+IF($B$1+38&lt;=$B115,12*($B$7-$B$10),-12*($B$6+$B$10)*(1+$B$4)^38))*IF(AN115+IF($B$1+38&lt;=$B115,12*($B$7-$B$10),-12*($B$6+$B$10)*(1+$B$4)^38)&gt;0,1+$B$3,1))</f>
        <v/>
      </c>
      <c r="AP115">
        <f>IF($B$1+39&gt;90,AO115,(AO115+IF($B$1+39&lt;=$B115,12*($B$7-$B$10),-12*($B$6+$B$10)*(1+$B$4)^39))*IF(AO115+IF($B$1+39&lt;=$B115,12*($B$7-$B$10),-12*($B$6+$B$10)*(1+$B$4)^39)&gt;0,1+$B$3,1))</f>
        <v/>
      </c>
      <c r="AQ115">
        <f>IF($B$1+40&gt;90,AP115,(AP115+IF($B$1+40&lt;=$B115,12*($B$7-$B$10),-12*($B$6+$B$10)*(1+$B$4)^40))*IF(AP115+IF($B$1+40&lt;=$B115,12*($B$7-$B$10),-12*($B$6+$B$10)*(1+$B$4)^40)&gt;0,1+$B$3,1))</f>
        <v/>
      </c>
      <c r="AR115">
        <f>IF($B$1+41&gt;90,AQ115,(AQ115+IF($B$1+41&lt;=$B115,12*($B$7-$B$10),-12*($B$6+$B$10)*(1+$B$4)^41))*IF(AQ115+IF($B$1+41&lt;=$B115,12*($B$7-$B$10),-12*($B$6+$B$10)*(1+$B$4)^41)&gt;0,1+$B$3,1))</f>
        <v/>
      </c>
      <c r="AS115">
        <f>IF($B$1+42&gt;90,AR115,(AR115+IF($B$1+42&lt;=$B115,12*($B$7-$B$10),-12*($B$6+$B$10)*(1+$B$4)^42))*IF(AR115+IF($B$1+42&lt;=$B115,12*($B$7-$B$10),-12*($B$6+$B$10)*(1+$B$4)^42)&gt;0,1+$B$3,1))</f>
        <v/>
      </c>
      <c r="AT115">
        <f>IF($B$1+43&gt;90,AS115,(AS115+IF($B$1+43&lt;=$B115,12*($B$7-$B$10),-12*($B$6+$B$10)*(1+$B$4)^43))*IF(AS115+IF($B$1+43&lt;=$B115,12*($B$7-$B$10),-12*($B$6+$B$10)*(1+$B$4)^43)&gt;0,1+$B$3,1))</f>
        <v/>
      </c>
      <c r="AU115">
        <f>IF($B$1+44&gt;90,AT115,(AT115+IF($B$1+44&lt;=$B115,12*($B$7-$B$10),-12*($B$6+$B$10)*(1+$B$4)^44))*IF(AT115+IF($B$1+44&lt;=$B115,12*($B$7-$B$10),-12*($B$6+$B$10)*(1+$B$4)^44)&gt;0,1+$B$3,1))</f>
        <v/>
      </c>
      <c r="AV115">
        <f>IF($B$1+45&gt;90,AU115,(AU115+IF($B$1+45&lt;=$B115,12*($B$7-$B$10),-12*($B$6+$B$10)*(1+$B$4)^45))*IF(AU115+IF($B$1+45&lt;=$B115,12*($B$7-$B$10),-12*($B$6+$B$10)*(1+$B$4)^45)&gt;0,1+$B$3,1))</f>
        <v/>
      </c>
      <c r="AW115">
        <f>IF($B$1+46&gt;90,AV115,(AV115+IF($B$1+46&lt;=$B115,12*($B$7-$B$10),-12*($B$6+$B$10)*(1+$B$4)^46))*IF(AV115+IF($B$1+46&lt;=$B115,12*($B$7-$B$10),-12*($B$6+$B$10)*(1+$B$4)^46)&gt;0,1+$B$3,1))</f>
        <v/>
      </c>
      <c r="AX115">
        <f>IF($B$1+47&gt;90,AW115,(AW115+IF($B$1+47&lt;=$B115,12*($B$7-$B$10),-12*($B$6+$B$10)*(1+$B$4)^47))*IF(AW115+IF($B$1+47&lt;=$B115,12*($B$7-$B$10),-12*($B$6+$B$10)*(1+$B$4)^47)&gt;0,1+$B$3,1))</f>
        <v/>
      </c>
      <c r="AY115">
        <f>IF($B$1+48&gt;90,AX115,(AX115+IF($B$1+48&lt;=$B115,12*($B$7-$B$10),-12*($B$6+$B$10)*(1+$B$4)^48))*IF(AX115+IF($B$1+48&lt;=$B115,12*($B$7-$B$10),-12*($B$6+$B$10)*(1+$B$4)^48)&gt;0,1+$B$3,1))</f>
        <v/>
      </c>
      <c r="AZ115">
        <f>IF($B$1+49&gt;90,AY115,(AY115+IF($B$1+49&lt;=$B115,12*($B$7-$B$10),-12*($B$6+$B$10)*(1+$B$4)^49))*IF(AY115+IF($B$1+49&lt;=$B115,12*($B$7-$B$10),-12*($B$6+$B$10)*(1+$B$4)^49)&gt;0,1+$B$3,1))</f>
        <v/>
      </c>
      <c r="BA115">
        <f>IF($B$1+50&gt;90,AZ115,(AZ115+IF($B$1+50&lt;=$B115,12*($B$7-$B$10),-12*($B$6+$B$10)*(1+$B$4)^50))*IF(AZ115+IF($B$1+50&lt;=$B115,12*($B$7-$B$10),-12*($B$6+$B$10)*(1+$B$4)^50)&gt;0,1+$B$3,1))</f>
        <v/>
      </c>
      <c r="BB115">
        <f>IF($B$1+51&gt;90,BA115,(BA115+IF($B$1+51&lt;=$B115,12*($B$7-$B$10),-12*($B$6+$B$10)*(1+$B$4)^51))*IF(BA115+IF($B$1+51&lt;=$B115,12*($B$7-$B$10),-12*($B$6+$B$10)*(1+$B$4)^51)&gt;0,1+$B$3,1))</f>
        <v/>
      </c>
      <c r="BC115">
        <f>IF($B$1+52&gt;90,BB115,(BB115+IF($B$1+52&lt;=$B115,12*($B$7-$B$10),-12*($B$6+$B$10)*(1+$B$4)^52))*IF(BB115+IF($B$1+52&lt;=$B115,12*($B$7-$B$10),-12*($B$6+$B$10)*(1+$B$4)^52)&gt;0,1+$B$3,1))</f>
        <v/>
      </c>
      <c r="BD115">
        <f>IF($B$1+53&gt;90,BC115,(BC115+IF($B$1+53&lt;=$B115,12*($B$7-$B$10),-12*($B$6+$B$10)*(1+$B$4)^53))*IF(BC115+IF($B$1+53&lt;=$B115,12*($B$7-$B$10),-12*($B$6+$B$10)*(1+$B$4)^53)&gt;0,1+$B$3,1))</f>
        <v/>
      </c>
      <c r="BE115">
        <f>IF($B$1+54&gt;90,BD115,(BD115+IF($B$1+54&lt;=$B115,12*($B$7-$B$10),-12*($B$6+$B$10)*(1+$B$4)^54))*IF(BD115+IF($B$1+54&lt;=$B115,12*($B$7-$B$10),-12*($B$6+$B$10)*(1+$B$4)^54)&gt;0,1+$B$3,1))</f>
        <v/>
      </c>
      <c r="BF115">
        <f>IF($B$1+55&gt;90,BE115,(BE115+IF($B$1+55&lt;=$B115,12*($B$7-$B$10),-12*($B$6+$B$10)*(1+$B$4)^55))*IF(BE115+IF($B$1+55&lt;=$B115,12*($B$7-$B$10),-12*($B$6+$B$10)*(1+$B$4)^55)&gt;0,1+$B$3,1))</f>
        <v/>
      </c>
      <c r="BG115">
        <f>IF($B$1+56&gt;90,BF115,(BF115+IF($B$1+56&lt;=$B115,12*($B$7-$B$10),-12*($B$6+$B$10)*(1+$B$4)^56))*IF(BF115+IF($B$1+56&lt;=$B115,12*($B$7-$B$10),-12*($B$6+$B$10)*(1+$B$4)^56)&gt;0,1+$B$3,1))</f>
        <v/>
      </c>
      <c r="BH115">
        <f>IF($B$1+57&gt;90,BG115,(BG115+IF($B$1+57&lt;=$B115,12*($B$7-$B$10),-12*($B$6+$B$10)*(1+$B$4)^57))*IF(BG115+IF($B$1+57&lt;=$B115,12*($B$7-$B$10),-12*($B$6+$B$10)*(1+$B$4)^57)&gt;0,1+$B$3,1))</f>
        <v/>
      </c>
      <c r="BI115">
        <f>IF($B$1+58&gt;90,BH115,(BH115+IF($B$1+58&lt;=$B115,12*($B$7-$B$10),-12*($B$6+$B$10)*(1+$B$4)^58))*IF(BH115+IF($B$1+58&lt;=$B115,12*($B$7-$B$10),-12*($B$6+$B$10)*(1+$B$4)^58)&gt;0,1+$B$3,1))</f>
        <v/>
      </c>
      <c r="BJ115">
        <f>IF($B$1+59&gt;90,BI115,(BI115+IF($B$1+59&lt;=$B115,12*($B$7-$B$10),-12*($B$6+$B$10)*(1+$B$4)^59))*IF(BI115+IF($B$1+59&lt;=$B115,12*($B$7-$B$10),-12*($B$6+$B$10)*(1+$B$4)^59)&gt;0,1+$B$3,1))</f>
        <v/>
      </c>
      <c r="BK115">
        <f>IF($B$1+60&gt;90,BJ115,(BJ115+IF($B$1+60&lt;=$B115,12*($B$7-$B$10),-12*($B$6+$B$10)*(1+$B$4)^60))*IF(BJ115+IF($B$1+60&lt;=$B115,12*($B$7-$B$10),-12*($B$6+$B$10)*(1+$B$4)^60)&gt;0,1+$B$3,1))</f>
        <v/>
      </c>
      <c r="BL115">
        <f>IF($B$1+61&gt;90,BK115,(BK115+IF($B$1+61&lt;=$B115,12*($B$7-$B$10),-12*($B$6+$B$10)*(1+$B$4)^61))*IF(BK115+IF($B$1+61&lt;=$B115,12*($B$7-$B$10),-12*($B$6+$B$10)*(1+$B$4)^61)&gt;0,1+$B$3,1))</f>
        <v/>
      </c>
      <c r="BM115">
        <f>IF($B$1+62&gt;90,BL115,(BL115+IF($B$1+62&lt;=$B115,12*($B$7-$B$10),-12*($B$6+$B$10)*(1+$B$4)^62))*IF(BL115+IF($B$1+62&lt;=$B115,12*($B$7-$B$10),-12*($B$6+$B$10)*(1+$B$4)^62)&gt;0,1+$B$3,1))</f>
        <v/>
      </c>
      <c r="BN115">
        <f>IF($B$1+63&gt;90,BM115,(BM115+IF($B$1+63&lt;=$B115,12*($B$7-$B$10),-12*($B$6+$B$10)*(1+$B$4)^63))*IF(BM115+IF($B$1+63&lt;=$B115,12*($B$7-$B$10),-12*($B$6+$B$10)*(1+$B$4)^63)&gt;0,1+$B$3,1))</f>
        <v/>
      </c>
      <c r="BO115">
        <f>IF($B$1+64&gt;90,BN115,(BN115+IF($B$1+64&lt;=$B115,12*($B$7-$B$10),-12*($B$6+$B$10)*(1+$B$4)^64))*IF(BN115+IF($B$1+64&lt;=$B115,12*($B$7-$B$10),-12*($B$6+$B$10)*(1+$B$4)^64)&gt;0,1+$B$3,1))</f>
        <v/>
      </c>
      <c r="BP115">
        <f>IF($B$1+65&gt;90,BO115,(BO115+IF($B$1+65&lt;=$B115,12*($B$7-$B$10),-12*($B$6+$B$10)*(1+$B$4)^65))*IF(BO115+IF($B$1+65&lt;=$B115,12*($B$7-$B$10),-12*($B$6+$B$10)*(1+$B$4)^65)&gt;0,1+$B$3,1))</f>
        <v/>
      </c>
      <c r="BQ115">
        <f>IF($B$1+66&gt;90,BP115,(BP115+IF($B$1+66&lt;=$B115,12*($B$7-$B$10),-12*($B$6+$B$10)*(1+$B$4)^66))*IF(BP115+IF($B$1+66&lt;=$B115,12*($B$7-$B$10),-12*($B$6+$B$10)*(1+$B$4)^66)&gt;0,1+$B$3,1))</f>
        <v/>
      </c>
      <c r="BR115">
        <f>IF($B$1+67&gt;90,BQ115,(BQ115+IF($B$1+67&lt;=$B115,12*($B$7-$B$10),-12*($B$6+$B$10)*(1+$B$4)^67))*IF(BQ115+IF($B$1+67&lt;=$B115,12*($B$7-$B$10),-12*($B$6+$B$10)*(1+$B$4)^67)&gt;0,1+$B$3,1))</f>
        <v/>
      </c>
      <c r="BS115">
        <f>IF($B$1+68&gt;90,BR115,(BR115+IF($B$1+68&lt;=$B115,12*($B$7-$B$10),-12*($B$6+$B$10)*(1+$B$4)^68))*IF(BR115+IF($B$1+68&lt;=$B115,12*($B$7-$B$10),-12*($B$6+$B$10)*(1+$B$4)^68)&gt;0,1+$B$3,1))</f>
        <v/>
      </c>
      <c r="BT115">
        <f>IF($B$1+69&gt;90,BS115,(BS115+IF($B$1+69&lt;=$B115,12*($B$7-$B$10),-12*($B$6+$B$10)*(1+$B$4)^69))*IF(BS115+IF($B$1+69&lt;=$B115,12*($B$7-$B$10),-12*($B$6+$B$10)*(1+$B$4)^69)&gt;0,1+$B$3,1))</f>
        <v/>
      </c>
      <c r="BU115">
        <f>IF($B$1+70&gt;90,BT115,(BT115+IF($B$1+70&lt;=$B115,12*($B$7-$B$10),-12*($B$6+$B$10)*(1+$B$4)^70))*IF(BT115+IF($B$1+70&lt;=$B115,12*($B$7-$B$10),-12*($B$6+$B$10)*(1+$B$4)^70)&gt;0,1+$B$3,1))</f>
        <v/>
      </c>
      <c r="BV115">
        <f>BU115</f>
        <v/>
      </c>
      <c r="BW115">
        <f>IF(AND($B115&lt;=70,BV115&gt;0),$B115,999)</f>
        <v/>
      </c>
    </row>
    <row r="116">
      <c r="A116" t="n">
        <v>20</v>
      </c>
      <c r="B116">
        <f>$B$1+20</f>
        <v/>
      </c>
      <c r="C116">
        <f>$B$2</f>
        <v/>
      </c>
      <c r="D116">
        <f>IF($B$1+1&gt;90,C116,(C116+IF($B$1+1&lt;=$B116,12*($B$7-$B$10),-12*($B$6+$B$10)*(1+$B$4)^1))*IF(C116+IF($B$1+1&lt;=$B116,12*($B$7-$B$10),-12*($B$6+$B$10)*(1+$B$4)^1)&gt;0,1+$B$3,1))</f>
        <v/>
      </c>
      <c r="E116">
        <f>IF($B$1+2&gt;90,D116,(D116+IF($B$1+2&lt;=$B116,12*($B$7-$B$10),-12*($B$6+$B$10)*(1+$B$4)^2))*IF(D116+IF($B$1+2&lt;=$B116,12*($B$7-$B$10),-12*($B$6+$B$10)*(1+$B$4)^2)&gt;0,1+$B$3,1))</f>
        <v/>
      </c>
      <c r="F116">
        <f>IF($B$1+3&gt;90,E116,(E116+IF($B$1+3&lt;=$B116,12*($B$7-$B$10),-12*($B$6+$B$10)*(1+$B$4)^3))*IF(E116+IF($B$1+3&lt;=$B116,12*($B$7-$B$10),-12*($B$6+$B$10)*(1+$B$4)^3)&gt;0,1+$B$3,1))</f>
        <v/>
      </c>
      <c r="G116">
        <f>IF($B$1+4&gt;90,F116,(F116+IF($B$1+4&lt;=$B116,12*($B$7-$B$10),-12*($B$6+$B$10)*(1+$B$4)^4))*IF(F116+IF($B$1+4&lt;=$B116,12*($B$7-$B$10),-12*($B$6+$B$10)*(1+$B$4)^4)&gt;0,1+$B$3,1))</f>
        <v/>
      </c>
      <c r="H116">
        <f>IF($B$1+5&gt;90,G116,(G116+IF($B$1+5&lt;=$B116,12*($B$7-$B$10),-12*($B$6+$B$10)*(1+$B$4)^5))*IF(G116+IF($B$1+5&lt;=$B116,12*($B$7-$B$10),-12*($B$6+$B$10)*(1+$B$4)^5)&gt;0,1+$B$3,1))</f>
        <v/>
      </c>
      <c r="I116">
        <f>IF($B$1+6&gt;90,H116,(H116+IF($B$1+6&lt;=$B116,12*($B$7-$B$10),-12*($B$6+$B$10)*(1+$B$4)^6))*IF(H116+IF($B$1+6&lt;=$B116,12*($B$7-$B$10),-12*($B$6+$B$10)*(1+$B$4)^6)&gt;0,1+$B$3,1))</f>
        <v/>
      </c>
      <c r="J116">
        <f>IF($B$1+7&gt;90,I116,(I116+IF($B$1+7&lt;=$B116,12*($B$7-$B$10),-12*($B$6+$B$10)*(1+$B$4)^7))*IF(I116+IF($B$1+7&lt;=$B116,12*($B$7-$B$10),-12*($B$6+$B$10)*(1+$B$4)^7)&gt;0,1+$B$3,1))</f>
        <v/>
      </c>
      <c r="K116">
        <f>IF($B$1+8&gt;90,J116,(J116+IF($B$1+8&lt;=$B116,12*($B$7-$B$10),-12*($B$6+$B$10)*(1+$B$4)^8))*IF(J116+IF($B$1+8&lt;=$B116,12*($B$7-$B$10),-12*($B$6+$B$10)*(1+$B$4)^8)&gt;0,1+$B$3,1))</f>
        <v/>
      </c>
      <c r="L116">
        <f>IF($B$1+9&gt;90,K116,(K116+IF($B$1+9&lt;=$B116,12*($B$7-$B$10),-12*($B$6+$B$10)*(1+$B$4)^9))*IF(K116+IF($B$1+9&lt;=$B116,12*($B$7-$B$10),-12*($B$6+$B$10)*(1+$B$4)^9)&gt;0,1+$B$3,1))</f>
        <v/>
      </c>
      <c r="M116">
        <f>IF($B$1+10&gt;90,L116,(L116+IF($B$1+10&lt;=$B116,12*($B$7-$B$10),-12*($B$6+$B$10)*(1+$B$4)^10))*IF(L116+IF($B$1+10&lt;=$B116,12*($B$7-$B$10),-12*($B$6+$B$10)*(1+$B$4)^10)&gt;0,1+$B$3,1))</f>
        <v/>
      </c>
      <c r="N116">
        <f>IF($B$1+11&gt;90,M116,(M116+IF($B$1+11&lt;=$B116,12*($B$7-$B$10),-12*($B$6+$B$10)*(1+$B$4)^11))*IF(M116+IF($B$1+11&lt;=$B116,12*($B$7-$B$10),-12*($B$6+$B$10)*(1+$B$4)^11)&gt;0,1+$B$3,1))</f>
        <v/>
      </c>
      <c r="O116">
        <f>IF($B$1+12&gt;90,N116,(N116+IF($B$1+12&lt;=$B116,12*($B$7-$B$10),-12*($B$6+$B$10)*(1+$B$4)^12))*IF(N116+IF($B$1+12&lt;=$B116,12*($B$7-$B$10),-12*($B$6+$B$10)*(1+$B$4)^12)&gt;0,1+$B$3,1))</f>
        <v/>
      </c>
      <c r="P116">
        <f>IF($B$1+13&gt;90,O116,(O116+IF($B$1+13&lt;=$B116,12*($B$7-$B$10),-12*($B$6+$B$10)*(1+$B$4)^13))*IF(O116+IF($B$1+13&lt;=$B116,12*($B$7-$B$10),-12*($B$6+$B$10)*(1+$B$4)^13)&gt;0,1+$B$3,1))</f>
        <v/>
      </c>
      <c r="Q116">
        <f>IF($B$1+14&gt;90,P116,(P116+IF($B$1+14&lt;=$B116,12*($B$7-$B$10),-12*($B$6+$B$10)*(1+$B$4)^14))*IF(P116+IF($B$1+14&lt;=$B116,12*($B$7-$B$10),-12*($B$6+$B$10)*(1+$B$4)^14)&gt;0,1+$B$3,1))</f>
        <v/>
      </c>
      <c r="R116">
        <f>IF($B$1+15&gt;90,Q116,(Q116+IF($B$1+15&lt;=$B116,12*($B$7-$B$10),-12*($B$6+$B$10)*(1+$B$4)^15))*IF(Q116+IF($B$1+15&lt;=$B116,12*($B$7-$B$10),-12*($B$6+$B$10)*(1+$B$4)^15)&gt;0,1+$B$3,1))</f>
        <v/>
      </c>
      <c r="S116">
        <f>IF($B$1+16&gt;90,R116,(R116+IF($B$1+16&lt;=$B116,12*($B$7-$B$10),-12*($B$6+$B$10)*(1+$B$4)^16))*IF(R116+IF($B$1+16&lt;=$B116,12*($B$7-$B$10),-12*($B$6+$B$10)*(1+$B$4)^16)&gt;0,1+$B$3,1))</f>
        <v/>
      </c>
      <c r="T116">
        <f>IF($B$1+17&gt;90,S116,(S116+IF($B$1+17&lt;=$B116,12*($B$7-$B$10),-12*($B$6+$B$10)*(1+$B$4)^17))*IF(S116+IF($B$1+17&lt;=$B116,12*($B$7-$B$10),-12*($B$6+$B$10)*(1+$B$4)^17)&gt;0,1+$B$3,1))</f>
        <v/>
      </c>
      <c r="U116">
        <f>IF($B$1+18&gt;90,T116,(T116+IF($B$1+18&lt;=$B116,12*($B$7-$B$10),-12*($B$6+$B$10)*(1+$B$4)^18))*IF(T116+IF($B$1+18&lt;=$B116,12*($B$7-$B$10),-12*($B$6+$B$10)*(1+$B$4)^18)&gt;0,1+$B$3,1))</f>
        <v/>
      </c>
      <c r="V116">
        <f>IF($B$1+19&gt;90,U116,(U116+IF($B$1+19&lt;=$B116,12*($B$7-$B$10),-12*($B$6+$B$10)*(1+$B$4)^19))*IF(U116+IF($B$1+19&lt;=$B116,12*($B$7-$B$10),-12*($B$6+$B$10)*(1+$B$4)^19)&gt;0,1+$B$3,1))</f>
        <v/>
      </c>
      <c r="W116">
        <f>IF($B$1+20&gt;90,V116,(V116+IF($B$1+20&lt;=$B116,12*($B$7-$B$10),-12*($B$6+$B$10)*(1+$B$4)^20))*IF(V116+IF($B$1+20&lt;=$B116,12*($B$7-$B$10),-12*($B$6+$B$10)*(1+$B$4)^20)&gt;0,1+$B$3,1))</f>
        <v/>
      </c>
      <c r="X116">
        <f>IF($B$1+21&gt;90,W116,(W116+IF($B$1+21&lt;=$B116,12*($B$7-$B$10),-12*($B$6+$B$10)*(1+$B$4)^21))*IF(W116+IF($B$1+21&lt;=$B116,12*($B$7-$B$10),-12*($B$6+$B$10)*(1+$B$4)^21)&gt;0,1+$B$3,1))</f>
        <v/>
      </c>
      <c r="Y116">
        <f>IF($B$1+22&gt;90,X116,(X116+IF($B$1+22&lt;=$B116,12*($B$7-$B$10),-12*($B$6+$B$10)*(1+$B$4)^22))*IF(X116+IF($B$1+22&lt;=$B116,12*($B$7-$B$10),-12*($B$6+$B$10)*(1+$B$4)^22)&gt;0,1+$B$3,1))</f>
        <v/>
      </c>
      <c r="Z116">
        <f>IF($B$1+23&gt;90,Y116,(Y116+IF($B$1+23&lt;=$B116,12*($B$7-$B$10),-12*($B$6+$B$10)*(1+$B$4)^23))*IF(Y116+IF($B$1+23&lt;=$B116,12*($B$7-$B$10),-12*($B$6+$B$10)*(1+$B$4)^23)&gt;0,1+$B$3,1))</f>
        <v/>
      </c>
      <c r="AA116">
        <f>IF($B$1+24&gt;90,Z116,(Z116+IF($B$1+24&lt;=$B116,12*($B$7-$B$10),-12*($B$6+$B$10)*(1+$B$4)^24))*IF(Z116+IF($B$1+24&lt;=$B116,12*($B$7-$B$10),-12*($B$6+$B$10)*(1+$B$4)^24)&gt;0,1+$B$3,1))</f>
        <v/>
      </c>
      <c r="AB116">
        <f>IF($B$1+25&gt;90,AA116,(AA116+IF($B$1+25&lt;=$B116,12*($B$7-$B$10),-12*($B$6+$B$10)*(1+$B$4)^25))*IF(AA116+IF($B$1+25&lt;=$B116,12*($B$7-$B$10),-12*($B$6+$B$10)*(1+$B$4)^25)&gt;0,1+$B$3,1))</f>
        <v/>
      </c>
      <c r="AC116">
        <f>IF($B$1+26&gt;90,AB116,(AB116+IF($B$1+26&lt;=$B116,12*($B$7-$B$10),-12*($B$6+$B$10)*(1+$B$4)^26))*IF(AB116+IF($B$1+26&lt;=$B116,12*($B$7-$B$10),-12*($B$6+$B$10)*(1+$B$4)^26)&gt;0,1+$B$3,1))</f>
        <v/>
      </c>
      <c r="AD116">
        <f>IF($B$1+27&gt;90,AC116,(AC116+IF($B$1+27&lt;=$B116,12*($B$7-$B$10),-12*($B$6+$B$10)*(1+$B$4)^27))*IF(AC116+IF($B$1+27&lt;=$B116,12*($B$7-$B$10),-12*($B$6+$B$10)*(1+$B$4)^27)&gt;0,1+$B$3,1))</f>
        <v/>
      </c>
      <c r="AE116">
        <f>IF($B$1+28&gt;90,AD116,(AD116+IF($B$1+28&lt;=$B116,12*($B$7-$B$10),-12*($B$6+$B$10)*(1+$B$4)^28))*IF(AD116+IF($B$1+28&lt;=$B116,12*($B$7-$B$10),-12*($B$6+$B$10)*(1+$B$4)^28)&gt;0,1+$B$3,1))</f>
        <v/>
      </c>
      <c r="AF116">
        <f>IF($B$1+29&gt;90,AE116,(AE116+IF($B$1+29&lt;=$B116,12*($B$7-$B$10),-12*($B$6+$B$10)*(1+$B$4)^29))*IF(AE116+IF($B$1+29&lt;=$B116,12*($B$7-$B$10),-12*($B$6+$B$10)*(1+$B$4)^29)&gt;0,1+$B$3,1))</f>
        <v/>
      </c>
      <c r="AG116">
        <f>IF($B$1+30&gt;90,AF116,(AF116+IF($B$1+30&lt;=$B116,12*($B$7-$B$10),-12*($B$6+$B$10)*(1+$B$4)^30))*IF(AF116+IF($B$1+30&lt;=$B116,12*($B$7-$B$10),-12*($B$6+$B$10)*(1+$B$4)^30)&gt;0,1+$B$3,1))</f>
        <v/>
      </c>
      <c r="AH116">
        <f>IF($B$1+31&gt;90,AG116,(AG116+IF($B$1+31&lt;=$B116,12*($B$7-$B$10),-12*($B$6+$B$10)*(1+$B$4)^31))*IF(AG116+IF($B$1+31&lt;=$B116,12*($B$7-$B$10),-12*($B$6+$B$10)*(1+$B$4)^31)&gt;0,1+$B$3,1))</f>
        <v/>
      </c>
      <c r="AI116">
        <f>IF($B$1+32&gt;90,AH116,(AH116+IF($B$1+32&lt;=$B116,12*($B$7-$B$10),-12*($B$6+$B$10)*(1+$B$4)^32))*IF(AH116+IF($B$1+32&lt;=$B116,12*($B$7-$B$10),-12*($B$6+$B$10)*(1+$B$4)^32)&gt;0,1+$B$3,1))</f>
        <v/>
      </c>
      <c r="AJ116">
        <f>IF($B$1+33&gt;90,AI116,(AI116+IF($B$1+33&lt;=$B116,12*($B$7-$B$10),-12*($B$6+$B$10)*(1+$B$4)^33))*IF(AI116+IF($B$1+33&lt;=$B116,12*($B$7-$B$10),-12*($B$6+$B$10)*(1+$B$4)^33)&gt;0,1+$B$3,1))</f>
        <v/>
      </c>
      <c r="AK116">
        <f>IF($B$1+34&gt;90,AJ116,(AJ116+IF($B$1+34&lt;=$B116,12*($B$7-$B$10),-12*($B$6+$B$10)*(1+$B$4)^34))*IF(AJ116+IF($B$1+34&lt;=$B116,12*($B$7-$B$10),-12*($B$6+$B$10)*(1+$B$4)^34)&gt;0,1+$B$3,1))</f>
        <v/>
      </c>
      <c r="AL116">
        <f>IF($B$1+35&gt;90,AK116,(AK116+IF($B$1+35&lt;=$B116,12*($B$7-$B$10),-12*($B$6+$B$10)*(1+$B$4)^35))*IF(AK116+IF($B$1+35&lt;=$B116,12*($B$7-$B$10),-12*($B$6+$B$10)*(1+$B$4)^35)&gt;0,1+$B$3,1))</f>
        <v/>
      </c>
      <c r="AM116">
        <f>IF($B$1+36&gt;90,AL116,(AL116+IF($B$1+36&lt;=$B116,12*($B$7-$B$10),-12*($B$6+$B$10)*(1+$B$4)^36))*IF(AL116+IF($B$1+36&lt;=$B116,12*($B$7-$B$10),-12*($B$6+$B$10)*(1+$B$4)^36)&gt;0,1+$B$3,1))</f>
        <v/>
      </c>
      <c r="AN116">
        <f>IF($B$1+37&gt;90,AM116,(AM116+IF($B$1+37&lt;=$B116,12*($B$7-$B$10),-12*($B$6+$B$10)*(1+$B$4)^37))*IF(AM116+IF($B$1+37&lt;=$B116,12*($B$7-$B$10),-12*($B$6+$B$10)*(1+$B$4)^37)&gt;0,1+$B$3,1))</f>
        <v/>
      </c>
      <c r="AO116">
        <f>IF($B$1+38&gt;90,AN116,(AN116+IF($B$1+38&lt;=$B116,12*($B$7-$B$10),-12*($B$6+$B$10)*(1+$B$4)^38))*IF(AN116+IF($B$1+38&lt;=$B116,12*($B$7-$B$10),-12*($B$6+$B$10)*(1+$B$4)^38)&gt;0,1+$B$3,1))</f>
        <v/>
      </c>
      <c r="AP116">
        <f>IF($B$1+39&gt;90,AO116,(AO116+IF($B$1+39&lt;=$B116,12*($B$7-$B$10),-12*($B$6+$B$10)*(1+$B$4)^39))*IF(AO116+IF($B$1+39&lt;=$B116,12*($B$7-$B$10),-12*($B$6+$B$10)*(1+$B$4)^39)&gt;0,1+$B$3,1))</f>
        <v/>
      </c>
      <c r="AQ116">
        <f>IF($B$1+40&gt;90,AP116,(AP116+IF($B$1+40&lt;=$B116,12*($B$7-$B$10),-12*($B$6+$B$10)*(1+$B$4)^40))*IF(AP116+IF($B$1+40&lt;=$B116,12*($B$7-$B$10),-12*($B$6+$B$10)*(1+$B$4)^40)&gt;0,1+$B$3,1))</f>
        <v/>
      </c>
      <c r="AR116">
        <f>IF($B$1+41&gt;90,AQ116,(AQ116+IF($B$1+41&lt;=$B116,12*($B$7-$B$10),-12*($B$6+$B$10)*(1+$B$4)^41))*IF(AQ116+IF($B$1+41&lt;=$B116,12*($B$7-$B$10),-12*($B$6+$B$10)*(1+$B$4)^41)&gt;0,1+$B$3,1))</f>
        <v/>
      </c>
      <c r="AS116">
        <f>IF($B$1+42&gt;90,AR116,(AR116+IF($B$1+42&lt;=$B116,12*($B$7-$B$10),-12*($B$6+$B$10)*(1+$B$4)^42))*IF(AR116+IF($B$1+42&lt;=$B116,12*($B$7-$B$10),-12*($B$6+$B$10)*(1+$B$4)^42)&gt;0,1+$B$3,1))</f>
        <v/>
      </c>
      <c r="AT116">
        <f>IF($B$1+43&gt;90,AS116,(AS116+IF($B$1+43&lt;=$B116,12*($B$7-$B$10),-12*($B$6+$B$10)*(1+$B$4)^43))*IF(AS116+IF($B$1+43&lt;=$B116,12*($B$7-$B$10),-12*($B$6+$B$10)*(1+$B$4)^43)&gt;0,1+$B$3,1))</f>
        <v/>
      </c>
      <c r="AU116">
        <f>IF($B$1+44&gt;90,AT116,(AT116+IF($B$1+44&lt;=$B116,12*($B$7-$B$10),-12*($B$6+$B$10)*(1+$B$4)^44))*IF(AT116+IF($B$1+44&lt;=$B116,12*($B$7-$B$10),-12*($B$6+$B$10)*(1+$B$4)^44)&gt;0,1+$B$3,1))</f>
        <v/>
      </c>
      <c r="AV116">
        <f>IF($B$1+45&gt;90,AU116,(AU116+IF($B$1+45&lt;=$B116,12*($B$7-$B$10),-12*($B$6+$B$10)*(1+$B$4)^45))*IF(AU116+IF($B$1+45&lt;=$B116,12*($B$7-$B$10),-12*($B$6+$B$10)*(1+$B$4)^45)&gt;0,1+$B$3,1))</f>
        <v/>
      </c>
      <c r="AW116">
        <f>IF($B$1+46&gt;90,AV116,(AV116+IF($B$1+46&lt;=$B116,12*($B$7-$B$10),-12*($B$6+$B$10)*(1+$B$4)^46))*IF(AV116+IF($B$1+46&lt;=$B116,12*($B$7-$B$10),-12*($B$6+$B$10)*(1+$B$4)^46)&gt;0,1+$B$3,1))</f>
        <v/>
      </c>
      <c r="AX116">
        <f>IF($B$1+47&gt;90,AW116,(AW116+IF($B$1+47&lt;=$B116,12*($B$7-$B$10),-12*($B$6+$B$10)*(1+$B$4)^47))*IF(AW116+IF($B$1+47&lt;=$B116,12*($B$7-$B$10),-12*($B$6+$B$10)*(1+$B$4)^47)&gt;0,1+$B$3,1))</f>
        <v/>
      </c>
      <c r="AY116">
        <f>IF($B$1+48&gt;90,AX116,(AX116+IF($B$1+48&lt;=$B116,12*($B$7-$B$10),-12*($B$6+$B$10)*(1+$B$4)^48))*IF(AX116+IF($B$1+48&lt;=$B116,12*($B$7-$B$10),-12*($B$6+$B$10)*(1+$B$4)^48)&gt;0,1+$B$3,1))</f>
        <v/>
      </c>
      <c r="AZ116">
        <f>IF($B$1+49&gt;90,AY116,(AY116+IF($B$1+49&lt;=$B116,12*($B$7-$B$10),-12*($B$6+$B$10)*(1+$B$4)^49))*IF(AY116+IF($B$1+49&lt;=$B116,12*($B$7-$B$10),-12*($B$6+$B$10)*(1+$B$4)^49)&gt;0,1+$B$3,1))</f>
        <v/>
      </c>
      <c r="BA116">
        <f>IF($B$1+50&gt;90,AZ116,(AZ116+IF($B$1+50&lt;=$B116,12*($B$7-$B$10),-12*($B$6+$B$10)*(1+$B$4)^50))*IF(AZ116+IF($B$1+50&lt;=$B116,12*($B$7-$B$10),-12*($B$6+$B$10)*(1+$B$4)^50)&gt;0,1+$B$3,1))</f>
        <v/>
      </c>
      <c r="BB116">
        <f>IF($B$1+51&gt;90,BA116,(BA116+IF($B$1+51&lt;=$B116,12*($B$7-$B$10),-12*($B$6+$B$10)*(1+$B$4)^51))*IF(BA116+IF($B$1+51&lt;=$B116,12*($B$7-$B$10),-12*($B$6+$B$10)*(1+$B$4)^51)&gt;0,1+$B$3,1))</f>
        <v/>
      </c>
      <c r="BC116">
        <f>IF($B$1+52&gt;90,BB116,(BB116+IF($B$1+52&lt;=$B116,12*($B$7-$B$10),-12*($B$6+$B$10)*(1+$B$4)^52))*IF(BB116+IF($B$1+52&lt;=$B116,12*($B$7-$B$10),-12*($B$6+$B$10)*(1+$B$4)^52)&gt;0,1+$B$3,1))</f>
        <v/>
      </c>
      <c r="BD116">
        <f>IF($B$1+53&gt;90,BC116,(BC116+IF($B$1+53&lt;=$B116,12*($B$7-$B$10),-12*($B$6+$B$10)*(1+$B$4)^53))*IF(BC116+IF($B$1+53&lt;=$B116,12*($B$7-$B$10),-12*($B$6+$B$10)*(1+$B$4)^53)&gt;0,1+$B$3,1))</f>
        <v/>
      </c>
      <c r="BE116">
        <f>IF($B$1+54&gt;90,BD116,(BD116+IF($B$1+54&lt;=$B116,12*($B$7-$B$10),-12*($B$6+$B$10)*(1+$B$4)^54))*IF(BD116+IF($B$1+54&lt;=$B116,12*($B$7-$B$10),-12*($B$6+$B$10)*(1+$B$4)^54)&gt;0,1+$B$3,1))</f>
        <v/>
      </c>
      <c r="BF116">
        <f>IF($B$1+55&gt;90,BE116,(BE116+IF($B$1+55&lt;=$B116,12*($B$7-$B$10),-12*($B$6+$B$10)*(1+$B$4)^55))*IF(BE116+IF($B$1+55&lt;=$B116,12*($B$7-$B$10),-12*($B$6+$B$10)*(1+$B$4)^55)&gt;0,1+$B$3,1))</f>
        <v/>
      </c>
      <c r="BG116">
        <f>IF($B$1+56&gt;90,BF116,(BF116+IF($B$1+56&lt;=$B116,12*($B$7-$B$10),-12*($B$6+$B$10)*(1+$B$4)^56))*IF(BF116+IF($B$1+56&lt;=$B116,12*($B$7-$B$10),-12*($B$6+$B$10)*(1+$B$4)^56)&gt;0,1+$B$3,1))</f>
        <v/>
      </c>
      <c r="BH116">
        <f>IF($B$1+57&gt;90,BG116,(BG116+IF($B$1+57&lt;=$B116,12*($B$7-$B$10),-12*($B$6+$B$10)*(1+$B$4)^57))*IF(BG116+IF($B$1+57&lt;=$B116,12*($B$7-$B$10),-12*($B$6+$B$10)*(1+$B$4)^57)&gt;0,1+$B$3,1))</f>
        <v/>
      </c>
      <c r="BI116">
        <f>IF($B$1+58&gt;90,BH116,(BH116+IF($B$1+58&lt;=$B116,12*($B$7-$B$10),-12*($B$6+$B$10)*(1+$B$4)^58))*IF(BH116+IF($B$1+58&lt;=$B116,12*($B$7-$B$10),-12*($B$6+$B$10)*(1+$B$4)^58)&gt;0,1+$B$3,1))</f>
        <v/>
      </c>
      <c r="BJ116">
        <f>IF($B$1+59&gt;90,BI116,(BI116+IF($B$1+59&lt;=$B116,12*($B$7-$B$10),-12*($B$6+$B$10)*(1+$B$4)^59))*IF(BI116+IF($B$1+59&lt;=$B116,12*($B$7-$B$10),-12*($B$6+$B$10)*(1+$B$4)^59)&gt;0,1+$B$3,1))</f>
        <v/>
      </c>
      <c r="BK116">
        <f>IF($B$1+60&gt;90,BJ116,(BJ116+IF($B$1+60&lt;=$B116,12*($B$7-$B$10),-12*($B$6+$B$10)*(1+$B$4)^60))*IF(BJ116+IF($B$1+60&lt;=$B116,12*($B$7-$B$10),-12*($B$6+$B$10)*(1+$B$4)^60)&gt;0,1+$B$3,1))</f>
        <v/>
      </c>
      <c r="BL116">
        <f>IF($B$1+61&gt;90,BK116,(BK116+IF($B$1+61&lt;=$B116,12*($B$7-$B$10),-12*($B$6+$B$10)*(1+$B$4)^61))*IF(BK116+IF($B$1+61&lt;=$B116,12*($B$7-$B$10),-12*($B$6+$B$10)*(1+$B$4)^61)&gt;0,1+$B$3,1))</f>
        <v/>
      </c>
      <c r="BM116">
        <f>IF($B$1+62&gt;90,BL116,(BL116+IF($B$1+62&lt;=$B116,12*($B$7-$B$10),-12*($B$6+$B$10)*(1+$B$4)^62))*IF(BL116+IF($B$1+62&lt;=$B116,12*($B$7-$B$10),-12*($B$6+$B$10)*(1+$B$4)^62)&gt;0,1+$B$3,1))</f>
        <v/>
      </c>
      <c r="BN116">
        <f>IF($B$1+63&gt;90,BM116,(BM116+IF($B$1+63&lt;=$B116,12*($B$7-$B$10),-12*($B$6+$B$10)*(1+$B$4)^63))*IF(BM116+IF($B$1+63&lt;=$B116,12*($B$7-$B$10),-12*($B$6+$B$10)*(1+$B$4)^63)&gt;0,1+$B$3,1))</f>
        <v/>
      </c>
      <c r="BO116">
        <f>IF($B$1+64&gt;90,BN116,(BN116+IF($B$1+64&lt;=$B116,12*($B$7-$B$10),-12*($B$6+$B$10)*(1+$B$4)^64))*IF(BN116+IF($B$1+64&lt;=$B116,12*($B$7-$B$10),-12*($B$6+$B$10)*(1+$B$4)^64)&gt;0,1+$B$3,1))</f>
        <v/>
      </c>
      <c r="BP116">
        <f>IF($B$1+65&gt;90,BO116,(BO116+IF($B$1+65&lt;=$B116,12*($B$7-$B$10),-12*($B$6+$B$10)*(1+$B$4)^65))*IF(BO116+IF($B$1+65&lt;=$B116,12*($B$7-$B$10),-12*($B$6+$B$10)*(1+$B$4)^65)&gt;0,1+$B$3,1))</f>
        <v/>
      </c>
      <c r="BQ116">
        <f>IF($B$1+66&gt;90,BP116,(BP116+IF($B$1+66&lt;=$B116,12*($B$7-$B$10),-12*($B$6+$B$10)*(1+$B$4)^66))*IF(BP116+IF($B$1+66&lt;=$B116,12*($B$7-$B$10),-12*($B$6+$B$10)*(1+$B$4)^66)&gt;0,1+$B$3,1))</f>
        <v/>
      </c>
      <c r="BR116">
        <f>IF($B$1+67&gt;90,BQ116,(BQ116+IF($B$1+67&lt;=$B116,12*($B$7-$B$10),-12*($B$6+$B$10)*(1+$B$4)^67))*IF(BQ116+IF($B$1+67&lt;=$B116,12*($B$7-$B$10),-12*($B$6+$B$10)*(1+$B$4)^67)&gt;0,1+$B$3,1))</f>
        <v/>
      </c>
      <c r="BS116">
        <f>IF($B$1+68&gt;90,BR116,(BR116+IF($B$1+68&lt;=$B116,12*($B$7-$B$10),-12*($B$6+$B$10)*(1+$B$4)^68))*IF(BR116+IF($B$1+68&lt;=$B116,12*($B$7-$B$10),-12*($B$6+$B$10)*(1+$B$4)^68)&gt;0,1+$B$3,1))</f>
        <v/>
      </c>
      <c r="BT116">
        <f>IF($B$1+69&gt;90,BS116,(BS116+IF($B$1+69&lt;=$B116,12*($B$7-$B$10),-12*($B$6+$B$10)*(1+$B$4)^69))*IF(BS116+IF($B$1+69&lt;=$B116,12*($B$7-$B$10),-12*($B$6+$B$10)*(1+$B$4)^69)&gt;0,1+$B$3,1))</f>
        <v/>
      </c>
      <c r="BU116">
        <f>IF($B$1+70&gt;90,BT116,(BT116+IF($B$1+70&lt;=$B116,12*($B$7-$B$10),-12*($B$6+$B$10)*(1+$B$4)^70))*IF(BT116+IF($B$1+70&lt;=$B116,12*($B$7-$B$10),-12*($B$6+$B$10)*(1+$B$4)^70)&gt;0,1+$B$3,1))</f>
        <v/>
      </c>
      <c r="BV116">
        <f>BU116</f>
        <v/>
      </c>
      <c r="BW116">
        <f>IF(AND($B116&lt;=70,BV116&gt;0),$B116,999)</f>
        <v/>
      </c>
    </row>
    <row r="117">
      <c r="A117" t="n">
        <v>21</v>
      </c>
      <c r="B117">
        <f>$B$1+21</f>
        <v/>
      </c>
      <c r="C117">
        <f>$B$2</f>
        <v/>
      </c>
      <c r="D117">
        <f>IF($B$1+1&gt;90,C117,(C117+IF($B$1+1&lt;=$B117,12*($B$7-$B$10),-12*($B$6+$B$10)*(1+$B$4)^1))*IF(C117+IF($B$1+1&lt;=$B117,12*($B$7-$B$10),-12*($B$6+$B$10)*(1+$B$4)^1)&gt;0,1+$B$3,1))</f>
        <v/>
      </c>
      <c r="E117">
        <f>IF($B$1+2&gt;90,D117,(D117+IF($B$1+2&lt;=$B117,12*($B$7-$B$10),-12*($B$6+$B$10)*(1+$B$4)^2))*IF(D117+IF($B$1+2&lt;=$B117,12*($B$7-$B$10),-12*($B$6+$B$10)*(1+$B$4)^2)&gt;0,1+$B$3,1))</f>
        <v/>
      </c>
      <c r="F117">
        <f>IF($B$1+3&gt;90,E117,(E117+IF($B$1+3&lt;=$B117,12*($B$7-$B$10),-12*($B$6+$B$10)*(1+$B$4)^3))*IF(E117+IF($B$1+3&lt;=$B117,12*($B$7-$B$10),-12*($B$6+$B$10)*(1+$B$4)^3)&gt;0,1+$B$3,1))</f>
        <v/>
      </c>
      <c r="G117">
        <f>IF($B$1+4&gt;90,F117,(F117+IF($B$1+4&lt;=$B117,12*($B$7-$B$10),-12*($B$6+$B$10)*(1+$B$4)^4))*IF(F117+IF($B$1+4&lt;=$B117,12*($B$7-$B$10),-12*($B$6+$B$10)*(1+$B$4)^4)&gt;0,1+$B$3,1))</f>
        <v/>
      </c>
      <c r="H117">
        <f>IF($B$1+5&gt;90,G117,(G117+IF($B$1+5&lt;=$B117,12*($B$7-$B$10),-12*($B$6+$B$10)*(1+$B$4)^5))*IF(G117+IF($B$1+5&lt;=$B117,12*($B$7-$B$10),-12*($B$6+$B$10)*(1+$B$4)^5)&gt;0,1+$B$3,1))</f>
        <v/>
      </c>
      <c r="I117">
        <f>IF($B$1+6&gt;90,H117,(H117+IF($B$1+6&lt;=$B117,12*($B$7-$B$10),-12*($B$6+$B$10)*(1+$B$4)^6))*IF(H117+IF($B$1+6&lt;=$B117,12*($B$7-$B$10),-12*($B$6+$B$10)*(1+$B$4)^6)&gt;0,1+$B$3,1))</f>
        <v/>
      </c>
      <c r="J117">
        <f>IF($B$1+7&gt;90,I117,(I117+IF($B$1+7&lt;=$B117,12*($B$7-$B$10),-12*($B$6+$B$10)*(1+$B$4)^7))*IF(I117+IF($B$1+7&lt;=$B117,12*($B$7-$B$10),-12*($B$6+$B$10)*(1+$B$4)^7)&gt;0,1+$B$3,1))</f>
        <v/>
      </c>
      <c r="K117">
        <f>IF($B$1+8&gt;90,J117,(J117+IF($B$1+8&lt;=$B117,12*($B$7-$B$10),-12*($B$6+$B$10)*(1+$B$4)^8))*IF(J117+IF($B$1+8&lt;=$B117,12*($B$7-$B$10),-12*($B$6+$B$10)*(1+$B$4)^8)&gt;0,1+$B$3,1))</f>
        <v/>
      </c>
      <c r="L117">
        <f>IF($B$1+9&gt;90,K117,(K117+IF($B$1+9&lt;=$B117,12*($B$7-$B$10),-12*($B$6+$B$10)*(1+$B$4)^9))*IF(K117+IF($B$1+9&lt;=$B117,12*($B$7-$B$10),-12*($B$6+$B$10)*(1+$B$4)^9)&gt;0,1+$B$3,1))</f>
        <v/>
      </c>
      <c r="M117">
        <f>IF($B$1+10&gt;90,L117,(L117+IF($B$1+10&lt;=$B117,12*($B$7-$B$10),-12*($B$6+$B$10)*(1+$B$4)^10))*IF(L117+IF($B$1+10&lt;=$B117,12*($B$7-$B$10),-12*($B$6+$B$10)*(1+$B$4)^10)&gt;0,1+$B$3,1))</f>
        <v/>
      </c>
      <c r="N117">
        <f>IF($B$1+11&gt;90,M117,(M117+IF($B$1+11&lt;=$B117,12*($B$7-$B$10),-12*($B$6+$B$10)*(1+$B$4)^11))*IF(M117+IF($B$1+11&lt;=$B117,12*($B$7-$B$10),-12*($B$6+$B$10)*(1+$B$4)^11)&gt;0,1+$B$3,1))</f>
        <v/>
      </c>
      <c r="O117">
        <f>IF($B$1+12&gt;90,N117,(N117+IF($B$1+12&lt;=$B117,12*($B$7-$B$10),-12*($B$6+$B$10)*(1+$B$4)^12))*IF(N117+IF($B$1+12&lt;=$B117,12*($B$7-$B$10),-12*($B$6+$B$10)*(1+$B$4)^12)&gt;0,1+$B$3,1))</f>
        <v/>
      </c>
      <c r="P117">
        <f>IF($B$1+13&gt;90,O117,(O117+IF($B$1+13&lt;=$B117,12*($B$7-$B$10),-12*($B$6+$B$10)*(1+$B$4)^13))*IF(O117+IF($B$1+13&lt;=$B117,12*($B$7-$B$10),-12*($B$6+$B$10)*(1+$B$4)^13)&gt;0,1+$B$3,1))</f>
        <v/>
      </c>
      <c r="Q117">
        <f>IF($B$1+14&gt;90,P117,(P117+IF($B$1+14&lt;=$B117,12*($B$7-$B$10),-12*($B$6+$B$10)*(1+$B$4)^14))*IF(P117+IF($B$1+14&lt;=$B117,12*($B$7-$B$10),-12*($B$6+$B$10)*(1+$B$4)^14)&gt;0,1+$B$3,1))</f>
        <v/>
      </c>
      <c r="R117">
        <f>IF($B$1+15&gt;90,Q117,(Q117+IF($B$1+15&lt;=$B117,12*($B$7-$B$10),-12*($B$6+$B$10)*(1+$B$4)^15))*IF(Q117+IF($B$1+15&lt;=$B117,12*($B$7-$B$10),-12*($B$6+$B$10)*(1+$B$4)^15)&gt;0,1+$B$3,1))</f>
        <v/>
      </c>
      <c r="S117">
        <f>IF($B$1+16&gt;90,R117,(R117+IF($B$1+16&lt;=$B117,12*($B$7-$B$10),-12*($B$6+$B$10)*(1+$B$4)^16))*IF(R117+IF($B$1+16&lt;=$B117,12*($B$7-$B$10),-12*($B$6+$B$10)*(1+$B$4)^16)&gt;0,1+$B$3,1))</f>
        <v/>
      </c>
      <c r="T117">
        <f>IF($B$1+17&gt;90,S117,(S117+IF($B$1+17&lt;=$B117,12*($B$7-$B$10),-12*($B$6+$B$10)*(1+$B$4)^17))*IF(S117+IF($B$1+17&lt;=$B117,12*($B$7-$B$10),-12*($B$6+$B$10)*(1+$B$4)^17)&gt;0,1+$B$3,1))</f>
        <v/>
      </c>
      <c r="U117">
        <f>IF($B$1+18&gt;90,T117,(T117+IF($B$1+18&lt;=$B117,12*($B$7-$B$10),-12*($B$6+$B$10)*(1+$B$4)^18))*IF(T117+IF($B$1+18&lt;=$B117,12*($B$7-$B$10),-12*($B$6+$B$10)*(1+$B$4)^18)&gt;0,1+$B$3,1))</f>
        <v/>
      </c>
      <c r="V117">
        <f>IF($B$1+19&gt;90,U117,(U117+IF($B$1+19&lt;=$B117,12*($B$7-$B$10),-12*($B$6+$B$10)*(1+$B$4)^19))*IF(U117+IF($B$1+19&lt;=$B117,12*($B$7-$B$10),-12*($B$6+$B$10)*(1+$B$4)^19)&gt;0,1+$B$3,1))</f>
        <v/>
      </c>
      <c r="W117">
        <f>IF($B$1+20&gt;90,V117,(V117+IF($B$1+20&lt;=$B117,12*($B$7-$B$10),-12*($B$6+$B$10)*(1+$B$4)^20))*IF(V117+IF($B$1+20&lt;=$B117,12*($B$7-$B$10),-12*($B$6+$B$10)*(1+$B$4)^20)&gt;0,1+$B$3,1))</f>
        <v/>
      </c>
      <c r="X117">
        <f>IF($B$1+21&gt;90,W117,(W117+IF($B$1+21&lt;=$B117,12*($B$7-$B$10),-12*($B$6+$B$10)*(1+$B$4)^21))*IF(W117+IF($B$1+21&lt;=$B117,12*($B$7-$B$10),-12*($B$6+$B$10)*(1+$B$4)^21)&gt;0,1+$B$3,1))</f>
        <v/>
      </c>
      <c r="Y117">
        <f>IF($B$1+22&gt;90,X117,(X117+IF($B$1+22&lt;=$B117,12*($B$7-$B$10),-12*($B$6+$B$10)*(1+$B$4)^22))*IF(X117+IF($B$1+22&lt;=$B117,12*($B$7-$B$10),-12*($B$6+$B$10)*(1+$B$4)^22)&gt;0,1+$B$3,1))</f>
        <v/>
      </c>
      <c r="Z117">
        <f>IF($B$1+23&gt;90,Y117,(Y117+IF($B$1+23&lt;=$B117,12*($B$7-$B$10),-12*($B$6+$B$10)*(1+$B$4)^23))*IF(Y117+IF($B$1+23&lt;=$B117,12*($B$7-$B$10),-12*($B$6+$B$10)*(1+$B$4)^23)&gt;0,1+$B$3,1))</f>
        <v/>
      </c>
      <c r="AA117">
        <f>IF($B$1+24&gt;90,Z117,(Z117+IF($B$1+24&lt;=$B117,12*($B$7-$B$10),-12*($B$6+$B$10)*(1+$B$4)^24))*IF(Z117+IF($B$1+24&lt;=$B117,12*($B$7-$B$10),-12*($B$6+$B$10)*(1+$B$4)^24)&gt;0,1+$B$3,1))</f>
        <v/>
      </c>
      <c r="AB117">
        <f>IF($B$1+25&gt;90,AA117,(AA117+IF($B$1+25&lt;=$B117,12*($B$7-$B$10),-12*($B$6+$B$10)*(1+$B$4)^25))*IF(AA117+IF($B$1+25&lt;=$B117,12*($B$7-$B$10),-12*($B$6+$B$10)*(1+$B$4)^25)&gt;0,1+$B$3,1))</f>
        <v/>
      </c>
      <c r="AC117">
        <f>IF($B$1+26&gt;90,AB117,(AB117+IF($B$1+26&lt;=$B117,12*($B$7-$B$10),-12*($B$6+$B$10)*(1+$B$4)^26))*IF(AB117+IF($B$1+26&lt;=$B117,12*($B$7-$B$10),-12*($B$6+$B$10)*(1+$B$4)^26)&gt;0,1+$B$3,1))</f>
        <v/>
      </c>
      <c r="AD117">
        <f>IF($B$1+27&gt;90,AC117,(AC117+IF($B$1+27&lt;=$B117,12*($B$7-$B$10),-12*($B$6+$B$10)*(1+$B$4)^27))*IF(AC117+IF($B$1+27&lt;=$B117,12*($B$7-$B$10),-12*($B$6+$B$10)*(1+$B$4)^27)&gt;0,1+$B$3,1))</f>
        <v/>
      </c>
      <c r="AE117">
        <f>IF($B$1+28&gt;90,AD117,(AD117+IF($B$1+28&lt;=$B117,12*($B$7-$B$10),-12*($B$6+$B$10)*(1+$B$4)^28))*IF(AD117+IF($B$1+28&lt;=$B117,12*($B$7-$B$10),-12*($B$6+$B$10)*(1+$B$4)^28)&gt;0,1+$B$3,1))</f>
        <v/>
      </c>
      <c r="AF117">
        <f>IF($B$1+29&gt;90,AE117,(AE117+IF($B$1+29&lt;=$B117,12*($B$7-$B$10),-12*($B$6+$B$10)*(1+$B$4)^29))*IF(AE117+IF($B$1+29&lt;=$B117,12*($B$7-$B$10),-12*($B$6+$B$10)*(1+$B$4)^29)&gt;0,1+$B$3,1))</f>
        <v/>
      </c>
      <c r="AG117">
        <f>IF($B$1+30&gt;90,AF117,(AF117+IF($B$1+30&lt;=$B117,12*($B$7-$B$10),-12*($B$6+$B$10)*(1+$B$4)^30))*IF(AF117+IF($B$1+30&lt;=$B117,12*($B$7-$B$10),-12*($B$6+$B$10)*(1+$B$4)^30)&gt;0,1+$B$3,1))</f>
        <v/>
      </c>
      <c r="AH117">
        <f>IF($B$1+31&gt;90,AG117,(AG117+IF($B$1+31&lt;=$B117,12*($B$7-$B$10),-12*($B$6+$B$10)*(1+$B$4)^31))*IF(AG117+IF($B$1+31&lt;=$B117,12*($B$7-$B$10),-12*($B$6+$B$10)*(1+$B$4)^31)&gt;0,1+$B$3,1))</f>
        <v/>
      </c>
      <c r="AI117">
        <f>IF($B$1+32&gt;90,AH117,(AH117+IF($B$1+32&lt;=$B117,12*($B$7-$B$10),-12*($B$6+$B$10)*(1+$B$4)^32))*IF(AH117+IF($B$1+32&lt;=$B117,12*($B$7-$B$10),-12*($B$6+$B$10)*(1+$B$4)^32)&gt;0,1+$B$3,1))</f>
        <v/>
      </c>
      <c r="AJ117">
        <f>IF($B$1+33&gt;90,AI117,(AI117+IF($B$1+33&lt;=$B117,12*($B$7-$B$10),-12*($B$6+$B$10)*(1+$B$4)^33))*IF(AI117+IF($B$1+33&lt;=$B117,12*($B$7-$B$10),-12*($B$6+$B$10)*(1+$B$4)^33)&gt;0,1+$B$3,1))</f>
        <v/>
      </c>
      <c r="AK117">
        <f>IF($B$1+34&gt;90,AJ117,(AJ117+IF($B$1+34&lt;=$B117,12*($B$7-$B$10),-12*($B$6+$B$10)*(1+$B$4)^34))*IF(AJ117+IF($B$1+34&lt;=$B117,12*($B$7-$B$10),-12*($B$6+$B$10)*(1+$B$4)^34)&gt;0,1+$B$3,1))</f>
        <v/>
      </c>
      <c r="AL117">
        <f>IF($B$1+35&gt;90,AK117,(AK117+IF($B$1+35&lt;=$B117,12*($B$7-$B$10),-12*($B$6+$B$10)*(1+$B$4)^35))*IF(AK117+IF($B$1+35&lt;=$B117,12*($B$7-$B$10),-12*($B$6+$B$10)*(1+$B$4)^35)&gt;0,1+$B$3,1))</f>
        <v/>
      </c>
      <c r="AM117">
        <f>IF($B$1+36&gt;90,AL117,(AL117+IF($B$1+36&lt;=$B117,12*($B$7-$B$10),-12*($B$6+$B$10)*(1+$B$4)^36))*IF(AL117+IF($B$1+36&lt;=$B117,12*($B$7-$B$10),-12*($B$6+$B$10)*(1+$B$4)^36)&gt;0,1+$B$3,1))</f>
        <v/>
      </c>
      <c r="AN117">
        <f>IF($B$1+37&gt;90,AM117,(AM117+IF($B$1+37&lt;=$B117,12*($B$7-$B$10),-12*($B$6+$B$10)*(1+$B$4)^37))*IF(AM117+IF($B$1+37&lt;=$B117,12*($B$7-$B$10),-12*($B$6+$B$10)*(1+$B$4)^37)&gt;0,1+$B$3,1))</f>
        <v/>
      </c>
      <c r="AO117">
        <f>IF($B$1+38&gt;90,AN117,(AN117+IF($B$1+38&lt;=$B117,12*($B$7-$B$10),-12*($B$6+$B$10)*(1+$B$4)^38))*IF(AN117+IF($B$1+38&lt;=$B117,12*($B$7-$B$10),-12*($B$6+$B$10)*(1+$B$4)^38)&gt;0,1+$B$3,1))</f>
        <v/>
      </c>
      <c r="AP117">
        <f>IF($B$1+39&gt;90,AO117,(AO117+IF($B$1+39&lt;=$B117,12*($B$7-$B$10),-12*($B$6+$B$10)*(1+$B$4)^39))*IF(AO117+IF($B$1+39&lt;=$B117,12*($B$7-$B$10),-12*($B$6+$B$10)*(1+$B$4)^39)&gt;0,1+$B$3,1))</f>
        <v/>
      </c>
      <c r="AQ117">
        <f>IF($B$1+40&gt;90,AP117,(AP117+IF($B$1+40&lt;=$B117,12*($B$7-$B$10),-12*($B$6+$B$10)*(1+$B$4)^40))*IF(AP117+IF($B$1+40&lt;=$B117,12*($B$7-$B$10),-12*($B$6+$B$10)*(1+$B$4)^40)&gt;0,1+$B$3,1))</f>
        <v/>
      </c>
      <c r="AR117">
        <f>IF($B$1+41&gt;90,AQ117,(AQ117+IF($B$1+41&lt;=$B117,12*($B$7-$B$10),-12*($B$6+$B$10)*(1+$B$4)^41))*IF(AQ117+IF($B$1+41&lt;=$B117,12*($B$7-$B$10),-12*($B$6+$B$10)*(1+$B$4)^41)&gt;0,1+$B$3,1))</f>
        <v/>
      </c>
      <c r="AS117">
        <f>IF($B$1+42&gt;90,AR117,(AR117+IF($B$1+42&lt;=$B117,12*($B$7-$B$10),-12*($B$6+$B$10)*(1+$B$4)^42))*IF(AR117+IF($B$1+42&lt;=$B117,12*($B$7-$B$10),-12*($B$6+$B$10)*(1+$B$4)^42)&gt;0,1+$B$3,1))</f>
        <v/>
      </c>
      <c r="AT117">
        <f>IF($B$1+43&gt;90,AS117,(AS117+IF($B$1+43&lt;=$B117,12*($B$7-$B$10),-12*($B$6+$B$10)*(1+$B$4)^43))*IF(AS117+IF($B$1+43&lt;=$B117,12*($B$7-$B$10),-12*($B$6+$B$10)*(1+$B$4)^43)&gt;0,1+$B$3,1))</f>
        <v/>
      </c>
      <c r="AU117">
        <f>IF($B$1+44&gt;90,AT117,(AT117+IF($B$1+44&lt;=$B117,12*($B$7-$B$10),-12*($B$6+$B$10)*(1+$B$4)^44))*IF(AT117+IF($B$1+44&lt;=$B117,12*($B$7-$B$10),-12*($B$6+$B$10)*(1+$B$4)^44)&gt;0,1+$B$3,1))</f>
        <v/>
      </c>
      <c r="AV117">
        <f>IF($B$1+45&gt;90,AU117,(AU117+IF($B$1+45&lt;=$B117,12*($B$7-$B$10),-12*($B$6+$B$10)*(1+$B$4)^45))*IF(AU117+IF($B$1+45&lt;=$B117,12*($B$7-$B$10),-12*($B$6+$B$10)*(1+$B$4)^45)&gt;0,1+$B$3,1))</f>
        <v/>
      </c>
      <c r="AW117">
        <f>IF($B$1+46&gt;90,AV117,(AV117+IF($B$1+46&lt;=$B117,12*($B$7-$B$10),-12*($B$6+$B$10)*(1+$B$4)^46))*IF(AV117+IF($B$1+46&lt;=$B117,12*($B$7-$B$10),-12*($B$6+$B$10)*(1+$B$4)^46)&gt;0,1+$B$3,1))</f>
        <v/>
      </c>
      <c r="AX117">
        <f>IF($B$1+47&gt;90,AW117,(AW117+IF($B$1+47&lt;=$B117,12*($B$7-$B$10),-12*($B$6+$B$10)*(1+$B$4)^47))*IF(AW117+IF($B$1+47&lt;=$B117,12*($B$7-$B$10),-12*($B$6+$B$10)*(1+$B$4)^47)&gt;0,1+$B$3,1))</f>
        <v/>
      </c>
      <c r="AY117">
        <f>IF($B$1+48&gt;90,AX117,(AX117+IF($B$1+48&lt;=$B117,12*($B$7-$B$10),-12*($B$6+$B$10)*(1+$B$4)^48))*IF(AX117+IF($B$1+48&lt;=$B117,12*($B$7-$B$10),-12*($B$6+$B$10)*(1+$B$4)^48)&gt;0,1+$B$3,1))</f>
        <v/>
      </c>
      <c r="AZ117">
        <f>IF($B$1+49&gt;90,AY117,(AY117+IF($B$1+49&lt;=$B117,12*($B$7-$B$10),-12*($B$6+$B$10)*(1+$B$4)^49))*IF(AY117+IF($B$1+49&lt;=$B117,12*($B$7-$B$10),-12*($B$6+$B$10)*(1+$B$4)^49)&gt;0,1+$B$3,1))</f>
        <v/>
      </c>
      <c r="BA117">
        <f>IF($B$1+50&gt;90,AZ117,(AZ117+IF($B$1+50&lt;=$B117,12*($B$7-$B$10),-12*($B$6+$B$10)*(1+$B$4)^50))*IF(AZ117+IF($B$1+50&lt;=$B117,12*($B$7-$B$10),-12*($B$6+$B$10)*(1+$B$4)^50)&gt;0,1+$B$3,1))</f>
        <v/>
      </c>
      <c r="BB117">
        <f>IF($B$1+51&gt;90,BA117,(BA117+IF($B$1+51&lt;=$B117,12*($B$7-$B$10),-12*($B$6+$B$10)*(1+$B$4)^51))*IF(BA117+IF($B$1+51&lt;=$B117,12*($B$7-$B$10),-12*($B$6+$B$10)*(1+$B$4)^51)&gt;0,1+$B$3,1))</f>
        <v/>
      </c>
      <c r="BC117">
        <f>IF($B$1+52&gt;90,BB117,(BB117+IF($B$1+52&lt;=$B117,12*($B$7-$B$10),-12*($B$6+$B$10)*(1+$B$4)^52))*IF(BB117+IF($B$1+52&lt;=$B117,12*($B$7-$B$10),-12*($B$6+$B$10)*(1+$B$4)^52)&gt;0,1+$B$3,1))</f>
        <v/>
      </c>
      <c r="BD117">
        <f>IF($B$1+53&gt;90,BC117,(BC117+IF($B$1+53&lt;=$B117,12*($B$7-$B$10),-12*($B$6+$B$10)*(1+$B$4)^53))*IF(BC117+IF($B$1+53&lt;=$B117,12*($B$7-$B$10),-12*($B$6+$B$10)*(1+$B$4)^53)&gt;0,1+$B$3,1))</f>
        <v/>
      </c>
      <c r="BE117">
        <f>IF($B$1+54&gt;90,BD117,(BD117+IF($B$1+54&lt;=$B117,12*($B$7-$B$10),-12*($B$6+$B$10)*(1+$B$4)^54))*IF(BD117+IF($B$1+54&lt;=$B117,12*($B$7-$B$10),-12*($B$6+$B$10)*(1+$B$4)^54)&gt;0,1+$B$3,1))</f>
        <v/>
      </c>
      <c r="BF117">
        <f>IF($B$1+55&gt;90,BE117,(BE117+IF($B$1+55&lt;=$B117,12*($B$7-$B$10),-12*($B$6+$B$10)*(1+$B$4)^55))*IF(BE117+IF($B$1+55&lt;=$B117,12*($B$7-$B$10),-12*($B$6+$B$10)*(1+$B$4)^55)&gt;0,1+$B$3,1))</f>
        <v/>
      </c>
      <c r="BG117">
        <f>IF($B$1+56&gt;90,BF117,(BF117+IF($B$1+56&lt;=$B117,12*($B$7-$B$10),-12*($B$6+$B$10)*(1+$B$4)^56))*IF(BF117+IF($B$1+56&lt;=$B117,12*($B$7-$B$10),-12*($B$6+$B$10)*(1+$B$4)^56)&gt;0,1+$B$3,1))</f>
        <v/>
      </c>
      <c r="BH117">
        <f>IF($B$1+57&gt;90,BG117,(BG117+IF($B$1+57&lt;=$B117,12*($B$7-$B$10),-12*($B$6+$B$10)*(1+$B$4)^57))*IF(BG117+IF($B$1+57&lt;=$B117,12*($B$7-$B$10),-12*($B$6+$B$10)*(1+$B$4)^57)&gt;0,1+$B$3,1))</f>
        <v/>
      </c>
      <c r="BI117">
        <f>IF($B$1+58&gt;90,BH117,(BH117+IF($B$1+58&lt;=$B117,12*($B$7-$B$10),-12*($B$6+$B$10)*(1+$B$4)^58))*IF(BH117+IF($B$1+58&lt;=$B117,12*($B$7-$B$10),-12*($B$6+$B$10)*(1+$B$4)^58)&gt;0,1+$B$3,1))</f>
        <v/>
      </c>
      <c r="BJ117">
        <f>IF($B$1+59&gt;90,BI117,(BI117+IF($B$1+59&lt;=$B117,12*($B$7-$B$10),-12*($B$6+$B$10)*(1+$B$4)^59))*IF(BI117+IF($B$1+59&lt;=$B117,12*($B$7-$B$10),-12*($B$6+$B$10)*(1+$B$4)^59)&gt;0,1+$B$3,1))</f>
        <v/>
      </c>
      <c r="BK117">
        <f>IF($B$1+60&gt;90,BJ117,(BJ117+IF($B$1+60&lt;=$B117,12*($B$7-$B$10),-12*($B$6+$B$10)*(1+$B$4)^60))*IF(BJ117+IF($B$1+60&lt;=$B117,12*($B$7-$B$10),-12*($B$6+$B$10)*(1+$B$4)^60)&gt;0,1+$B$3,1))</f>
        <v/>
      </c>
      <c r="BL117">
        <f>IF($B$1+61&gt;90,BK117,(BK117+IF($B$1+61&lt;=$B117,12*($B$7-$B$10),-12*($B$6+$B$10)*(1+$B$4)^61))*IF(BK117+IF($B$1+61&lt;=$B117,12*($B$7-$B$10),-12*($B$6+$B$10)*(1+$B$4)^61)&gt;0,1+$B$3,1))</f>
        <v/>
      </c>
      <c r="BM117">
        <f>IF($B$1+62&gt;90,BL117,(BL117+IF($B$1+62&lt;=$B117,12*($B$7-$B$10),-12*($B$6+$B$10)*(1+$B$4)^62))*IF(BL117+IF($B$1+62&lt;=$B117,12*($B$7-$B$10),-12*($B$6+$B$10)*(1+$B$4)^62)&gt;0,1+$B$3,1))</f>
        <v/>
      </c>
      <c r="BN117">
        <f>IF($B$1+63&gt;90,BM117,(BM117+IF($B$1+63&lt;=$B117,12*($B$7-$B$10),-12*($B$6+$B$10)*(1+$B$4)^63))*IF(BM117+IF($B$1+63&lt;=$B117,12*($B$7-$B$10),-12*($B$6+$B$10)*(1+$B$4)^63)&gt;0,1+$B$3,1))</f>
        <v/>
      </c>
      <c r="BO117">
        <f>IF($B$1+64&gt;90,BN117,(BN117+IF($B$1+64&lt;=$B117,12*($B$7-$B$10),-12*($B$6+$B$10)*(1+$B$4)^64))*IF(BN117+IF($B$1+64&lt;=$B117,12*($B$7-$B$10),-12*($B$6+$B$10)*(1+$B$4)^64)&gt;0,1+$B$3,1))</f>
        <v/>
      </c>
      <c r="BP117">
        <f>IF($B$1+65&gt;90,BO117,(BO117+IF($B$1+65&lt;=$B117,12*($B$7-$B$10),-12*($B$6+$B$10)*(1+$B$4)^65))*IF(BO117+IF($B$1+65&lt;=$B117,12*($B$7-$B$10),-12*($B$6+$B$10)*(1+$B$4)^65)&gt;0,1+$B$3,1))</f>
        <v/>
      </c>
      <c r="BQ117">
        <f>IF($B$1+66&gt;90,BP117,(BP117+IF($B$1+66&lt;=$B117,12*($B$7-$B$10),-12*($B$6+$B$10)*(1+$B$4)^66))*IF(BP117+IF($B$1+66&lt;=$B117,12*($B$7-$B$10),-12*($B$6+$B$10)*(1+$B$4)^66)&gt;0,1+$B$3,1))</f>
        <v/>
      </c>
      <c r="BR117">
        <f>IF($B$1+67&gt;90,BQ117,(BQ117+IF($B$1+67&lt;=$B117,12*($B$7-$B$10),-12*($B$6+$B$10)*(1+$B$4)^67))*IF(BQ117+IF($B$1+67&lt;=$B117,12*($B$7-$B$10),-12*($B$6+$B$10)*(1+$B$4)^67)&gt;0,1+$B$3,1))</f>
        <v/>
      </c>
      <c r="BS117">
        <f>IF($B$1+68&gt;90,BR117,(BR117+IF($B$1+68&lt;=$B117,12*($B$7-$B$10),-12*($B$6+$B$10)*(1+$B$4)^68))*IF(BR117+IF($B$1+68&lt;=$B117,12*($B$7-$B$10),-12*($B$6+$B$10)*(1+$B$4)^68)&gt;0,1+$B$3,1))</f>
        <v/>
      </c>
      <c r="BT117">
        <f>IF($B$1+69&gt;90,BS117,(BS117+IF($B$1+69&lt;=$B117,12*($B$7-$B$10),-12*($B$6+$B$10)*(1+$B$4)^69))*IF(BS117+IF($B$1+69&lt;=$B117,12*($B$7-$B$10),-12*($B$6+$B$10)*(1+$B$4)^69)&gt;0,1+$B$3,1))</f>
        <v/>
      </c>
      <c r="BU117">
        <f>IF($B$1+70&gt;90,BT117,(BT117+IF($B$1+70&lt;=$B117,12*($B$7-$B$10),-12*($B$6+$B$10)*(1+$B$4)^70))*IF(BT117+IF($B$1+70&lt;=$B117,12*($B$7-$B$10),-12*($B$6+$B$10)*(1+$B$4)^70)&gt;0,1+$B$3,1))</f>
        <v/>
      </c>
      <c r="BV117">
        <f>BU117</f>
        <v/>
      </c>
      <c r="BW117">
        <f>IF(AND($B117&lt;=70,BV117&gt;0),$B117,999)</f>
        <v/>
      </c>
    </row>
    <row r="118">
      <c r="A118" t="n">
        <v>22</v>
      </c>
      <c r="B118">
        <f>$B$1+22</f>
        <v/>
      </c>
      <c r="C118">
        <f>$B$2</f>
        <v/>
      </c>
      <c r="D118">
        <f>IF($B$1+1&gt;90,C118,(C118+IF($B$1+1&lt;=$B118,12*($B$7-$B$10),-12*($B$6+$B$10)*(1+$B$4)^1))*IF(C118+IF($B$1+1&lt;=$B118,12*($B$7-$B$10),-12*($B$6+$B$10)*(1+$B$4)^1)&gt;0,1+$B$3,1))</f>
        <v/>
      </c>
      <c r="E118">
        <f>IF($B$1+2&gt;90,D118,(D118+IF($B$1+2&lt;=$B118,12*($B$7-$B$10),-12*($B$6+$B$10)*(1+$B$4)^2))*IF(D118+IF($B$1+2&lt;=$B118,12*($B$7-$B$10),-12*($B$6+$B$10)*(1+$B$4)^2)&gt;0,1+$B$3,1))</f>
        <v/>
      </c>
      <c r="F118">
        <f>IF($B$1+3&gt;90,E118,(E118+IF($B$1+3&lt;=$B118,12*($B$7-$B$10),-12*($B$6+$B$10)*(1+$B$4)^3))*IF(E118+IF($B$1+3&lt;=$B118,12*($B$7-$B$10),-12*($B$6+$B$10)*(1+$B$4)^3)&gt;0,1+$B$3,1))</f>
        <v/>
      </c>
      <c r="G118">
        <f>IF($B$1+4&gt;90,F118,(F118+IF($B$1+4&lt;=$B118,12*($B$7-$B$10),-12*($B$6+$B$10)*(1+$B$4)^4))*IF(F118+IF($B$1+4&lt;=$B118,12*($B$7-$B$10),-12*($B$6+$B$10)*(1+$B$4)^4)&gt;0,1+$B$3,1))</f>
        <v/>
      </c>
      <c r="H118">
        <f>IF($B$1+5&gt;90,G118,(G118+IF($B$1+5&lt;=$B118,12*($B$7-$B$10),-12*($B$6+$B$10)*(1+$B$4)^5))*IF(G118+IF($B$1+5&lt;=$B118,12*($B$7-$B$10),-12*($B$6+$B$10)*(1+$B$4)^5)&gt;0,1+$B$3,1))</f>
        <v/>
      </c>
      <c r="I118">
        <f>IF($B$1+6&gt;90,H118,(H118+IF($B$1+6&lt;=$B118,12*($B$7-$B$10),-12*($B$6+$B$10)*(1+$B$4)^6))*IF(H118+IF($B$1+6&lt;=$B118,12*($B$7-$B$10),-12*($B$6+$B$10)*(1+$B$4)^6)&gt;0,1+$B$3,1))</f>
        <v/>
      </c>
      <c r="J118">
        <f>IF($B$1+7&gt;90,I118,(I118+IF($B$1+7&lt;=$B118,12*($B$7-$B$10),-12*($B$6+$B$10)*(1+$B$4)^7))*IF(I118+IF($B$1+7&lt;=$B118,12*($B$7-$B$10),-12*($B$6+$B$10)*(1+$B$4)^7)&gt;0,1+$B$3,1))</f>
        <v/>
      </c>
      <c r="K118">
        <f>IF($B$1+8&gt;90,J118,(J118+IF($B$1+8&lt;=$B118,12*($B$7-$B$10),-12*($B$6+$B$10)*(1+$B$4)^8))*IF(J118+IF($B$1+8&lt;=$B118,12*($B$7-$B$10),-12*($B$6+$B$10)*(1+$B$4)^8)&gt;0,1+$B$3,1))</f>
        <v/>
      </c>
      <c r="L118">
        <f>IF($B$1+9&gt;90,K118,(K118+IF($B$1+9&lt;=$B118,12*($B$7-$B$10),-12*($B$6+$B$10)*(1+$B$4)^9))*IF(K118+IF($B$1+9&lt;=$B118,12*($B$7-$B$10),-12*($B$6+$B$10)*(1+$B$4)^9)&gt;0,1+$B$3,1))</f>
        <v/>
      </c>
      <c r="M118">
        <f>IF($B$1+10&gt;90,L118,(L118+IF($B$1+10&lt;=$B118,12*($B$7-$B$10),-12*($B$6+$B$10)*(1+$B$4)^10))*IF(L118+IF($B$1+10&lt;=$B118,12*($B$7-$B$10),-12*($B$6+$B$10)*(1+$B$4)^10)&gt;0,1+$B$3,1))</f>
        <v/>
      </c>
      <c r="N118">
        <f>IF($B$1+11&gt;90,M118,(M118+IF($B$1+11&lt;=$B118,12*($B$7-$B$10),-12*($B$6+$B$10)*(1+$B$4)^11))*IF(M118+IF($B$1+11&lt;=$B118,12*($B$7-$B$10),-12*($B$6+$B$10)*(1+$B$4)^11)&gt;0,1+$B$3,1))</f>
        <v/>
      </c>
      <c r="O118">
        <f>IF($B$1+12&gt;90,N118,(N118+IF($B$1+12&lt;=$B118,12*($B$7-$B$10),-12*($B$6+$B$10)*(1+$B$4)^12))*IF(N118+IF($B$1+12&lt;=$B118,12*($B$7-$B$10),-12*($B$6+$B$10)*(1+$B$4)^12)&gt;0,1+$B$3,1))</f>
        <v/>
      </c>
      <c r="P118">
        <f>IF($B$1+13&gt;90,O118,(O118+IF($B$1+13&lt;=$B118,12*($B$7-$B$10),-12*($B$6+$B$10)*(1+$B$4)^13))*IF(O118+IF($B$1+13&lt;=$B118,12*($B$7-$B$10),-12*($B$6+$B$10)*(1+$B$4)^13)&gt;0,1+$B$3,1))</f>
        <v/>
      </c>
      <c r="Q118">
        <f>IF($B$1+14&gt;90,P118,(P118+IF($B$1+14&lt;=$B118,12*($B$7-$B$10),-12*($B$6+$B$10)*(1+$B$4)^14))*IF(P118+IF($B$1+14&lt;=$B118,12*($B$7-$B$10),-12*($B$6+$B$10)*(1+$B$4)^14)&gt;0,1+$B$3,1))</f>
        <v/>
      </c>
      <c r="R118">
        <f>IF($B$1+15&gt;90,Q118,(Q118+IF($B$1+15&lt;=$B118,12*($B$7-$B$10),-12*($B$6+$B$10)*(1+$B$4)^15))*IF(Q118+IF($B$1+15&lt;=$B118,12*($B$7-$B$10),-12*($B$6+$B$10)*(1+$B$4)^15)&gt;0,1+$B$3,1))</f>
        <v/>
      </c>
      <c r="S118">
        <f>IF($B$1+16&gt;90,R118,(R118+IF($B$1+16&lt;=$B118,12*($B$7-$B$10),-12*($B$6+$B$10)*(1+$B$4)^16))*IF(R118+IF($B$1+16&lt;=$B118,12*($B$7-$B$10),-12*($B$6+$B$10)*(1+$B$4)^16)&gt;0,1+$B$3,1))</f>
        <v/>
      </c>
      <c r="T118">
        <f>IF($B$1+17&gt;90,S118,(S118+IF($B$1+17&lt;=$B118,12*($B$7-$B$10),-12*($B$6+$B$10)*(1+$B$4)^17))*IF(S118+IF($B$1+17&lt;=$B118,12*($B$7-$B$10),-12*($B$6+$B$10)*(1+$B$4)^17)&gt;0,1+$B$3,1))</f>
        <v/>
      </c>
      <c r="U118">
        <f>IF($B$1+18&gt;90,T118,(T118+IF($B$1+18&lt;=$B118,12*($B$7-$B$10),-12*($B$6+$B$10)*(1+$B$4)^18))*IF(T118+IF($B$1+18&lt;=$B118,12*($B$7-$B$10),-12*($B$6+$B$10)*(1+$B$4)^18)&gt;0,1+$B$3,1))</f>
        <v/>
      </c>
      <c r="V118">
        <f>IF($B$1+19&gt;90,U118,(U118+IF($B$1+19&lt;=$B118,12*($B$7-$B$10),-12*($B$6+$B$10)*(1+$B$4)^19))*IF(U118+IF($B$1+19&lt;=$B118,12*($B$7-$B$10),-12*($B$6+$B$10)*(1+$B$4)^19)&gt;0,1+$B$3,1))</f>
        <v/>
      </c>
      <c r="W118">
        <f>IF($B$1+20&gt;90,V118,(V118+IF($B$1+20&lt;=$B118,12*($B$7-$B$10),-12*($B$6+$B$10)*(1+$B$4)^20))*IF(V118+IF($B$1+20&lt;=$B118,12*($B$7-$B$10),-12*($B$6+$B$10)*(1+$B$4)^20)&gt;0,1+$B$3,1))</f>
        <v/>
      </c>
      <c r="X118">
        <f>IF($B$1+21&gt;90,W118,(W118+IF($B$1+21&lt;=$B118,12*($B$7-$B$10),-12*($B$6+$B$10)*(1+$B$4)^21))*IF(W118+IF($B$1+21&lt;=$B118,12*($B$7-$B$10),-12*($B$6+$B$10)*(1+$B$4)^21)&gt;0,1+$B$3,1))</f>
        <v/>
      </c>
      <c r="Y118">
        <f>IF($B$1+22&gt;90,X118,(X118+IF($B$1+22&lt;=$B118,12*($B$7-$B$10),-12*($B$6+$B$10)*(1+$B$4)^22))*IF(X118+IF($B$1+22&lt;=$B118,12*($B$7-$B$10),-12*($B$6+$B$10)*(1+$B$4)^22)&gt;0,1+$B$3,1))</f>
        <v/>
      </c>
      <c r="Z118">
        <f>IF($B$1+23&gt;90,Y118,(Y118+IF($B$1+23&lt;=$B118,12*($B$7-$B$10),-12*($B$6+$B$10)*(1+$B$4)^23))*IF(Y118+IF($B$1+23&lt;=$B118,12*($B$7-$B$10),-12*($B$6+$B$10)*(1+$B$4)^23)&gt;0,1+$B$3,1))</f>
        <v/>
      </c>
      <c r="AA118">
        <f>IF($B$1+24&gt;90,Z118,(Z118+IF($B$1+24&lt;=$B118,12*($B$7-$B$10),-12*($B$6+$B$10)*(1+$B$4)^24))*IF(Z118+IF($B$1+24&lt;=$B118,12*($B$7-$B$10),-12*($B$6+$B$10)*(1+$B$4)^24)&gt;0,1+$B$3,1))</f>
        <v/>
      </c>
      <c r="AB118">
        <f>IF($B$1+25&gt;90,AA118,(AA118+IF($B$1+25&lt;=$B118,12*($B$7-$B$10),-12*($B$6+$B$10)*(1+$B$4)^25))*IF(AA118+IF($B$1+25&lt;=$B118,12*($B$7-$B$10),-12*($B$6+$B$10)*(1+$B$4)^25)&gt;0,1+$B$3,1))</f>
        <v/>
      </c>
      <c r="AC118">
        <f>IF($B$1+26&gt;90,AB118,(AB118+IF($B$1+26&lt;=$B118,12*($B$7-$B$10),-12*($B$6+$B$10)*(1+$B$4)^26))*IF(AB118+IF($B$1+26&lt;=$B118,12*($B$7-$B$10),-12*($B$6+$B$10)*(1+$B$4)^26)&gt;0,1+$B$3,1))</f>
        <v/>
      </c>
      <c r="AD118">
        <f>IF($B$1+27&gt;90,AC118,(AC118+IF($B$1+27&lt;=$B118,12*($B$7-$B$10),-12*($B$6+$B$10)*(1+$B$4)^27))*IF(AC118+IF($B$1+27&lt;=$B118,12*($B$7-$B$10),-12*($B$6+$B$10)*(1+$B$4)^27)&gt;0,1+$B$3,1))</f>
        <v/>
      </c>
      <c r="AE118">
        <f>IF($B$1+28&gt;90,AD118,(AD118+IF($B$1+28&lt;=$B118,12*($B$7-$B$10),-12*($B$6+$B$10)*(1+$B$4)^28))*IF(AD118+IF($B$1+28&lt;=$B118,12*($B$7-$B$10),-12*($B$6+$B$10)*(1+$B$4)^28)&gt;0,1+$B$3,1))</f>
        <v/>
      </c>
      <c r="AF118">
        <f>IF($B$1+29&gt;90,AE118,(AE118+IF($B$1+29&lt;=$B118,12*($B$7-$B$10),-12*($B$6+$B$10)*(1+$B$4)^29))*IF(AE118+IF($B$1+29&lt;=$B118,12*($B$7-$B$10),-12*($B$6+$B$10)*(1+$B$4)^29)&gt;0,1+$B$3,1))</f>
        <v/>
      </c>
      <c r="AG118">
        <f>IF($B$1+30&gt;90,AF118,(AF118+IF($B$1+30&lt;=$B118,12*($B$7-$B$10),-12*($B$6+$B$10)*(1+$B$4)^30))*IF(AF118+IF($B$1+30&lt;=$B118,12*($B$7-$B$10),-12*($B$6+$B$10)*(1+$B$4)^30)&gt;0,1+$B$3,1))</f>
        <v/>
      </c>
      <c r="AH118">
        <f>IF($B$1+31&gt;90,AG118,(AG118+IF($B$1+31&lt;=$B118,12*($B$7-$B$10),-12*($B$6+$B$10)*(1+$B$4)^31))*IF(AG118+IF($B$1+31&lt;=$B118,12*($B$7-$B$10),-12*($B$6+$B$10)*(1+$B$4)^31)&gt;0,1+$B$3,1))</f>
        <v/>
      </c>
      <c r="AI118">
        <f>IF($B$1+32&gt;90,AH118,(AH118+IF($B$1+32&lt;=$B118,12*($B$7-$B$10),-12*($B$6+$B$10)*(1+$B$4)^32))*IF(AH118+IF($B$1+32&lt;=$B118,12*($B$7-$B$10),-12*($B$6+$B$10)*(1+$B$4)^32)&gt;0,1+$B$3,1))</f>
        <v/>
      </c>
      <c r="AJ118">
        <f>IF($B$1+33&gt;90,AI118,(AI118+IF($B$1+33&lt;=$B118,12*($B$7-$B$10),-12*($B$6+$B$10)*(1+$B$4)^33))*IF(AI118+IF($B$1+33&lt;=$B118,12*($B$7-$B$10),-12*($B$6+$B$10)*(1+$B$4)^33)&gt;0,1+$B$3,1))</f>
        <v/>
      </c>
      <c r="AK118">
        <f>IF($B$1+34&gt;90,AJ118,(AJ118+IF($B$1+34&lt;=$B118,12*($B$7-$B$10),-12*($B$6+$B$10)*(1+$B$4)^34))*IF(AJ118+IF($B$1+34&lt;=$B118,12*($B$7-$B$10),-12*($B$6+$B$10)*(1+$B$4)^34)&gt;0,1+$B$3,1))</f>
        <v/>
      </c>
      <c r="AL118">
        <f>IF($B$1+35&gt;90,AK118,(AK118+IF($B$1+35&lt;=$B118,12*($B$7-$B$10),-12*($B$6+$B$10)*(1+$B$4)^35))*IF(AK118+IF($B$1+35&lt;=$B118,12*($B$7-$B$10),-12*($B$6+$B$10)*(1+$B$4)^35)&gt;0,1+$B$3,1))</f>
        <v/>
      </c>
      <c r="AM118">
        <f>IF($B$1+36&gt;90,AL118,(AL118+IF($B$1+36&lt;=$B118,12*($B$7-$B$10),-12*($B$6+$B$10)*(1+$B$4)^36))*IF(AL118+IF($B$1+36&lt;=$B118,12*($B$7-$B$10),-12*($B$6+$B$10)*(1+$B$4)^36)&gt;0,1+$B$3,1))</f>
        <v/>
      </c>
      <c r="AN118">
        <f>IF($B$1+37&gt;90,AM118,(AM118+IF($B$1+37&lt;=$B118,12*($B$7-$B$10),-12*($B$6+$B$10)*(1+$B$4)^37))*IF(AM118+IF($B$1+37&lt;=$B118,12*($B$7-$B$10),-12*($B$6+$B$10)*(1+$B$4)^37)&gt;0,1+$B$3,1))</f>
        <v/>
      </c>
      <c r="AO118">
        <f>IF($B$1+38&gt;90,AN118,(AN118+IF($B$1+38&lt;=$B118,12*($B$7-$B$10),-12*($B$6+$B$10)*(1+$B$4)^38))*IF(AN118+IF($B$1+38&lt;=$B118,12*($B$7-$B$10),-12*($B$6+$B$10)*(1+$B$4)^38)&gt;0,1+$B$3,1))</f>
        <v/>
      </c>
      <c r="AP118">
        <f>IF($B$1+39&gt;90,AO118,(AO118+IF($B$1+39&lt;=$B118,12*($B$7-$B$10),-12*($B$6+$B$10)*(1+$B$4)^39))*IF(AO118+IF($B$1+39&lt;=$B118,12*($B$7-$B$10),-12*($B$6+$B$10)*(1+$B$4)^39)&gt;0,1+$B$3,1))</f>
        <v/>
      </c>
      <c r="AQ118">
        <f>IF($B$1+40&gt;90,AP118,(AP118+IF($B$1+40&lt;=$B118,12*($B$7-$B$10),-12*($B$6+$B$10)*(1+$B$4)^40))*IF(AP118+IF($B$1+40&lt;=$B118,12*($B$7-$B$10),-12*($B$6+$B$10)*(1+$B$4)^40)&gt;0,1+$B$3,1))</f>
        <v/>
      </c>
      <c r="AR118">
        <f>IF($B$1+41&gt;90,AQ118,(AQ118+IF($B$1+41&lt;=$B118,12*($B$7-$B$10),-12*($B$6+$B$10)*(1+$B$4)^41))*IF(AQ118+IF($B$1+41&lt;=$B118,12*($B$7-$B$10),-12*($B$6+$B$10)*(1+$B$4)^41)&gt;0,1+$B$3,1))</f>
        <v/>
      </c>
      <c r="AS118">
        <f>IF($B$1+42&gt;90,AR118,(AR118+IF($B$1+42&lt;=$B118,12*($B$7-$B$10),-12*($B$6+$B$10)*(1+$B$4)^42))*IF(AR118+IF($B$1+42&lt;=$B118,12*($B$7-$B$10),-12*($B$6+$B$10)*(1+$B$4)^42)&gt;0,1+$B$3,1))</f>
        <v/>
      </c>
      <c r="AT118">
        <f>IF($B$1+43&gt;90,AS118,(AS118+IF($B$1+43&lt;=$B118,12*($B$7-$B$10),-12*($B$6+$B$10)*(1+$B$4)^43))*IF(AS118+IF($B$1+43&lt;=$B118,12*($B$7-$B$10),-12*($B$6+$B$10)*(1+$B$4)^43)&gt;0,1+$B$3,1))</f>
        <v/>
      </c>
      <c r="AU118">
        <f>IF($B$1+44&gt;90,AT118,(AT118+IF($B$1+44&lt;=$B118,12*($B$7-$B$10),-12*($B$6+$B$10)*(1+$B$4)^44))*IF(AT118+IF($B$1+44&lt;=$B118,12*($B$7-$B$10),-12*($B$6+$B$10)*(1+$B$4)^44)&gt;0,1+$B$3,1))</f>
        <v/>
      </c>
      <c r="AV118">
        <f>IF($B$1+45&gt;90,AU118,(AU118+IF($B$1+45&lt;=$B118,12*($B$7-$B$10),-12*($B$6+$B$10)*(1+$B$4)^45))*IF(AU118+IF($B$1+45&lt;=$B118,12*($B$7-$B$10),-12*($B$6+$B$10)*(1+$B$4)^45)&gt;0,1+$B$3,1))</f>
        <v/>
      </c>
      <c r="AW118">
        <f>IF($B$1+46&gt;90,AV118,(AV118+IF($B$1+46&lt;=$B118,12*($B$7-$B$10),-12*($B$6+$B$10)*(1+$B$4)^46))*IF(AV118+IF($B$1+46&lt;=$B118,12*($B$7-$B$10),-12*($B$6+$B$10)*(1+$B$4)^46)&gt;0,1+$B$3,1))</f>
        <v/>
      </c>
      <c r="AX118">
        <f>IF($B$1+47&gt;90,AW118,(AW118+IF($B$1+47&lt;=$B118,12*($B$7-$B$10),-12*($B$6+$B$10)*(1+$B$4)^47))*IF(AW118+IF($B$1+47&lt;=$B118,12*($B$7-$B$10),-12*($B$6+$B$10)*(1+$B$4)^47)&gt;0,1+$B$3,1))</f>
        <v/>
      </c>
      <c r="AY118">
        <f>IF($B$1+48&gt;90,AX118,(AX118+IF($B$1+48&lt;=$B118,12*($B$7-$B$10),-12*($B$6+$B$10)*(1+$B$4)^48))*IF(AX118+IF($B$1+48&lt;=$B118,12*($B$7-$B$10),-12*($B$6+$B$10)*(1+$B$4)^48)&gt;0,1+$B$3,1))</f>
        <v/>
      </c>
      <c r="AZ118">
        <f>IF($B$1+49&gt;90,AY118,(AY118+IF($B$1+49&lt;=$B118,12*($B$7-$B$10),-12*($B$6+$B$10)*(1+$B$4)^49))*IF(AY118+IF($B$1+49&lt;=$B118,12*($B$7-$B$10),-12*($B$6+$B$10)*(1+$B$4)^49)&gt;0,1+$B$3,1))</f>
        <v/>
      </c>
      <c r="BA118">
        <f>IF($B$1+50&gt;90,AZ118,(AZ118+IF($B$1+50&lt;=$B118,12*($B$7-$B$10),-12*($B$6+$B$10)*(1+$B$4)^50))*IF(AZ118+IF($B$1+50&lt;=$B118,12*($B$7-$B$10),-12*($B$6+$B$10)*(1+$B$4)^50)&gt;0,1+$B$3,1))</f>
        <v/>
      </c>
      <c r="BB118">
        <f>IF($B$1+51&gt;90,BA118,(BA118+IF($B$1+51&lt;=$B118,12*($B$7-$B$10),-12*($B$6+$B$10)*(1+$B$4)^51))*IF(BA118+IF($B$1+51&lt;=$B118,12*($B$7-$B$10),-12*($B$6+$B$10)*(1+$B$4)^51)&gt;0,1+$B$3,1))</f>
        <v/>
      </c>
      <c r="BC118">
        <f>IF($B$1+52&gt;90,BB118,(BB118+IF($B$1+52&lt;=$B118,12*($B$7-$B$10),-12*($B$6+$B$10)*(1+$B$4)^52))*IF(BB118+IF($B$1+52&lt;=$B118,12*($B$7-$B$10),-12*($B$6+$B$10)*(1+$B$4)^52)&gt;0,1+$B$3,1))</f>
        <v/>
      </c>
      <c r="BD118">
        <f>IF($B$1+53&gt;90,BC118,(BC118+IF($B$1+53&lt;=$B118,12*($B$7-$B$10),-12*($B$6+$B$10)*(1+$B$4)^53))*IF(BC118+IF($B$1+53&lt;=$B118,12*($B$7-$B$10),-12*($B$6+$B$10)*(1+$B$4)^53)&gt;0,1+$B$3,1))</f>
        <v/>
      </c>
      <c r="BE118">
        <f>IF($B$1+54&gt;90,BD118,(BD118+IF($B$1+54&lt;=$B118,12*($B$7-$B$10),-12*($B$6+$B$10)*(1+$B$4)^54))*IF(BD118+IF($B$1+54&lt;=$B118,12*($B$7-$B$10),-12*($B$6+$B$10)*(1+$B$4)^54)&gt;0,1+$B$3,1))</f>
        <v/>
      </c>
      <c r="BF118">
        <f>IF($B$1+55&gt;90,BE118,(BE118+IF($B$1+55&lt;=$B118,12*($B$7-$B$10),-12*($B$6+$B$10)*(1+$B$4)^55))*IF(BE118+IF($B$1+55&lt;=$B118,12*($B$7-$B$10),-12*($B$6+$B$10)*(1+$B$4)^55)&gt;0,1+$B$3,1))</f>
        <v/>
      </c>
      <c r="BG118">
        <f>IF($B$1+56&gt;90,BF118,(BF118+IF($B$1+56&lt;=$B118,12*($B$7-$B$10),-12*($B$6+$B$10)*(1+$B$4)^56))*IF(BF118+IF($B$1+56&lt;=$B118,12*($B$7-$B$10),-12*($B$6+$B$10)*(1+$B$4)^56)&gt;0,1+$B$3,1))</f>
        <v/>
      </c>
      <c r="BH118">
        <f>IF($B$1+57&gt;90,BG118,(BG118+IF($B$1+57&lt;=$B118,12*($B$7-$B$10),-12*($B$6+$B$10)*(1+$B$4)^57))*IF(BG118+IF($B$1+57&lt;=$B118,12*($B$7-$B$10),-12*($B$6+$B$10)*(1+$B$4)^57)&gt;0,1+$B$3,1))</f>
        <v/>
      </c>
      <c r="BI118">
        <f>IF($B$1+58&gt;90,BH118,(BH118+IF($B$1+58&lt;=$B118,12*($B$7-$B$10),-12*($B$6+$B$10)*(1+$B$4)^58))*IF(BH118+IF($B$1+58&lt;=$B118,12*($B$7-$B$10),-12*($B$6+$B$10)*(1+$B$4)^58)&gt;0,1+$B$3,1))</f>
        <v/>
      </c>
      <c r="BJ118">
        <f>IF($B$1+59&gt;90,BI118,(BI118+IF($B$1+59&lt;=$B118,12*($B$7-$B$10),-12*($B$6+$B$10)*(1+$B$4)^59))*IF(BI118+IF($B$1+59&lt;=$B118,12*($B$7-$B$10),-12*($B$6+$B$10)*(1+$B$4)^59)&gt;0,1+$B$3,1))</f>
        <v/>
      </c>
      <c r="BK118">
        <f>IF($B$1+60&gt;90,BJ118,(BJ118+IF($B$1+60&lt;=$B118,12*($B$7-$B$10),-12*($B$6+$B$10)*(1+$B$4)^60))*IF(BJ118+IF($B$1+60&lt;=$B118,12*($B$7-$B$10),-12*($B$6+$B$10)*(1+$B$4)^60)&gt;0,1+$B$3,1))</f>
        <v/>
      </c>
      <c r="BL118">
        <f>IF($B$1+61&gt;90,BK118,(BK118+IF($B$1+61&lt;=$B118,12*($B$7-$B$10),-12*($B$6+$B$10)*(1+$B$4)^61))*IF(BK118+IF($B$1+61&lt;=$B118,12*($B$7-$B$10),-12*($B$6+$B$10)*(1+$B$4)^61)&gt;0,1+$B$3,1))</f>
        <v/>
      </c>
      <c r="BM118">
        <f>IF($B$1+62&gt;90,BL118,(BL118+IF($B$1+62&lt;=$B118,12*($B$7-$B$10),-12*($B$6+$B$10)*(1+$B$4)^62))*IF(BL118+IF($B$1+62&lt;=$B118,12*($B$7-$B$10),-12*($B$6+$B$10)*(1+$B$4)^62)&gt;0,1+$B$3,1))</f>
        <v/>
      </c>
      <c r="BN118">
        <f>IF($B$1+63&gt;90,BM118,(BM118+IF($B$1+63&lt;=$B118,12*($B$7-$B$10),-12*($B$6+$B$10)*(1+$B$4)^63))*IF(BM118+IF($B$1+63&lt;=$B118,12*($B$7-$B$10),-12*($B$6+$B$10)*(1+$B$4)^63)&gt;0,1+$B$3,1))</f>
        <v/>
      </c>
      <c r="BO118">
        <f>IF($B$1+64&gt;90,BN118,(BN118+IF($B$1+64&lt;=$B118,12*($B$7-$B$10),-12*($B$6+$B$10)*(1+$B$4)^64))*IF(BN118+IF($B$1+64&lt;=$B118,12*($B$7-$B$10),-12*($B$6+$B$10)*(1+$B$4)^64)&gt;0,1+$B$3,1))</f>
        <v/>
      </c>
      <c r="BP118">
        <f>IF($B$1+65&gt;90,BO118,(BO118+IF($B$1+65&lt;=$B118,12*($B$7-$B$10),-12*($B$6+$B$10)*(1+$B$4)^65))*IF(BO118+IF($B$1+65&lt;=$B118,12*($B$7-$B$10),-12*($B$6+$B$10)*(1+$B$4)^65)&gt;0,1+$B$3,1))</f>
        <v/>
      </c>
      <c r="BQ118">
        <f>IF($B$1+66&gt;90,BP118,(BP118+IF($B$1+66&lt;=$B118,12*($B$7-$B$10),-12*($B$6+$B$10)*(1+$B$4)^66))*IF(BP118+IF($B$1+66&lt;=$B118,12*($B$7-$B$10),-12*($B$6+$B$10)*(1+$B$4)^66)&gt;0,1+$B$3,1))</f>
        <v/>
      </c>
      <c r="BR118">
        <f>IF($B$1+67&gt;90,BQ118,(BQ118+IF($B$1+67&lt;=$B118,12*($B$7-$B$10),-12*($B$6+$B$10)*(1+$B$4)^67))*IF(BQ118+IF($B$1+67&lt;=$B118,12*($B$7-$B$10),-12*($B$6+$B$10)*(1+$B$4)^67)&gt;0,1+$B$3,1))</f>
        <v/>
      </c>
      <c r="BS118">
        <f>IF($B$1+68&gt;90,BR118,(BR118+IF($B$1+68&lt;=$B118,12*($B$7-$B$10),-12*($B$6+$B$10)*(1+$B$4)^68))*IF(BR118+IF($B$1+68&lt;=$B118,12*($B$7-$B$10),-12*($B$6+$B$10)*(1+$B$4)^68)&gt;0,1+$B$3,1))</f>
        <v/>
      </c>
      <c r="BT118">
        <f>IF($B$1+69&gt;90,BS118,(BS118+IF($B$1+69&lt;=$B118,12*($B$7-$B$10),-12*($B$6+$B$10)*(1+$B$4)^69))*IF(BS118+IF($B$1+69&lt;=$B118,12*($B$7-$B$10),-12*($B$6+$B$10)*(1+$B$4)^69)&gt;0,1+$B$3,1))</f>
        <v/>
      </c>
      <c r="BU118">
        <f>IF($B$1+70&gt;90,BT118,(BT118+IF($B$1+70&lt;=$B118,12*($B$7-$B$10),-12*($B$6+$B$10)*(1+$B$4)^70))*IF(BT118+IF($B$1+70&lt;=$B118,12*($B$7-$B$10),-12*($B$6+$B$10)*(1+$B$4)^70)&gt;0,1+$B$3,1))</f>
        <v/>
      </c>
      <c r="BV118">
        <f>BU118</f>
        <v/>
      </c>
      <c r="BW118">
        <f>IF(AND($B118&lt;=70,BV118&gt;0),$B118,999)</f>
        <v/>
      </c>
    </row>
    <row r="119">
      <c r="A119" t="n">
        <v>23</v>
      </c>
      <c r="B119">
        <f>$B$1+23</f>
        <v/>
      </c>
      <c r="C119">
        <f>$B$2</f>
        <v/>
      </c>
      <c r="D119">
        <f>IF($B$1+1&gt;90,C119,(C119+IF($B$1+1&lt;=$B119,12*($B$7-$B$10),-12*($B$6+$B$10)*(1+$B$4)^1))*IF(C119+IF($B$1+1&lt;=$B119,12*($B$7-$B$10),-12*($B$6+$B$10)*(1+$B$4)^1)&gt;0,1+$B$3,1))</f>
        <v/>
      </c>
      <c r="E119">
        <f>IF($B$1+2&gt;90,D119,(D119+IF($B$1+2&lt;=$B119,12*($B$7-$B$10),-12*($B$6+$B$10)*(1+$B$4)^2))*IF(D119+IF($B$1+2&lt;=$B119,12*($B$7-$B$10),-12*($B$6+$B$10)*(1+$B$4)^2)&gt;0,1+$B$3,1))</f>
        <v/>
      </c>
      <c r="F119">
        <f>IF($B$1+3&gt;90,E119,(E119+IF($B$1+3&lt;=$B119,12*($B$7-$B$10),-12*($B$6+$B$10)*(1+$B$4)^3))*IF(E119+IF($B$1+3&lt;=$B119,12*($B$7-$B$10),-12*($B$6+$B$10)*(1+$B$4)^3)&gt;0,1+$B$3,1))</f>
        <v/>
      </c>
      <c r="G119">
        <f>IF($B$1+4&gt;90,F119,(F119+IF($B$1+4&lt;=$B119,12*($B$7-$B$10),-12*($B$6+$B$10)*(1+$B$4)^4))*IF(F119+IF($B$1+4&lt;=$B119,12*($B$7-$B$10),-12*($B$6+$B$10)*(1+$B$4)^4)&gt;0,1+$B$3,1))</f>
        <v/>
      </c>
      <c r="H119">
        <f>IF($B$1+5&gt;90,G119,(G119+IF($B$1+5&lt;=$B119,12*($B$7-$B$10),-12*($B$6+$B$10)*(1+$B$4)^5))*IF(G119+IF($B$1+5&lt;=$B119,12*($B$7-$B$10),-12*($B$6+$B$10)*(1+$B$4)^5)&gt;0,1+$B$3,1))</f>
        <v/>
      </c>
      <c r="I119">
        <f>IF($B$1+6&gt;90,H119,(H119+IF($B$1+6&lt;=$B119,12*($B$7-$B$10),-12*($B$6+$B$10)*(1+$B$4)^6))*IF(H119+IF($B$1+6&lt;=$B119,12*($B$7-$B$10),-12*($B$6+$B$10)*(1+$B$4)^6)&gt;0,1+$B$3,1))</f>
        <v/>
      </c>
      <c r="J119">
        <f>IF($B$1+7&gt;90,I119,(I119+IF($B$1+7&lt;=$B119,12*($B$7-$B$10),-12*($B$6+$B$10)*(1+$B$4)^7))*IF(I119+IF($B$1+7&lt;=$B119,12*($B$7-$B$10),-12*($B$6+$B$10)*(1+$B$4)^7)&gt;0,1+$B$3,1))</f>
        <v/>
      </c>
      <c r="K119">
        <f>IF($B$1+8&gt;90,J119,(J119+IF($B$1+8&lt;=$B119,12*($B$7-$B$10),-12*($B$6+$B$10)*(1+$B$4)^8))*IF(J119+IF($B$1+8&lt;=$B119,12*($B$7-$B$10),-12*($B$6+$B$10)*(1+$B$4)^8)&gt;0,1+$B$3,1))</f>
        <v/>
      </c>
      <c r="L119">
        <f>IF($B$1+9&gt;90,K119,(K119+IF($B$1+9&lt;=$B119,12*($B$7-$B$10),-12*($B$6+$B$10)*(1+$B$4)^9))*IF(K119+IF($B$1+9&lt;=$B119,12*($B$7-$B$10),-12*($B$6+$B$10)*(1+$B$4)^9)&gt;0,1+$B$3,1))</f>
        <v/>
      </c>
      <c r="M119">
        <f>IF($B$1+10&gt;90,L119,(L119+IF($B$1+10&lt;=$B119,12*($B$7-$B$10),-12*($B$6+$B$10)*(1+$B$4)^10))*IF(L119+IF($B$1+10&lt;=$B119,12*($B$7-$B$10),-12*($B$6+$B$10)*(1+$B$4)^10)&gt;0,1+$B$3,1))</f>
        <v/>
      </c>
      <c r="N119">
        <f>IF($B$1+11&gt;90,M119,(M119+IF($B$1+11&lt;=$B119,12*($B$7-$B$10),-12*($B$6+$B$10)*(1+$B$4)^11))*IF(M119+IF($B$1+11&lt;=$B119,12*($B$7-$B$10),-12*($B$6+$B$10)*(1+$B$4)^11)&gt;0,1+$B$3,1))</f>
        <v/>
      </c>
      <c r="O119">
        <f>IF($B$1+12&gt;90,N119,(N119+IF($B$1+12&lt;=$B119,12*($B$7-$B$10),-12*($B$6+$B$10)*(1+$B$4)^12))*IF(N119+IF($B$1+12&lt;=$B119,12*($B$7-$B$10),-12*($B$6+$B$10)*(1+$B$4)^12)&gt;0,1+$B$3,1))</f>
        <v/>
      </c>
      <c r="P119">
        <f>IF($B$1+13&gt;90,O119,(O119+IF($B$1+13&lt;=$B119,12*($B$7-$B$10),-12*($B$6+$B$10)*(1+$B$4)^13))*IF(O119+IF($B$1+13&lt;=$B119,12*($B$7-$B$10),-12*($B$6+$B$10)*(1+$B$4)^13)&gt;0,1+$B$3,1))</f>
        <v/>
      </c>
      <c r="Q119">
        <f>IF($B$1+14&gt;90,P119,(P119+IF($B$1+14&lt;=$B119,12*($B$7-$B$10),-12*($B$6+$B$10)*(1+$B$4)^14))*IF(P119+IF($B$1+14&lt;=$B119,12*($B$7-$B$10),-12*($B$6+$B$10)*(1+$B$4)^14)&gt;0,1+$B$3,1))</f>
        <v/>
      </c>
      <c r="R119">
        <f>IF($B$1+15&gt;90,Q119,(Q119+IF($B$1+15&lt;=$B119,12*($B$7-$B$10),-12*($B$6+$B$10)*(1+$B$4)^15))*IF(Q119+IF($B$1+15&lt;=$B119,12*($B$7-$B$10),-12*($B$6+$B$10)*(1+$B$4)^15)&gt;0,1+$B$3,1))</f>
        <v/>
      </c>
      <c r="S119">
        <f>IF($B$1+16&gt;90,R119,(R119+IF($B$1+16&lt;=$B119,12*($B$7-$B$10),-12*($B$6+$B$10)*(1+$B$4)^16))*IF(R119+IF($B$1+16&lt;=$B119,12*($B$7-$B$10),-12*($B$6+$B$10)*(1+$B$4)^16)&gt;0,1+$B$3,1))</f>
        <v/>
      </c>
      <c r="T119">
        <f>IF($B$1+17&gt;90,S119,(S119+IF($B$1+17&lt;=$B119,12*($B$7-$B$10),-12*($B$6+$B$10)*(1+$B$4)^17))*IF(S119+IF($B$1+17&lt;=$B119,12*($B$7-$B$10),-12*($B$6+$B$10)*(1+$B$4)^17)&gt;0,1+$B$3,1))</f>
        <v/>
      </c>
      <c r="U119">
        <f>IF($B$1+18&gt;90,T119,(T119+IF($B$1+18&lt;=$B119,12*($B$7-$B$10),-12*($B$6+$B$10)*(1+$B$4)^18))*IF(T119+IF($B$1+18&lt;=$B119,12*($B$7-$B$10),-12*($B$6+$B$10)*(1+$B$4)^18)&gt;0,1+$B$3,1))</f>
        <v/>
      </c>
      <c r="V119">
        <f>IF($B$1+19&gt;90,U119,(U119+IF($B$1+19&lt;=$B119,12*($B$7-$B$10),-12*($B$6+$B$10)*(1+$B$4)^19))*IF(U119+IF($B$1+19&lt;=$B119,12*($B$7-$B$10),-12*($B$6+$B$10)*(1+$B$4)^19)&gt;0,1+$B$3,1))</f>
        <v/>
      </c>
      <c r="W119">
        <f>IF($B$1+20&gt;90,V119,(V119+IF($B$1+20&lt;=$B119,12*($B$7-$B$10),-12*($B$6+$B$10)*(1+$B$4)^20))*IF(V119+IF($B$1+20&lt;=$B119,12*($B$7-$B$10),-12*($B$6+$B$10)*(1+$B$4)^20)&gt;0,1+$B$3,1))</f>
        <v/>
      </c>
      <c r="X119">
        <f>IF($B$1+21&gt;90,W119,(W119+IF($B$1+21&lt;=$B119,12*($B$7-$B$10),-12*($B$6+$B$10)*(1+$B$4)^21))*IF(W119+IF($B$1+21&lt;=$B119,12*($B$7-$B$10),-12*($B$6+$B$10)*(1+$B$4)^21)&gt;0,1+$B$3,1))</f>
        <v/>
      </c>
      <c r="Y119">
        <f>IF($B$1+22&gt;90,X119,(X119+IF($B$1+22&lt;=$B119,12*($B$7-$B$10),-12*($B$6+$B$10)*(1+$B$4)^22))*IF(X119+IF($B$1+22&lt;=$B119,12*($B$7-$B$10),-12*($B$6+$B$10)*(1+$B$4)^22)&gt;0,1+$B$3,1))</f>
        <v/>
      </c>
      <c r="Z119">
        <f>IF($B$1+23&gt;90,Y119,(Y119+IF($B$1+23&lt;=$B119,12*($B$7-$B$10),-12*($B$6+$B$10)*(1+$B$4)^23))*IF(Y119+IF($B$1+23&lt;=$B119,12*($B$7-$B$10),-12*($B$6+$B$10)*(1+$B$4)^23)&gt;0,1+$B$3,1))</f>
        <v/>
      </c>
      <c r="AA119">
        <f>IF($B$1+24&gt;90,Z119,(Z119+IF($B$1+24&lt;=$B119,12*($B$7-$B$10),-12*($B$6+$B$10)*(1+$B$4)^24))*IF(Z119+IF($B$1+24&lt;=$B119,12*($B$7-$B$10),-12*($B$6+$B$10)*(1+$B$4)^24)&gt;0,1+$B$3,1))</f>
        <v/>
      </c>
      <c r="AB119">
        <f>IF($B$1+25&gt;90,AA119,(AA119+IF($B$1+25&lt;=$B119,12*($B$7-$B$10),-12*($B$6+$B$10)*(1+$B$4)^25))*IF(AA119+IF($B$1+25&lt;=$B119,12*($B$7-$B$10),-12*($B$6+$B$10)*(1+$B$4)^25)&gt;0,1+$B$3,1))</f>
        <v/>
      </c>
      <c r="AC119">
        <f>IF($B$1+26&gt;90,AB119,(AB119+IF($B$1+26&lt;=$B119,12*($B$7-$B$10),-12*($B$6+$B$10)*(1+$B$4)^26))*IF(AB119+IF($B$1+26&lt;=$B119,12*($B$7-$B$10),-12*($B$6+$B$10)*(1+$B$4)^26)&gt;0,1+$B$3,1))</f>
        <v/>
      </c>
      <c r="AD119">
        <f>IF($B$1+27&gt;90,AC119,(AC119+IF($B$1+27&lt;=$B119,12*($B$7-$B$10),-12*($B$6+$B$10)*(1+$B$4)^27))*IF(AC119+IF($B$1+27&lt;=$B119,12*($B$7-$B$10),-12*($B$6+$B$10)*(1+$B$4)^27)&gt;0,1+$B$3,1))</f>
        <v/>
      </c>
      <c r="AE119">
        <f>IF($B$1+28&gt;90,AD119,(AD119+IF($B$1+28&lt;=$B119,12*($B$7-$B$10),-12*($B$6+$B$10)*(1+$B$4)^28))*IF(AD119+IF($B$1+28&lt;=$B119,12*($B$7-$B$10),-12*($B$6+$B$10)*(1+$B$4)^28)&gt;0,1+$B$3,1))</f>
        <v/>
      </c>
      <c r="AF119">
        <f>IF($B$1+29&gt;90,AE119,(AE119+IF($B$1+29&lt;=$B119,12*($B$7-$B$10),-12*($B$6+$B$10)*(1+$B$4)^29))*IF(AE119+IF($B$1+29&lt;=$B119,12*($B$7-$B$10),-12*($B$6+$B$10)*(1+$B$4)^29)&gt;0,1+$B$3,1))</f>
        <v/>
      </c>
      <c r="AG119">
        <f>IF($B$1+30&gt;90,AF119,(AF119+IF($B$1+30&lt;=$B119,12*($B$7-$B$10),-12*($B$6+$B$10)*(1+$B$4)^30))*IF(AF119+IF($B$1+30&lt;=$B119,12*($B$7-$B$10),-12*($B$6+$B$10)*(1+$B$4)^30)&gt;0,1+$B$3,1))</f>
        <v/>
      </c>
      <c r="AH119">
        <f>IF($B$1+31&gt;90,AG119,(AG119+IF($B$1+31&lt;=$B119,12*($B$7-$B$10),-12*($B$6+$B$10)*(1+$B$4)^31))*IF(AG119+IF($B$1+31&lt;=$B119,12*($B$7-$B$10),-12*($B$6+$B$10)*(1+$B$4)^31)&gt;0,1+$B$3,1))</f>
        <v/>
      </c>
      <c r="AI119">
        <f>IF($B$1+32&gt;90,AH119,(AH119+IF($B$1+32&lt;=$B119,12*($B$7-$B$10),-12*($B$6+$B$10)*(1+$B$4)^32))*IF(AH119+IF($B$1+32&lt;=$B119,12*($B$7-$B$10),-12*($B$6+$B$10)*(1+$B$4)^32)&gt;0,1+$B$3,1))</f>
        <v/>
      </c>
      <c r="AJ119">
        <f>IF($B$1+33&gt;90,AI119,(AI119+IF($B$1+33&lt;=$B119,12*($B$7-$B$10),-12*($B$6+$B$10)*(1+$B$4)^33))*IF(AI119+IF($B$1+33&lt;=$B119,12*($B$7-$B$10),-12*($B$6+$B$10)*(1+$B$4)^33)&gt;0,1+$B$3,1))</f>
        <v/>
      </c>
      <c r="AK119">
        <f>IF($B$1+34&gt;90,AJ119,(AJ119+IF($B$1+34&lt;=$B119,12*($B$7-$B$10),-12*($B$6+$B$10)*(1+$B$4)^34))*IF(AJ119+IF($B$1+34&lt;=$B119,12*($B$7-$B$10),-12*($B$6+$B$10)*(1+$B$4)^34)&gt;0,1+$B$3,1))</f>
        <v/>
      </c>
      <c r="AL119">
        <f>IF($B$1+35&gt;90,AK119,(AK119+IF($B$1+35&lt;=$B119,12*($B$7-$B$10),-12*($B$6+$B$10)*(1+$B$4)^35))*IF(AK119+IF($B$1+35&lt;=$B119,12*($B$7-$B$10),-12*($B$6+$B$10)*(1+$B$4)^35)&gt;0,1+$B$3,1))</f>
        <v/>
      </c>
      <c r="AM119">
        <f>IF($B$1+36&gt;90,AL119,(AL119+IF($B$1+36&lt;=$B119,12*($B$7-$B$10),-12*($B$6+$B$10)*(1+$B$4)^36))*IF(AL119+IF($B$1+36&lt;=$B119,12*($B$7-$B$10),-12*($B$6+$B$10)*(1+$B$4)^36)&gt;0,1+$B$3,1))</f>
        <v/>
      </c>
      <c r="AN119">
        <f>IF($B$1+37&gt;90,AM119,(AM119+IF($B$1+37&lt;=$B119,12*($B$7-$B$10),-12*($B$6+$B$10)*(1+$B$4)^37))*IF(AM119+IF($B$1+37&lt;=$B119,12*($B$7-$B$10),-12*($B$6+$B$10)*(1+$B$4)^37)&gt;0,1+$B$3,1))</f>
        <v/>
      </c>
      <c r="AO119">
        <f>IF($B$1+38&gt;90,AN119,(AN119+IF($B$1+38&lt;=$B119,12*($B$7-$B$10),-12*($B$6+$B$10)*(1+$B$4)^38))*IF(AN119+IF($B$1+38&lt;=$B119,12*($B$7-$B$10),-12*($B$6+$B$10)*(1+$B$4)^38)&gt;0,1+$B$3,1))</f>
        <v/>
      </c>
      <c r="AP119">
        <f>IF($B$1+39&gt;90,AO119,(AO119+IF($B$1+39&lt;=$B119,12*($B$7-$B$10),-12*($B$6+$B$10)*(1+$B$4)^39))*IF(AO119+IF($B$1+39&lt;=$B119,12*($B$7-$B$10),-12*($B$6+$B$10)*(1+$B$4)^39)&gt;0,1+$B$3,1))</f>
        <v/>
      </c>
      <c r="AQ119">
        <f>IF($B$1+40&gt;90,AP119,(AP119+IF($B$1+40&lt;=$B119,12*($B$7-$B$10),-12*($B$6+$B$10)*(1+$B$4)^40))*IF(AP119+IF($B$1+40&lt;=$B119,12*($B$7-$B$10),-12*($B$6+$B$10)*(1+$B$4)^40)&gt;0,1+$B$3,1))</f>
        <v/>
      </c>
      <c r="AR119">
        <f>IF($B$1+41&gt;90,AQ119,(AQ119+IF($B$1+41&lt;=$B119,12*($B$7-$B$10),-12*($B$6+$B$10)*(1+$B$4)^41))*IF(AQ119+IF($B$1+41&lt;=$B119,12*($B$7-$B$10),-12*($B$6+$B$10)*(1+$B$4)^41)&gt;0,1+$B$3,1))</f>
        <v/>
      </c>
      <c r="AS119">
        <f>IF($B$1+42&gt;90,AR119,(AR119+IF($B$1+42&lt;=$B119,12*($B$7-$B$10),-12*($B$6+$B$10)*(1+$B$4)^42))*IF(AR119+IF($B$1+42&lt;=$B119,12*($B$7-$B$10),-12*($B$6+$B$10)*(1+$B$4)^42)&gt;0,1+$B$3,1))</f>
        <v/>
      </c>
      <c r="AT119">
        <f>IF($B$1+43&gt;90,AS119,(AS119+IF($B$1+43&lt;=$B119,12*($B$7-$B$10),-12*($B$6+$B$10)*(1+$B$4)^43))*IF(AS119+IF($B$1+43&lt;=$B119,12*($B$7-$B$10),-12*($B$6+$B$10)*(1+$B$4)^43)&gt;0,1+$B$3,1))</f>
        <v/>
      </c>
      <c r="AU119">
        <f>IF($B$1+44&gt;90,AT119,(AT119+IF($B$1+44&lt;=$B119,12*($B$7-$B$10),-12*($B$6+$B$10)*(1+$B$4)^44))*IF(AT119+IF($B$1+44&lt;=$B119,12*($B$7-$B$10),-12*($B$6+$B$10)*(1+$B$4)^44)&gt;0,1+$B$3,1))</f>
        <v/>
      </c>
      <c r="AV119">
        <f>IF($B$1+45&gt;90,AU119,(AU119+IF($B$1+45&lt;=$B119,12*($B$7-$B$10),-12*($B$6+$B$10)*(1+$B$4)^45))*IF(AU119+IF($B$1+45&lt;=$B119,12*($B$7-$B$10),-12*($B$6+$B$10)*(1+$B$4)^45)&gt;0,1+$B$3,1))</f>
        <v/>
      </c>
      <c r="AW119">
        <f>IF($B$1+46&gt;90,AV119,(AV119+IF($B$1+46&lt;=$B119,12*($B$7-$B$10),-12*($B$6+$B$10)*(1+$B$4)^46))*IF(AV119+IF($B$1+46&lt;=$B119,12*($B$7-$B$10),-12*($B$6+$B$10)*(1+$B$4)^46)&gt;0,1+$B$3,1))</f>
        <v/>
      </c>
      <c r="AX119">
        <f>IF($B$1+47&gt;90,AW119,(AW119+IF($B$1+47&lt;=$B119,12*($B$7-$B$10),-12*($B$6+$B$10)*(1+$B$4)^47))*IF(AW119+IF($B$1+47&lt;=$B119,12*($B$7-$B$10),-12*($B$6+$B$10)*(1+$B$4)^47)&gt;0,1+$B$3,1))</f>
        <v/>
      </c>
      <c r="AY119">
        <f>IF($B$1+48&gt;90,AX119,(AX119+IF($B$1+48&lt;=$B119,12*($B$7-$B$10),-12*($B$6+$B$10)*(1+$B$4)^48))*IF(AX119+IF($B$1+48&lt;=$B119,12*($B$7-$B$10),-12*($B$6+$B$10)*(1+$B$4)^48)&gt;0,1+$B$3,1))</f>
        <v/>
      </c>
      <c r="AZ119">
        <f>IF($B$1+49&gt;90,AY119,(AY119+IF($B$1+49&lt;=$B119,12*($B$7-$B$10),-12*($B$6+$B$10)*(1+$B$4)^49))*IF(AY119+IF($B$1+49&lt;=$B119,12*($B$7-$B$10),-12*($B$6+$B$10)*(1+$B$4)^49)&gt;0,1+$B$3,1))</f>
        <v/>
      </c>
      <c r="BA119">
        <f>IF($B$1+50&gt;90,AZ119,(AZ119+IF($B$1+50&lt;=$B119,12*($B$7-$B$10),-12*($B$6+$B$10)*(1+$B$4)^50))*IF(AZ119+IF($B$1+50&lt;=$B119,12*($B$7-$B$10),-12*($B$6+$B$10)*(1+$B$4)^50)&gt;0,1+$B$3,1))</f>
        <v/>
      </c>
      <c r="BB119">
        <f>IF($B$1+51&gt;90,BA119,(BA119+IF($B$1+51&lt;=$B119,12*($B$7-$B$10),-12*($B$6+$B$10)*(1+$B$4)^51))*IF(BA119+IF($B$1+51&lt;=$B119,12*($B$7-$B$10),-12*($B$6+$B$10)*(1+$B$4)^51)&gt;0,1+$B$3,1))</f>
        <v/>
      </c>
      <c r="BC119">
        <f>IF($B$1+52&gt;90,BB119,(BB119+IF($B$1+52&lt;=$B119,12*($B$7-$B$10),-12*($B$6+$B$10)*(1+$B$4)^52))*IF(BB119+IF($B$1+52&lt;=$B119,12*($B$7-$B$10),-12*($B$6+$B$10)*(1+$B$4)^52)&gt;0,1+$B$3,1))</f>
        <v/>
      </c>
      <c r="BD119">
        <f>IF($B$1+53&gt;90,BC119,(BC119+IF($B$1+53&lt;=$B119,12*($B$7-$B$10),-12*($B$6+$B$10)*(1+$B$4)^53))*IF(BC119+IF($B$1+53&lt;=$B119,12*($B$7-$B$10),-12*($B$6+$B$10)*(1+$B$4)^53)&gt;0,1+$B$3,1))</f>
        <v/>
      </c>
      <c r="BE119">
        <f>IF($B$1+54&gt;90,BD119,(BD119+IF($B$1+54&lt;=$B119,12*($B$7-$B$10),-12*($B$6+$B$10)*(1+$B$4)^54))*IF(BD119+IF($B$1+54&lt;=$B119,12*($B$7-$B$10),-12*($B$6+$B$10)*(1+$B$4)^54)&gt;0,1+$B$3,1))</f>
        <v/>
      </c>
      <c r="BF119">
        <f>IF($B$1+55&gt;90,BE119,(BE119+IF($B$1+55&lt;=$B119,12*($B$7-$B$10),-12*($B$6+$B$10)*(1+$B$4)^55))*IF(BE119+IF($B$1+55&lt;=$B119,12*($B$7-$B$10),-12*($B$6+$B$10)*(1+$B$4)^55)&gt;0,1+$B$3,1))</f>
        <v/>
      </c>
      <c r="BG119">
        <f>IF($B$1+56&gt;90,BF119,(BF119+IF($B$1+56&lt;=$B119,12*($B$7-$B$10),-12*($B$6+$B$10)*(1+$B$4)^56))*IF(BF119+IF($B$1+56&lt;=$B119,12*($B$7-$B$10),-12*($B$6+$B$10)*(1+$B$4)^56)&gt;0,1+$B$3,1))</f>
        <v/>
      </c>
      <c r="BH119">
        <f>IF($B$1+57&gt;90,BG119,(BG119+IF($B$1+57&lt;=$B119,12*($B$7-$B$10),-12*($B$6+$B$10)*(1+$B$4)^57))*IF(BG119+IF($B$1+57&lt;=$B119,12*($B$7-$B$10),-12*($B$6+$B$10)*(1+$B$4)^57)&gt;0,1+$B$3,1))</f>
        <v/>
      </c>
      <c r="BI119">
        <f>IF($B$1+58&gt;90,BH119,(BH119+IF($B$1+58&lt;=$B119,12*($B$7-$B$10),-12*($B$6+$B$10)*(1+$B$4)^58))*IF(BH119+IF($B$1+58&lt;=$B119,12*($B$7-$B$10),-12*($B$6+$B$10)*(1+$B$4)^58)&gt;0,1+$B$3,1))</f>
        <v/>
      </c>
      <c r="BJ119">
        <f>IF($B$1+59&gt;90,BI119,(BI119+IF($B$1+59&lt;=$B119,12*($B$7-$B$10),-12*($B$6+$B$10)*(1+$B$4)^59))*IF(BI119+IF($B$1+59&lt;=$B119,12*($B$7-$B$10),-12*($B$6+$B$10)*(1+$B$4)^59)&gt;0,1+$B$3,1))</f>
        <v/>
      </c>
      <c r="BK119">
        <f>IF($B$1+60&gt;90,BJ119,(BJ119+IF($B$1+60&lt;=$B119,12*($B$7-$B$10),-12*($B$6+$B$10)*(1+$B$4)^60))*IF(BJ119+IF($B$1+60&lt;=$B119,12*($B$7-$B$10),-12*($B$6+$B$10)*(1+$B$4)^60)&gt;0,1+$B$3,1))</f>
        <v/>
      </c>
      <c r="BL119">
        <f>IF($B$1+61&gt;90,BK119,(BK119+IF($B$1+61&lt;=$B119,12*($B$7-$B$10),-12*($B$6+$B$10)*(1+$B$4)^61))*IF(BK119+IF($B$1+61&lt;=$B119,12*($B$7-$B$10),-12*($B$6+$B$10)*(1+$B$4)^61)&gt;0,1+$B$3,1))</f>
        <v/>
      </c>
      <c r="BM119">
        <f>IF($B$1+62&gt;90,BL119,(BL119+IF($B$1+62&lt;=$B119,12*($B$7-$B$10),-12*($B$6+$B$10)*(1+$B$4)^62))*IF(BL119+IF($B$1+62&lt;=$B119,12*($B$7-$B$10),-12*($B$6+$B$10)*(1+$B$4)^62)&gt;0,1+$B$3,1))</f>
        <v/>
      </c>
      <c r="BN119">
        <f>IF($B$1+63&gt;90,BM119,(BM119+IF($B$1+63&lt;=$B119,12*($B$7-$B$10),-12*($B$6+$B$10)*(1+$B$4)^63))*IF(BM119+IF($B$1+63&lt;=$B119,12*($B$7-$B$10),-12*($B$6+$B$10)*(1+$B$4)^63)&gt;0,1+$B$3,1))</f>
        <v/>
      </c>
      <c r="BO119">
        <f>IF($B$1+64&gt;90,BN119,(BN119+IF($B$1+64&lt;=$B119,12*($B$7-$B$10),-12*($B$6+$B$10)*(1+$B$4)^64))*IF(BN119+IF($B$1+64&lt;=$B119,12*($B$7-$B$10),-12*($B$6+$B$10)*(1+$B$4)^64)&gt;0,1+$B$3,1))</f>
        <v/>
      </c>
      <c r="BP119">
        <f>IF($B$1+65&gt;90,BO119,(BO119+IF($B$1+65&lt;=$B119,12*($B$7-$B$10),-12*($B$6+$B$10)*(1+$B$4)^65))*IF(BO119+IF($B$1+65&lt;=$B119,12*($B$7-$B$10),-12*($B$6+$B$10)*(1+$B$4)^65)&gt;0,1+$B$3,1))</f>
        <v/>
      </c>
      <c r="BQ119">
        <f>IF($B$1+66&gt;90,BP119,(BP119+IF($B$1+66&lt;=$B119,12*($B$7-$B$10),-12*($B$6+$B$10)*(1+$B$4)^66))*IF(BP119+IF($B$1+66&lt;=$B119,12*($B$7-$B$10),-12*($B$6+$B$10)*(1+$B$4)^66)&gt;0,1+$B$3,1))</f>
        <v/>
      </c>
      <c r="BR119">
        <f>IF($B$1+67&gt;90,BQ119,(BQ119+IF($B$1+67&lt;=$B119,12*($B$7-$B$10),-12*($B$6+$B$10)*(1+$B$4)^67))*IF(BQ119+IF($B$1+67&lt;=$B119,12*($B$7-$B$10),-12*($B$6+$B$10)*(1+$B$4)^67)&gt;0,1+$B$3,1))</f>
        <v/>
      </c>
      <c r="BS119">
        <f>IF($B$1+68&gt;90,BR119,(BR119+IF($B$1+68&lt;=$B119,12*($B$7-$B$10),-12*($B$6+$B$10)*(1+$B$4)^68))*IF(BR119+IF($B$1+68&lt;=$B119,12*($B$7-$B$10),-12*($B$6+$B$10)*(1+$B$4)^68)&gt;0,1+$B$3,1))</f>
        <v/>
      </c>
      <c r="BT119">
        <f>IF($B$1+69&gt;90,BS119,(BS119+IF($B$1+69&lt;=$B119,12*($B$7-$B$10),-12*($B$6+$B$10)*(1+$B$4)^69))*IF(BS119+IF($B$1+69&lt;=$B119,12*($B$7-$B$10),-12*($B$6+$B$10)*(1+$B$4)^69)&gt;0,1+$B$3,1))</f>
        <v/>
      </c>
      <c r="BU119">
        <f>IF($B$1+70&gt;90,BT119,(BT119+IF($B$1+70&lt;=$B119,12*($B$7-$B$10),-12*($B$6+$B$10)*(1+$B$4)^70))*IF(BT119+IF($B$1+70&lt;=$B119,12*($B$7-$B$10),-12*($B$6+$B$10)*(1+$B$4)^70)&gt;0,1+$B$3,1))</f>
        <v/>
      </c>
      <c r="BV119">
        <f>BU119</f>
        <v/>
      </c>
      <c r="BW119">
        <f>IF(AND($B119&lt;=70,BV119&gt;0),$B119,999)</f>
        <v/>
      </c>
    </row>
    <row r="120">
      <c r="A120" t="n">
        <v>24</v>
      </c>
      <c r="B120">
        <f>$B$1+24</f>
        <v/>
      </c>
      <c r="C120">
        <f>$B$2</f>
        <v/>
      </c>
      <c r="D120">
        <f>IF($B$1+1&gt;90,C120,(C120+IF($B$1+1&lt;=$B120,12*($B$7-$B$10),-12*($B$6+$B$10)*(1+$B$4)^1))*IF(C120+IF($B$1+1&lt;=$B120,12*($B$7-$B$10),-12*($B$6+$B$10)*(1+$B$4)^1)&gt;0,1+$B$3,1))</f>
        <v/>
      </c>
      <c r="E120">
        <f>IF($B$1+2&gt;90,D120,(D120+IF($B$1+2&lt;=$B120,12*($B$7-$B$10),-12*($B$6+$B$10)*(1+$B$4)^2))*IF(D120+IF($B$1+2&lt;=$B120,12*($B$7-$B$10),-12*($B$6+$B$10)*(1+$B$4)^2)&gt;0,1+$B$3,1))</f>
        <v/>
      </c>
      <c r="F120">
        <f>IF($B$1+3&gt;90,E120,(E120+IF($B$1+3&lt;=$B120,12*($B$7-$B$10),-12*($B$6+$B$10)*(1+$B$4)^3))*IF(E120+IF($B$1+3&lt;=$B120,12*($B$7-$B$10),-12*($B$6+$B$10)*(1+$B$4)^3)&gt;0,1+$B$3,1))</f>
        <v/>
      </c>
      <c r="G120">
        <f>IF($B$1+4&gt;90,F120,(F120+IF($B$1+4&lt;=$B120,12*($B$7-$B$10),-12*($B$6+$B$10)*(1+$B$4)^4))*IF(F120+IF($B$1+4&lt;=$B120,12*($B$7-$B$10),-12*($B$6+$B$10)*(1+$B$4)^4)&gt;0,1+$B$3,1))</f>
        <v/>
      </c>
      <c r="H120">
        <f>IF($B$1+5&gt;90,G120,(G120+IF($B$1+5&lt;=$B120,12*($B$7-$B$10),-12*($B$6+$B$10)*(1+$B$4)^5))*IF(G120+IF($B$1+5&lt;=$B120,12*($B$7-$B$10),-12*($B$6+$B$10)*(1+$B$4)^5)&gt;0,1+$B$3,1))</f>
        <v/>
      </c>
      <c r="I120">
        <f>IF($B$1+6&gt;90,H120,(H120+IF($B$1+6&lt;=$B120,12*($B$7-$B$10),-12*($B$6+$B$10)*(1+$B$4)^6))*IF(H120+IF($B$1+6&lt;=$B120,12*($B$7-$B$10),-12*($B$6+$B$10)*(1+$B$4)^6)&gt;0,1+$B$3,1))</f>
        <v/>
      </c>
      <c r="J120">
        <f>IF($B$1+7&gt;90,I120,(I120+IF($B$1+7&lt;=$B120,12*($B$7-$B$10),-12*($B$6+$B$10)*(1+$B$4)^7))*IF(I120+IF($B$1+7&lt;=$B120,12*($B$7-$B$10),-12*($B$6+$B$10)*(1+$B$4)^7)&gt;0,1+$B$3,1))</f>
        <v/>
      </c>
      <c r="K120">
        <f>IF($B$1+8&gt;90,J120,(J120+IF($B$1+8&lt;=$B120,12*($B$7-$B$10),-12*($B$6+$B$10)*(1+$B$4)^8))*IF(J120+IF($B$1+8&lt;=$B120,12*($B$7-$B$10),-12*($B$6+$B$10)*(1+$B$4)^8)&gt;0,1+$B$3,1))</f>
        <v/>
      </c>
      <c r="L120">
        <f>IF($B$1+9&gt;90,K120,(K120+IF($B$1+9&lt;=$B120,12*($B$7-$B$10),-12*($B$6+$B$10)*(1+$B$4)^9))*IF(K120+IF($B$1+9&lt;=$B120,12*($B$7-$B$10),-12*($B$6+$B$10)*(1+$B$4)^9)&gt;0,1+$B$3,1))</f>
        <v/>
      </c>
      <c r="M120">
        <f>IF($B$1+10&gt;90,L120,(L120+IF($B$1+10&lt;=$B120,12*($B$7-$B$10),-12*($B$6+$B$10)*(1+$B$4)^10))*IF(L120+IF($B$1+10&lt;=$B120,12*($B$7-$B$10),-12*($B$6+$B$10)*(1+$B$4)^10)&gt;0,1+$B$3,1))</f>
        <v/>
      </c>
      <c r="N120">
        <f>IF($B$1+11&gt;90,M120,(M120+IF($B$1+11&lt;=$B120,12*($B$7-$B$10),-12*($B$6+$B$10)*(1+$B$4)^11))*IF(M120+IF($B$1+11&lt;=$B120,12*($B$7-$B$10),-12*($B$6+$B$10)*(1+$B$4)^11)&gt;0,1+$B$3,1))</f>
        <v/>
      </c>
      <c r="O120">
        <f>IF($B$1+12&gt;90,N120,(N120+IF($B$1+12&lt;=$B120,12*($B$7-$B$10),-12*($B$6+$B$10)*(1+$B$4)^12))*IF(N120+IF($B$1+12&lt;=$B120,12*($B$7-$B$10),-12*($B$6+$B$10)*(1+$B$4)^12)&gt;0,1+$B$3,1))</f>
        <v/>
      </c>
      <c r="P120">
        <f>IF($B$1+13&gt;90,O120,(O120+IF($B$1+13&lt;=$B120,12*($B$7-$B$10),-12*($B$6+$B$10)*(1+$B$4)^13))*IF(O120+IF($B$1+13&lt;=$B120,12*($B$7-$B$10),-12*($B$6+$B$10)*(1+$B$4)^13)&gt;0,1+$B$3,1))</f>
        <v/>
      </c>
      <c r="Q120">
        <f>IF($B$1+14&gt;90,P120,(P120+IF($B$1+14&lt;=$B120,12*($B$7-$B$10),-12*($B$6+$B$10)*(1+$B$4)^14))*IF(P120+IF($B$1+14&lt;=$B120,12*($B$7-$B$10),-12*($B$6+$B$10)*(1+$B$4)^14)&gt;0,1+$B$3,1))</f>
        <v/>
      </c>
      <c r="R120">
        <f>IF($B$1+15&gt;90,Q120,(Q120+IF($B$1+15&lt;=$B120,12*($B$7-$B$10),-12*($B$6+$B$10)*(1+$B$4)^15))*IF(Q120+IF($B$1+15&lt;=$B120,12*($B$7-$B$10),-12*($B$6+$B$10)*(1+$B$4)^15)&gt;0,1+$B$3,1))</f>
        <v/>
      </c>
      <c r="S120">
        <f>IF($B$1+16&gt;90,R120,(R120+IF($B$1+16&lt;=$B120,12*($B$7-$B$10),-12*($B$6+$B$10)*(1+$B$4)^16))*IF(R120+IF($B$1+16&lt;=$B120,12*($B$7-$B$10),-12*($B$6+$B$10)*(1+$B$4)^16)&gt;0,1+$B$3,1))</f>
        <v/>
      </c>
      <c r="T120">
        <f>IF($B$1+17&gt;90,S120,(S120+IF($B$1+17&lt;=$B120,12*($B$7-$B$10),-12*($B$6+$B$10)*(1+$B$4)^17))*IF(S120+IF($B$1+17&lt;=$B120,12*($B$7-$B$10),-12*($B$6+$B$10)*(1+$B$4)^17)&gt;0,1+$B$3,1))</f>
        <v/>
      </c>
      <c r="U120">
        <f>IF($B$1+18&gt;90,T120,(T120+IF($B$1+18&lt;=$B120,12*($B$7-$B$10),-12*($B$6+$B$10)*(1+$B$4)^18))*IF(T120+IF($B$1+18&lt;=$B120,12*($B$7-$B$10),-12*($B$6+$B$10)*(1+$B$4)^18)&gt;0,1+$B$3,1))</f>
        <v/>
      </c>
      <c r="V120">
        <f>IF($B$1+19&gt;90,U120,(U120+IF($B$1+19&lt;=$B120,12*($B$7-$B$10),-12*($B$6+$B$10)*(1+$B$4)^19))*IF(U120+IF($B$1+19&lt;=$B120,12*($B$7-$B$10),-12*($B$6+$B$10)*(1+$B$4)^19)&gt;0,1+$B$3,1))</f>
        <v/>
      </c>
      <c r="W120">
        <f>IF($B$1+20&gt;90,V120,(V120+IF($B$1+20&lt;=$B120,12*($B$7-$B$10),-12*($B$6+$B$10)*(1+$B$4)^20))*IF(V120+IF($B$1+20&lt;=$B120,12*($B$7-$B$10),-12*($B$6+$B$10)*(1+$B$4)^20)&gt;0,1+$B$3,1))</f>
        <v/>
      </c>
      <c r="X120">
        <f>IF($B$1+21&gt;90,W120,(W120+IF($B$1+21&lt;=$B120,12*($B$7-$B$10),-12*($B$6+$B$10)*(1+$B$4)^21))*IF(W120+IF($B$1+21&lt;=$B120,12*($B$7-$B$10),-12*($B$6+$B$10)*(1+$B$4)^21)&gt;0,1+$B$3,1))</f>
        <v/>
      </c>
      <c r="Y120">
        <f>IF($B$1+22&gt;90,X120,(X120+IF($B$1+22&lt;=$B120,12*($B$7-$B$10),-12*($B$6+$B$10)*(1+$B$4)^22))*IF(X120+IF($B$1+22&lt;=$B120,12*($B$7-$B$10),-12*($B$6+$B$10)*(1+$B$4)^22)&gt;0,1+$B$3,1))</f>
        <v/>
      </c>
      <c r="Z120">
        <f>IF($B$1+23&gt;90,Y120,(Y120+IF($B$1+23&lt;=$B120,12*($B$7-$B$10),-12*($B$6+$B$10)*(1+$B$4)^23))*IF(Y120+IF($B$1+23&lt;=$B120,12*($B$7-$B$10),-12*($B$6+$B$10)*(1+$B$4)^23)&gt;0,1+$B$3,1))</f>
        <v/>
      </c>
      <c r="AA120">
        <f>IF($B$1+24&gt;90,Z120,(Z120+IF($B$1+24&lt;=$B120,12*($B$7-$B$10),-12*($B$6+$B$10)*(1+$B$4)^24))*IF(Z120+IF($B$1+24&lt;=$B120,12*($B$7-$B$10),-12*($B$6+$B$10)*(1+$B$4)^24)&gt;0,1+$B$3,1))</f>
        <v/>
      </c>
      <c r="AB120">
        <f>IF($B$1+25&gt;90,AA120,(AA120+IF($B$1+25&lt;=$B120,12*($B$7-$B$10),-12*($B$6+$B$10)*(1+$B$4)^25))*IF(AA120+IF($B$1+25&lt;=$B120,12*($B$7-$B$10),-12*($B$6+$B$10)*(1+$B$4)^25)&gt;0,1+$B$3,1))</f>
        <v/>
      </c>
      <c r="AC120">
        <f>IF($B$1+26&gt;90,AB120,(AB120+IF($B$1+26&lt;=$B120,12*($B$7-$B$10),-12*($B$6+$B$10)*(1+$B$4)^26))*IF(AB120+IF($B$1+26&lt;=$B120,12*($B$7-$B$10),-12*($B$6+$B$10)*(1+$B$4)^26)&gt;0,1+$B$3,1))</f>
        <v/>
      </c>
      <c r="AD120">
        <f>IF($B$1+27&gt;90,AC120,(AC120+IF($B$1+27&lt;=$B120,12*($B$7-$B$10),-12*($B$6+$B$10)*(1+$B$4)^27))*IF(AC120+IF($B$1+27&lt;=$B120,12*($B$7-$B$10),-12*($B$6+$B$10)*(1+$B$4)^27)&gt;0,1+$B$3,1))</f>
        <v/>
      </c>
      <c r="AE120">
        <f>IF($B$1+28&gt;90,AD120,(AD120+IF($B$1+28&lt;=$B120,12*($B$7-$B$10),-12*($B$6+$B$10)*(1+$B$4)^28))*IF(AD120+IF($B$1+28&lt;=$B120,12*($B$7-$B$10),-12*($B$6+$B$10)*(1+$B$4)^28)&gt;0,1+$B$3,1))</f>
        <v/>
      </c>
      <c r="AF120">
        <f>IF($B$1+29&gt;90,AE120,(AE120+IF($B$1+29&lt;=$B120,12*($B$7-$B$10),-12*($B$6+$B$10)*(1+$B$4)^29))*IF(AE120+IF($B$1+29&lt;=$B120,12*($B$7-$B$10),-12*($B$6+$B$10)*(1+$B$4)^29)&gt;0,1+$B$3,1))</f>
        <v/>
      </c>
      <c r="AG120">
        <f>IF($B$1+30&gt;90,AF120,(AF120+IF($B$1+30&lt;=$B120,12*($B$7-$B$10),-12*($B$6+$B$10)*(1+$B$4)^30))*IF(AF120+IF($B$1+30&lt;=$B120,12*($B$7-$B$10),-12*($B$6+$B$10)*(1+$B$4)^30)&gt;0,1+$B$3,1))</f>
        <v/>
      </c>
      <c r="AH120">
        <f>IF($B$1+31&gt;90,AG120,(AG120+IF($B$1+31&lt;=$B120,12*($B$7-$B$10),-12*($B$6+$B$10)*(1+$B$4)^31))*IF(AG120+IF($B$1+31&lt;=$B120,12*($B$7-$B$10),-12*($B$6+$B$10)*(1+$B$4)^31)&gt;0,1+$B$3,1))</f>
        <v/>
      </c>
      <c r="AI120">
        <f>IF($B$1+32&gt;90,AH120,(AH120+IF($B$1+32&lt;=$B120,12*($B$7-$B$10),-12*($B$6+$B$10)*(1+$B$4)^32))*IF(AH120+IF($B$1+32&lt;=$B120,12*($B$7-$B$10),-12*($B$6+$B$10)*(1+$B$4)^32)&gt;0,1+$B$3,1))</f>
        <v/>
      </c>
      <c r="AJ120">
        <f>IF($B$1+33&gt;90,AI120,(AI120+IF($B$1+33&lt;=$B120,12*($B$7-$B$10),-12*($B$6+$B$10)*(1+$B$4)^33))*IF(AI120+IF($B$1+33&lt;=$B120,12*($B$7-$B$10),-12*($B$6+$B$10)*(1+$B$4)^33)&gt;0,1+$B$3,1))</f>
        <v/>
      </c>
      <c r="AK120">
        <f>IF($B$1+34&gt;90,AJ120,(AJ120+IF($B$1+34&lt;=$B120,12*($B$7-$B$10),-12*($B$6+$B$10)*(1+$B$4)^34))*IF(AJ120+IF($B$1+34&lt;=$B120,12*($B$7-$B$10),-12*($B$6+$B$10)*(1+$B$4)^34)&gt;0,1+$B$3,1))</f>
        <v/>
      </c>
      <c r="AL120">
        <f>IF($B$1+35&gt;90,AK120,(AK120+IF($B$1+35&lt;=$B120,12*($B$7-$B$10),-12*($B$6+$B$10)*(1+$B$4)^35))*IF(AK120+IF($B$1+35&lt;=$B120,12*($B$7-$B$10),-12*($B$6+$B$10)*(1+$B$4)^35)&gt;0,1+$B$3,1))</f>
        <v/>
      </c>
      <c r="AM120">
        <f>IF($B$1+36&gt;90,AL120,(AL120+IF($B$1+36&lt;=$B120,12*($B$7-$B$10),-12*($B$6+$B$10)*(1+$B$4)^36))*IF(AL120+IF($B$1+36&lt;=$B120,12*($B$7-$B$10),-12*($B$6+$B$10)*(1+$B$4)^36)&gt;0,1+$B$3,1))</f>
        <v/>
      </c>
      <c r="AN120">
        <f>IF($B$1+37&gt;90,AM120,(AM120+IF($B$1+37&lt;=$B120,12*($B$7-$B$10),-12*($B$6+$B$10)*(1+$B$4)^37))*IF(AM120+IF($B$1+37&lt;=$B120,12*($B$7-$B$10),-12*($B$6+$B$10)*(1+$B$4)^37)&gt;0,1+$B$3,1))</f>
        <v/>
      </c>
      <c r="AO120">
        <f>IF($B$1+38&gt;90,AN120,(AN120+IF($B$1+38&lt;=$B120,12*($B$7-$B$10),-12*($B$6+$B$10)*(1+$B$4)^38))*IF(AN120+IF($B$1+38&lt;=$B120,12*($B$7-$B$10),-12*($B$6+$B$10)*(1+$B$4)^38)&gt;0,1+$B$3,1))</f>
        <v/>
      </c>
      <c r="AP120">
        <f>IF($B$1+39&gt;90,AO120,(AO120+IF($B$1+39&lt;=$B120,12*($B$7-$B$10),-12*($B$6+$B$10)*(1+$B$4)^39))*IF(AO120+IF($B$1+39&lt;=$B120,12*($B$7-$B$10),-12*($B$6+$B$10)*(1+$B$4)^39)&gt;0,1+$B$3,1))</f>
        <v/>
      </c>
      <c r="AQ120">
        <f>IF($B$1+40&gt;90,AP120,(AP120+IF($B$1+40&lt;=$B120,12*($B$7-$B$10),-12*($B$6+$B$10)*(1+$B$4)^40))*IF(AP120+IF($B$1+40&lt;=$B120,12*($B$7-$B$10),-12*($B$6+$B$10)*(1+$B$4)^40)&gt;0,1+$B$3,1))</f>
        <v/>
      </c>
      <c r="AR120">
        <f>IF($B$1+41&gt;90,AQ120,(AQ120+IF($B$1+41&lt;=$B120,12*($B$7-$B$10),-12*($B$6+$B$10)*(1+$B$4)^41))*IF(AQ120+IF($B$1+41&lt;=$B120,12*($B$7-$B$10),-12*($B$6+$B$10)*(1+$B$4)^41)&gt;0,1+$B$3,1))</f>
        <v/>
      </c>
      <c r="AS120">
        <f>IF($B$1+42&gt;90,AR120,(AR120+IF($B$1+42&lt;=$B120,12*($B$7-$B$10),-12*($B$6+$B$10)*(1+$B$4)^42))*IF(AR120+IF($B$1+42&lt;=$B120,12*($B$7-$B$10),-12*($B$6+$B$10)*(1+$B$4)^42)&gt;0,1+$B$3,1))</f>
        <v/>
      </c>
      <c r="AT120">
        <f>IF($B$1+43&gt;90,AS120,(AS120+IF($B$1+43&lt;=$B120,12*($B$7-$B$10),-12*($B$6+$B$10)*(1+$B$4)^43))*IF(AS120+IF($B$1+43&lt;=$B120,12*($B$7-$B$10),-12*($B$6+$B$10)*(1+$B$4)^43)&gt;0,1+$B$3,1))</f>
        <v/>
      </c>
      <c r="AU120">
        <f>IF($B$1+44&gt;90,AT120,(AT120+IF($B$1+44&lt;=$B120,12*($B$7-$B$10),-12*($B$6+$B$10)*(1+$B$4)^44))*IF(AT120+IF($B$1+44&lt;=$B120,12*($B$7-$B$10),-12*($B$6+$B$10)*(1+$B$4)^44)&gt;0,1+$B$3,1))</f>
        <v/>
      </c>
      <c r="AV120">
        <f>IF($B$1+45&gt;90,AU120,(AU120+IF($B$1+45&lt;=$B120,12*($B$7-$B$10),-12*($B$6+$B$10)*(1+$B$4)^45))*IF(AU120+IF($B$1+45&lt;=$B120,12*($B$7-$B$10),-12*($B$6+$B$10)*(1+$B$4)^45)&gt;0,1+$B$3,1))</f>
        <v/>
      </c>
      <c r="AW120">
        <f>IF($B$1+46&gt;90,AV120,(AV120+IF($B$1+46&lt;=$B120,12*($B$7-$B$10),-12*($B$6+$B$10)*(1+$B$4)^46))*IF(AV120+IF($B$1+46&lt;=$B120,12*($B$7-$B$10),-12*($B$6+$B$10)*(1+$B$4)^46)&gt;0,1+$B$3,1))</f>
        <v/>
      </c>
      <c r="AX120">
        <f>IF($B$1+47&gt;90,AW120,(AW120+IF($B$1+47&lt;=$B120,12*($B$7-$B$10),-12*($B$6+$B$10)*(1+$B$4)^47))*IF(AW120+IF($B$1+47&lt;=$B120,12*($B$7-$B$10),-12*($B$6+$B$10)*(1+$B$4)^47)&gt;0,1+$B$3,1))</f>
        <v/>
      </c>
      <c r="AY120">
        <f>IF($B$1+48&gt;90,AX120,(AX120+IF($B$1+48&lt;=$B120,12*($B$7-$B$10),-12*($B$6+$B$10)*(1+$B$4)^48))*IF(AX120+IF($B$1+48&lt;=$B120,12*($B$7-$B$10),-12*($B$6+$B$10)*(1+$B$4)^48)&gt;0,1+$B$3,1))</f>
        <v/>
      </c>
      <c r="AZ120">
        <f>IF($B$1+49&gt;90,AY120,(AY120+IF($B$1+49&lt;=$B120,12*($B$7-$B$10),-12*($B$6+$B$10)*(1+$B$4)^49))*IF(AY120+IF($B$1+49&lt;=$B120,12*($B$7-$B$10),-12*($B$6+$B$10)*(1+$B$4)^49)&gt;0,1+$B$3,1))</f>
        <v/>
      </c>
      <c r="BA120">
        <f>IF($B$1+50&gt;90,AZ120,(AZ120+IF($B$1+50&lt;=$B120,12*($B$7-$B$10),-12*($B$6+$B$10)*(1+$B$4)^50))*IF(AZ120+IF($B$1+50&lt;=$B120,12*($B$7-$B$10),-12*($B$6+$B$10)*(1+$B$4)^50)&gt;0,1+$B$3,1))</f>
        <v/>
      </c>
      <c r="BB120">
        <f>IF($B$1+51&gt;90,BA120,(BA120+IF($B$1+51&lt;=$B120,12*($B$7-$B$10),-12*($B$6+$B$10)*(1+$B$4)^51))*IF(BA120+IF($B$1+51&lt;=$B120,12*($B$7-$B$10),-12*($B$6+$B$10)*(1+$B$4)^51)&gt;0,1+$B$3,1))</f>
        <v/>
      </c>
      <c r="BC120">
        <f>IF($B$1+52&gt;90,BB120,(BB120+IF($B$1+52&lt;=$B120,12*($B$7-$B$10),-12*($B$6+$B$10)*(1+$B$4)^52))*IF(BB120+IF($B$1+52&lt;=$B120,12*($B$7-$B$10),-12*($B$6+$B$10)*(1+$B$4)^52)&gt;0,1+$B$3,1))</f>
        <v/>
      </c>
      <c r="BD120">
        <f>IF($B$1+53&gt;90,BC120,(BC120+IF($B$1+53&lt;=$B120,12*($B$7-$B$10),-12*($B$6+$B$10)*(1+$B$4)^53))*IF(BC120+IF($B$1+53&lt;=$B120,12*($B$7-$B$10),-12*($B$6+$B$10)*(1+$B$4)^53)&gt;0,1+$B$3,1))</f>
        <v/>
      </c>
      <c r="BE120">
        <f>IF($B$1+54&gt;90,BD120,(BD120+IF($B$1+54&lt;=$B120,12*($B$7-$B$10),-12*($B$6+$B$10)*(1+$B$4)^54))*IF(BD120+IF($B$1+54&lt;=$B120,12*($B$7-$B$10),-12*($B$6+$B$10)*(1+$B$4)^54)&gt;0,1+$B$3,1))</f>
        <v/>
      </c>
      <c r="BF120">
        <f>IF($B$1+55&gt;90,BE120,(BE120+IF($B$1+55&lt;=$B120,12*($B$7-$B$10),-12*($B$6+$B$10)*(1+$B$4)^55))*IF(BE120+IF($B$1+55&lt;=$B120,12*($B$7-$B$10),-12*($B$6+$B$10)*(1+$B$4)^55)&gt;0,1+$B$3,1))</f>
        <v/>
      </c>
      <c r="BG120">
        <f>IF($B$1+56&gt;90,BF120,(BF120+IF($B$1+56&lt;=$B120,12*($B$7-$B$10),-12*($B$6+$B$10)*(1+$B$4)^56))*IF(BF120+IF($B$1+56&lt;=$B120,12*($B$7-$B$10),-12*($B$6+$B$10)*(1+$B$4)^56)&gt;0,1+$B$3,1))</f>
        <v/>
      </c>
      <c r="BH120">
        <f>IF($B$1+57&gt;90,BG120,(BG120+IF($B$1+57&lt;=$B120,12*($B$7-$B$10),-12*($B$6+$B$10)*(1+$B$4)^57))*IF(BG120+IF($B$1+57&lt;=$B120,12*($B$7-$B$10),-12*($B$6+$B$10)*(1+$B$4)^57)&gt;0,1+$B$3,1))</f>
        <v/>
      </c>
      <c r="BI120">
        <f>IF($B$1+58&gt;90,BH120,(BH120+IF($B$1+58&lt;=$B120,12*($B$7-$B$10),-12*($B$6+$B$10)*(1+$B$4)^58))*IF(BH120+IF($B$1+58&lt;=$B120,12*($B$7-$B$10),-12*($B$6+$B$10)*(1+$B$4)^58)&gt;0,1+$B$3,1))</f>
        <v/>
      </c>
      <c r="BJ120">
        <f>IF($B$1+59&gt;90,BI120,(BI120+IF($B$1+59&lt;=$B120,12*($B$7-$B$10),-12*($B$6+$B$10)*(1+$B$4)^59))*IF(BI120+IF($B$1+59&lt;=$B120,12*($B$7-$B$10),-12*($B$6+$B$10)*(1+$B$4)^59)&gt;0,1+$B$3,1))</f>
        <v/>
      </c>
      <c r="BK120">
        <f>IF($B$1+60&gt;90,BJ120,(BJ120+IF($B$1+60&lt;=$B120,12*($B$7-$B$10),-12*($B$6+$B$10)*(1+$B$4)^60))*IF(BJ120+IF($B$1+60&lt;=$B120,12*($B$7-$B$10),-12*($B$6+$B$10)*(1+$B$4)^60)&gt;0,1+$B$3,1))</f>
        <v/>
      </c>
      <c r="BL120">
        <f>IF($B$1+61&gt;90,BK120,(BK120+IF($B$1+61&lt;=$B120,12*($B$7-$B$10),-12*($B$6+$B$10)*(1+$B$4)^61))*IF(BK120+IF($B$1+61&lt;=$B120,12*($B$7-$B$10),-12*($B$6+$B$10)*(1+$B$4)^61)&gt;0,1+$B$3,1))</f>
        <v/>
      </c>
      <c r="BM120">
        <f>IF($B$1+62&gt;90,BL120,(BL120+IF($B$1+62&lt;=$B120,12*($B$7-$B$10),-12*($B$6+$B$10)*(1+$B$4)^62))*IF(BL120+IF($B$1+62&lt;=$B120,12*($B$7-$B$10),-12*($B$6+$B$10)*(1+$B$4)^62)&gt;0,1+$B$3,1))</f>
        <v/>
      </c>
      <c r="BN120">
        <f>IF($B$1+63&gt;90,BM120,(BM120+IF($B$1+63&lt;=$B120,12*($B$7-$B$10),-12*($B$6+$B$10)*(1+$B$4)^63))*IF(BM120+IF($B$1+63&lt;=$B120,12*($B$7-$B$10),-12*($B$6+$B$10)*(1+$B$4)^63)&gt;0,1+$B$3,1))</f>
        <v/>
      </c>
      <c r="BO120">
        <f>IF($B$1+64&gt;90,BN120,(BN120+IF($B$1+64&lt;=$B120,12*($B$7-$B$10),-12*($B$6+$B$10)*(1+$B$4)^64))*IF(BN120+IF($B$1+64&lt;=$B120,12*($B$7-$B$10),-12*($B$6+$B$10)*(1+$B$4)^64)&gt;0,1+$B$3,1))</f>
        <v/>
      </c>
      <c r="BP120">
        <f>IF($B$1+65&gt;90,BO120,(BO120+IF($B$1+65&lt;=$B120,12*($B$7-$B$10),-12*($B$6+$B$10)*(1+$B$4)^65))*IF(BO120+IF($B$1+65&lt;=$B120,12*($B$7-$B$10),-12*($B$6+$B$10)*(1+$B$4)^65)&gt;0,1+$B$3,1))</f>
        <v/>
      </c>
      <c r="BQ120">
        <f>IF($B$1+66&gt;90,BP120,(BP120+IF($B$1+66&lt;=$B120,12*($B$7-$B$10),-12*($B$6+$B$10)*(1+$B$4)^66))*IF(BP120+IF($B$1+66&lt;=$B120,12*($B$7-$B$10),-12*($B$6+$B$10)*(1+$B$4)^66)&gt;0,1+$B$3,1))</f>
        <v/>
      </c>
      <c r="BR120">
        <f>IF($B$1+67&gt;90,BQ120,(BQ120+IF($B$1+67&lt;=$B120,12*($B$7-$B$10),-12*($B$6+$B$10)*(1+$B$4)^67))*IF(BQ120+IF($B$1+67&lt;=$B120,12*($B$7-$B$10),-12*($B$6+$B$10)*(1+$B$4)^67)&gt;0,1+$B$3,1))</f>
        <v/>
      </c>
      <c r="BS120">
        <f>IF($B$1+68&gt;90,BR120,(BR120+IF($B$1+68&lt;=$B120,12*($B$7-$B$10),-12*($B$6+$B$10)*(1+$B$4)^68))*IF(BR120+IF($B$1+68&lt;=$B120,12*($B$7-$B$10),-12*($B$6+$B$10)*(1+$B$4)^68)&gt;0,1+$B$3,1))</f>
        <v/>
      </c>
      <c r="BT120">
        <f>IF($B$1+69&gt;90,BS120,(BS120+IF($B$1+69&lt;=$B120,12*($B$7-$B$10),-12*($B$6+$B$10)*(1+$B$4)^69))*IF(BS120+IF($B$1+69&lt;=$B120,12*($B$7-$B$10),-12*($B$6+$B$10)*(1+$B$4)^69)&gt;0,1+$B$3,1))</f>
        <v/>
      </c>
      <c r="BU120">
        <f>IF($B$1+70&gt;90,BT120,(BT120+IF($B$1+70&lt;=$B120,12*($B$7-$B$10),-12*($B$6+$B$10)*(1+$B$4)^70))*IF(BT120+IF($B$1+70&lt;=$B120,12*($B$7-$B$10),-12*($B$6+$B$10)*(1+$B$4)^70)&gt;0,1+$B$3,1))</f>
        <v/>
      </c>
      <c r="BV120">
        <f>BU120</f>
        <v/>
      </c>
      <c r="BW120">
        <f>IF(AND($B120&lt;=70,BV120&gt;0),$B120,999)</f>
        <v/>
      </c>
    </row>
    <row r="121">
      <c r="A121" t="n">
        <v>25</v>
      </c>
      <c r="B121">
        <f>$B$1+25</f>
        <v/>
      </c>
      <c r="C121">
        <f>$B$2</f>
        <v/>
      </c>
      <c r="D121">
        <f>IF($B$1+1&gt;90,C121,(C121+IF($B$1+1&lt;=$B121,12*($B$7-$B$10),-12*($B$6+$B$10)*(1+$B$4)^1))*IF(C121+IF($B$1+1&lt;=$B121,12*($B$7-$B$10),-12*($B$6+$B$10)*(1+$B$4)^1)&gt;0,1+$B$3,1))</f>
        <v/>
      </c>
      <c r="E121">
        <f>IF($B$1+2&gt;90,D121,(D121+IF($B$1+2&lt;=$B121,12*($B$7-$B$10),-12*($B$6+$B$10)*(1+$B$4)^2))*IF(D121+IF($B$1+2&lt;=$B121,12*($B$7-$B$10),-12*($B$6+$B$10)*(1+$B$4)^2)&gt;0,1+$B$3,1))</f>
        <v/>
      </c>
      <c r="F121">
        <f>IF($B$1+3&gt;90,E121,(E121+IF($B$1+3&lt;=$B121,12*($B$7-$B$10),-12*($B$6+$B$10)*(1+$B$4)^3))*IF(E121+IF($B$1+3&lt;=$B121,12*($B$7-$B$10),-12*($B$6+$B$10)*(1+$B$4)^3)&gt;0,1+$B$3,1))</f>
        <v/>
      </c>
      <c r="G121">
        <f>IF($B$1+4&gt;90,F121,(F121+IF($B$1+4&lt;=$B121,12*($B$7-$B$10),-12*($B$6+$B$10)*(1+$B$4)^4))*IF(F121+IF($B$1+4&lt;=$B121,12*($B$7-$B$10),-12*($B$6+$B$10)*(1+$B$4)^4)&gt;0,1+$B$3,1))</f>
        <v/>
      </c>
      <c r="H121">
        <f>IF($B$1+5&gt;90,G121,(G121+IF($B$1+5&lt;=$B121,12*($B$7-$B$10),-12*($B$6+$B$10)*(1+$B$4)^5))*IF(G121+IF($B$1+5&lt;=$B121,12*($B$7-$B$10),-12*($B$6+$B$10)*(1+$B$4)^5)&gt;0,1+$B$3,1))</f>
        <v/>
      </c>
      <c r="I121">
        <f>IF($B$1+6&gt;90,H121,(H121+IF($B$1+6&lt;=$B121,12*($B$7-$B$10),-12*($B$6+$B$10)*(1+$B$4)^6))*IF(H121+IF($B$1+6&lt;=$B121,12*($B$7-$B$10),-12*($B$6+$B$10)*(1+$B$4)^6)&gt;0,1+$B$3,1))</f>
        <v/>
      </c>
      <c r="J121">
        <f>IF($B$1+7&gt;90,I121,(I121+IF($B$1+7&lt;=$B121,12*($B$7-$B$10),-12*($B$6+$B$10)*(1+$B$4)^7))*IF(I121+IF($B$1+7&lt;=$B121,12*($B$7-$B$10),-12*($B$6+$B$10)*(1+$B$4)^7)&gt;0,1+$B$3,1))</f>
        <v/>
      </c>
      <c r="K121">
        <f>IF($B$1+8&gt;90,J121,(J121+IF($B$1+8&lt;=$B121,12*($B$7-$B$10),-12*($B$6+$B$10)*(1+$B$4)^8))*IF(J121+IF($B$1+8&lt;=$B121,12*($B$7-$B$10),-12*($B$6+$B$10)*(1+$B$4)^8)&gt;0,1+$B$3,1))</f>
        <v/>
      </c>
      <c r="L121">
        <f>IF($B$1+9&gt;90,K121,(K121+IF($B$1+9&lt;=$B121,12*($B$7-$B$10),-12*($B$6+$B$10)*(1+$B$4)^9))*IF(K121+IF($B$1+9&lt;=$B121,12*($B$7-$B$10),-12*($B$6+$B$10)*(1+$B$4)^9)&gt;0,1+$B$3,1))</f>
        <v/>
      </c>
      <c r="M121">
        <f>IF($B$1+10&gt;90,L121,(L121+IF($B$1+10&lt;=$B121,12*($B$7-$B$10),-12*($B$6+$B$10)*(1+$B$4)^10))*IF(L121+IF($B$1+10&lt;=$B121,12*($B$7-$B$10),-12*($B$6+$B$10)*(1+$B$4)^10)&gt;0,1+$B$3,1))</f>
        <v/>
      </c>
      <c r="N121">
        <f>IF($B$1+11&gt;90,M121,(M121+IF($B$1+11&lt;=$B121,12*($B$7-$B$10),-12*($B$6+$B$10)*(1+$B$4)^11))*IF(M121+IF($B$1+11&lt;=$B121,12*($B$7-$B$10),-12*($B$6+$B$10)*(1+$B$4)^11)&gt;0,1+$B$3,1))</f>
        <v/>
      </c>
      <c r="O121">
        <f>IF($B$1+12&gt;90,N121,(N121+IF($B$1+12&lt;=$B121,12*($B$7-$B$10),-12*($B$6+$B$10)*(1+$B$4)^12))*IF(N121+IF($B$1+12&lt;=$B121,12*($B$7-$B$10),-12*($B$6+$B$10)*(1+$B$4)^12)&gt;0,1+$B$3,1))</f>
        <v/>
      </c>
      <c r="P121">
        <f>IF($B$1+13&gt;90,O121,(O121+IF($B$1+13&lt;=$B121,12*($B$7-$B$10),-12*($B$6+$B$10)*(1+$B$4)^13))*IF(O121+IF($B$1+13&lt;=$B121,12*($B$7-$B$10),-12*($B$6+$B$10)*(1+$B$4)^13)&gt;0,1+$B$3,1))</f>
        <v/>
      </c>
      <c r="Q121">
        <f>IF($B$1+14&gt;90,P121,(P121+IF($B$1+14&lt;=$B121,12*($B$7-$B$10),-12*($B$6+$B$10)*(1+$B$4)^14))*IF(P121+IF($B$1+14&lt;=$B121,12*($B$7-$B$10),-12*($B$6+$B$10)*(1+$B$4)^14)&gt;0,1+$B$3,1))</f>
        <v/>
      </c>
      <c r="R121">
        <f>IF($B$1+15&gt;90,Q121,(Q121+IF($B$1+15&lt;=$B121,12*($B$7-$B$10),-12*($B$6+$B$10)*(1+$B$4)^15))*IF(Q121+IF($B$1+15&lt;=$B121,12*($B$7-$B$10),-12*($B$6+$B$10)*(1+$B$4)^15)&gt;0,1+$B$3,1))</f>
        <v/>
      </c>
      <c r="S121">
        <f>IF($B$1+16&gt;90,R121,(R121+IF($B$1+16&lt;=$B121,12*($B$7-$B$10),-12*($B$6+$B$10)*(1+$B$4)^16))*IF(R121+IF($B$1+16&lt;=$B121,12*($B$7-$B$10),-12*($B$6+$B$10)*(1+$B$4)^16)&gt;0,1+$B$3,1))</f>
        <v/>
      </c>
      <c r="T121">
        <f>IF($B$1+17&gt;90,S121,(S121+IF($B$1+17&lt;=$B121,12*($B$7-$B$10),-12*($B$6+$B$10)*(1+$B$4)^17))*IF(S121+IF($B$1+17&lt;=$B121,12*($B$7-$B$10),-12*($B$6+$B$10)*(1+$B$4)^17)&gt;0,1+$B$3,1))</f>
        <v/>
      </c>
      <c r="U121">
        <f>IF($B$1+18&gt;90,T121,(T121+IF($B$1+18&lt;=$B121,12*($B$7-$B$10),-12*($B$6+$B$10)*(1+$B$4)^18))*IF(T121+IF($B$1+18&lt;=$B121,12*($B$7-$B$10),-12*($B$6+$B$10)*(1+$B$4)^18)&gt;0,1+$B$3,1))</f>
        <v/>
      </c>
      <c r="V121">
        <f>IF($B$1+19&gt;90,U121,(U121+IF($B$1+19&lt;=$B121,12*($B$7-$B$10),-12*($B$6+$B$10)*(1+$B$4)^19))*IF(U121+IF($B$1+19&lt;=$B121,12*($B$7-$B$10),-12*($B$6+$B$10)*(1+$B$4)^19)&gt;0,1+$B$3,1))</f>
        <v/>
      </c>
      <c r="W121">
        <f>IF($B$1+20&gt;90,V121,(V121+IF($B$1+20&lt;=$B121,12*($B$7-$B$10),-12*($B$6+$B$10)*(1+$B$4)^20))*IF(V121+IF($B$1+20&lt;=$B121,12*($B$7-$B$10),-12*($B$6+$B$10)*(1+$B$4)^20)&gt;0,1+$B$3,1))</f>
        <v/>
      </c>
      <c r="X121">
        <f>IF($B$1+21&gt;90,W121,(W121+IF($B$1+21&lt;=$B121,12*($B$7-$B$10),-12*($B$6+$B$10)*(1+$B$4)^21))*IF(W121+IF($B$1+21&lt;=$B121,12*($B$7-$B$10),-12*($B$6+$B$10)*(1+$B$4)^21)&gt;0,1+$B$3,1))</f>
        <v/>
      </c>
      <c r="Y121">
        <f>IF($B$1+22&gt;90,X121,(X121+IF($B$1+22&lt;=$B121,12*($B$7-$B$10),-12*($B$6+$B$10)*(1+$B$4)^22))*IF(X121+IF($B$1+22&lt;=$B121,12*($B$7-$B$10),-12*($B$6+$B$10)*(1+$B$4)^22)&gt;0,1+$B$3,1))</f>
        <v/>
      </c>
      <c r="Z121">
        <f>IF($B$1+23&gt;90,Y121,(Y121+IF($B$1+23&lt;=$B121,12*($B$7-$B$10),-12*($B$6+$B$10)*(1+$B$4)^23))*IF(Y121+IF($B$1+23&lt;=$B121,12*($B$7-$B$10),-12*($B$6+$B$10)*(1+$B$4)^23)&gt;0,1+$B$3,1))</f>
        <v/>
      </c>
      <c r="AA121">
        <f>IF($B$1+24&gt;90,Z121,(Z121+IF($B$1+24&lt;=$B121,12*($B$7-$B$10),-12*($B$6+$B$10)*(1+$B$4)^24))*IF(Z121+IF($B$1+24&lt;=$B121,12*($B$7-$B$10),-12*($B$6+$B$10)*(1+$B$4)^24)&gt;0,1+$B$3,1))</f>
        <v/>
      </c>
      <c r="AB121">
        <f>IF($B$1+25&gt;90,AA121,(AA121+IF($B$1+25&lt;=$B121,12*($B$7-$B$10),-12*($B$6+$B$10)*(1+$B$4)^25))*IF(AA121+IF($B$1+25&lt;=$B121,12*($B$7-$B$10),-12*($B$6+$B$10)*(1+$B$4)^25)&gt;0,1+$B$3,1))</f>
        <v/>
      </c>
      <c r="AC121">
        <f>IF($B$1+26&gt;90,AB121,(AB121+IF($B$1+26&lt;=$B121,12*($B$7-$B$10),-12*($B$6+$B$10)*(1+$B$4)^26))*IF(AB121+IF($B$1+26&lt;=$B121,12*($B$7-$B$10),-12*($B$6+$B$10)*(1+$B$4)^26)&gt;0,1+$B$3,1))</f>
        <v/>
      </c>
      <c r="AD121">
        <f>IF($B$1+27&gt;90,AC121,(AC121+IF($B$1+27&lt;=$B121,12*($B$7-$B$10),-12*($B$6+$B$10)*(1+$B$4)^27))*IF(AC121+IF($B$1+27&lt;=$B121,12*($B$7-$B$10),-12*($B$6+$B$10)*(1+$B$4)^27)&gt;0,1+$B$3,1))</f>
        <v/>
      </c>
      <c r="AE121">
        <f>IF($B$1+28&gt;90,AD121,(AD121+IF($B$1+28&lt;=$B121,12*($B$7-$B$10),-12*($B$6+$B$10)*(1+$B$4)^28))*IF(AD121+IF($B$1+28&lt;=$B121,12*($B$7-$B$10),-12*($B$6+$B$10)*(1+$B$4)^28)&gt;0,1+$B$3,1))</f>
        <v/>
      </c>
      <c r="AF121">
        <f>IF($B$1+29&gt;90,AE121,(AE121+IF($B$1+29&lt;=$B121,12*($B$7-$B$10),-12*($B$6+$B$10)*(1+$B$4)^29))*IF(AE121+IF($B$1+29&lt;=$B121,12*($B$7-$B$10),-12*($B$6+$B$10)*(1+$B$4)^29)&gt;0,1+$B$3,1))</f>
        <v/>
      </c>
      <c r="AG121">
        <f>IF($B$1+30&gt;90,AF121,(AF121+IF($B$1+30&lt;=$B121,12*($B$7-$B$10),-12*($B$6+$B$10)*(1+$B$4)^30))*IF(AF121+IF($B$1+30&lt;=$B121,12*($B$7-$B$10),-12*($B$6+$B$10)*(1+$B$4)^30)&gt;0,1+$B$3,1))</f>
        <v/>
      </c>
      <c r="AH121">
        <f>IF($B$1+31&gt;90,AG121,(AG121+IF($B$1+31&lt;=$B121,12*($B$7-$B$10),-12*($B$6+$B$10)*(1+$B$4)^31))*IF(AG121+IF($B$1+31&lt;=$B121,12*($B$7-$B$10),-12*($B$6+$B$10)*(1+$B$4)^31)&gt;0,1+$B$3,1))</f>
        <v/>
      </c>
      <c r="AI121">
        <f>IF($B$1+32&gt;90,AH121,(AH121+IF($B$1+32&lt;=$B121,12*($B$7-$B$10),-12*($B$6+$B$10)*(1+$B$4)^32))*IF(AH121+IF($B$1+32&lt;=$B121,12*($B$7-$B$10),-12*($B$6+$B$10)*(1+$B$4)^32)&gt;0,1+$B$3,1))</f>
        <v/>
      </c>
      <c r="AJ121">
        <f>IF($B$1+33&gt;90,AI121,(AI121+IF($B$1+33&lt;=$B121,12*($B$7-$B$10),-12*($B$6+$B$10)*(1+$B$4)^33))*IF(AI121+IF($B$1+33&lt;=$B121,12*($B$7-$B$10),-12*($B$6+$B$10)*(1+$B$4)^33)&gt;0,1+$B$3,1))</f>
        <v/>
      </c>
      <c r="AK121">
        <f>IF($B$1+34&gt;90,AJ121,(AJ121+IF($B$1+34&lt;=$B121,12*($B$7-$B$10),-12*($B$6+$B$10)*(1+$B$4)^34))*IF(AJ121+IF($B$1+34&lt;=$B121,12*($B$7-$B$10),-12*($B$6+$B$10)*(1+$B$4)^34)&gt;0,1+$B$3,1))</f>
        <v/>
      </c>
      <c r="AL121">
        <f>IF($B$1+35&gt;90,AK121,(AK121+IF($B$1+35&lt;=$B121,12*($B$7-$B$10),-12*($B$6+$B$10)*(1+$B$4)^35))*IF(AK121+IF($B$1+35&lt;=$B121,12*($B$7-$B$10),-12*($B$6+$B$10)*(1+$B$4)^35)&gt;0,1+$B$3,1))</f>
        <v/>
      </c>
      <c r="AM121">
        <f>IF($B$1+36&gt;90,AL121,(AL121+IF($B$1+36&lt;=$B121,12*($B$7-$B$10),-12*($B$6+$B$10)*(1+$B$4)^36))*IF(AL121+IF($B$1+36&lt;=$B121,12*($B$7-$B$10),-12*($B$6+$B$10)*(1+$B$4)^36)&gt;0,1+$B$3,1))</f>
        <v/>
      </c>
      <c r="AN121">
        <f>IF($B$1+37&gt;90,AM121,(AM121+IF($B$1+37&lt;=$B121,12*($B$7-$B$10),-12*($B$6+$B$10)*(1+$B$4)^37))*IF(AM121+IF($B$1+37&lt;=$B121,12*($B$7-$B$10),-12*($B$6+$B$10)*(1+$B$4)^37)&gt;0,1+$B$3,1))</f>
        <v/>
      </c>
      <c r="AO121">
        <f>IF($B$1+38&gt;90,AN121,(AN121+IF($B$1+38&lt;=$B121,12*($B$7-$B$10),-12*($B$6+$B$10)*(1+$B$4)^38))*IF(AN121+IF($B$1+38&lt;=$B121,12*($B$7-$B$10),-12*($B$6+$B$10)*(1+$B$4)^38)&gt;0,1+$B$3,1))</f>
        <v/>
      </c>
      <c r="AP121">
        <f>IF($B$1+39&gt;90,AO121,(AO121+IF($B$1+39&lt;=$B121,12*($B$7-$B$10),-12*($B$6+$B$10)*(1+$B$4)^39))*IF(AO121+IF($B$1+39&lt;=$B121,12*($B$7-$B$10),-12*($B$6+$B$10)*(1+$B$4)^39)&gt;0,1+$B$3,1))</f>
        <v/>
      </c>
      <c r="AQ121">
        <f>IF($B$1+40&gt;90,AP121,(AP121+IF($B$1+40&lt;=$B121,12*($B$7-$B$10),-12*($B$6+$B$10)*(1+$B$4)^40))*IF(AP121+IF($B$1+40&lt;=$B121,12*($B$7-$B$10),-12*($B$6+$B$10)*(1+$B$4)^40)&gt;0,1+$B$3,1))</f>
        <v/>
      </c>
      <c r="AR121">
        <f>IF($B$1+41&gt;90,AQ121,(AQ121+IF($B$1+41&lt;=$B121,12*($B$7-$B$10),-12*($B$6+$B$10)*(1+$B$4)^41))*IF(AQ121+IF($B$1+41&lt;=$B121,12*($B$7-$B$10),-12*($B$6+$B$10)*(1+$B$4)^41)&gt;0,1+$B$3,1))</f>
        <v/>
      </c>
      <c r="AS121">
        <f>IF($B$1+42&gt;90,AR121,(AR121+IF($B$1+42&lt;=$B121,12*($B$7-$B$10),-12*($B$6+$B$10)*(1+$B$4)^42))*IF(AR121+IF($B$1+42&lt;=$B121,12*($B$7-$B$10),-12*($B$6+$B$10)*(1+$B$4)^42)&gt;0,1+$B$3,1))</f>
        <v/>
      </c>
      <c r="AT121">
        <f>IF($B$1+43&gt;90,AS121,(AS121+IF($B$1+43&lt;=$B121,12*($B$7-$B$10),-12*($B$6+$B$10)*(1+$B$4)^43))*IF(AS121+IF($B$1+43&lt;=$B121,12*($B$7-$B$10),-12*($B$6+$B$10)*(1+$B$4)^43)&gt;0,1+$B$3,1))</f>
        <v/>
      </c>
      <c r="AU121">
        <f>IF($B$1+44&gt;90,AT121,(AT121+IF($B$1+44&lt;=$B121,12*($B$7-$B$10),-12*($B$6+$B$10)*(1+$B$4)^44))*IF(AT121+IF($B$1+44&lt;=$B121,12*($B$7-$B$10),-12*($B$6+$B$10)*(1+$B$4)^44)&gt;0,1+$B$3,1))</f>
        <v/>
      </c>
      <c r="AV121">
        <f>IF($B$1+45&gt;90,AU121,(AU121+IF($B$1+45&lt;=$B121,12*($B$7-$B$10),-12*($B$6+$B$10)*(1+$B$4)^45))*IF(AU121+IF($B$1+45&lt;=$B121,12*($B$7-$B$10),-12*($B$6+$B$10)*(1+$B$4)^45)&gt;0,1+$B$3,1))</f>
        <v/>
      </c>
      <c r="AW121">
        <f>IF($B$1+46&gt;90,AV121,(AV121+IF($B$1+46&lt;=$B121,12*($B$7-$B$10),-12*($B$6+$B$10)*(1+$B$4)^46))*IF(AV121+IF($B$1+46&lt;=$B121,12*($B$7-$B$10),-12*($B$6+$B$10)*(1+$B$4)^46)&gt;0,1+$B$3,1))</f>
        <v/>
      </c>
      <c r="AX121">
        <f>IF($B$1+47&gt;90,AW121,(AW121+IF($B$1+47&lt;=$B121,12*($B$7-$B$10),-12*($B$6+$B$10)*(1+$B$4)^47))*IF(AW121+IF($B$1+47&lt;=$B121,12*($B$7-$B$10),-12*($B$6+$B$10)*(1+$B$4)^47)&gt;0,1+$B$3,1))</f>
        <v/>
      </c>
      <c r="AY121">
        <f>IF($B$1+48&gt;90,AX121,(AX121+IF($B$1+48&lt;=$B121,12*($B$7-$B$10),-12*($B$6+$B$10)*(1+$B$4)^48))*IF(AX121+IF($B$1+48&lt;=$B121,12*($B$7-$B$10),-12*($B$6+$B$10)*(1+$B$4)^48)&gt;0,1+$B$3,1))</f>
        <v/>
      </c>
      <c r="AZ121">
        <f>IF($B$1+49&gt;90,AY121,(AY121+IF($B$1+49&lt;=$B121,12*($B$7-$B$10),-12*($B$6+$B$10)*(1+$B$4)^49))*IF(AY121+IF($B$1+49&lt;=$B121,12*($B$7-$B$10),-12*($B$6+$B$10)*(1+$B$4)^49)&gt;0,1+$B$3,1))</f>
        <v/>
      </c>
      <c r="BA121">
        <f>IF($B$1+50&gt;90,AZ121,(AZ121+IF($B$1+50&lt;=$B121,12*($B$7-$B$10),-12*($B$6+$B$10)*(1+$B$4)^50))*IF(AZ121+IF($B$1+50&lt;=$B121,12*($B$7-$B$10),-12*($B$6+$B$10)*(1+$B$4)^50)&gt;0,1+$B$3,1))</f>
        <v/>
      </c>
      <c r="BB121">
        <f>IF($B$1+51&gt;90,BA121,(BA121+IF($B$1+51&lt;=$B121,12*($B$7-$B$10),-12*($B$6+$B$10)*(1+$B$4)^51))*IF(BA121+IF($B$1+51&lt;=$B121,12*($B$7-$B$10),-12*($B$6+$B$10)*(1+$B$4)^51)&gt;0,1+$B$3,1))</f>
        <v/>
      </c>
      <c r="BC121">
        <f>IF($B$1+52&gt;90,BB121,(BB121+IF($B$1+52&lt;=$B121,12*($B$7-$B$10),-12*($B$6+$B$10)*(1+$B$4)^52))*IF(BB121+IF($B$1+52&lt;=$B121,12*($B$7-$B$10),-12*($B$6+$B$10)*(1+$B$4)^52)&gt;0,1+$B$3,1))</f>
        <v/>
      </c>
      <c r="BD121">
        <f>IF($B$1+53&gt;90,BC121,(BC121+IF($B$1+53&lt;=$B121,12*($B$7-$B$10),-12*($B$6+$B$10)*(1+$B$4)^53))*IF(BC121+IF($B$1+53&lt;=$B121,12*($B$7-$B$10),-12*($B$6+$B$10)*(1+$B$4)^53)&gt;0,1+$B$3,1))</f>
        <v/>
      </c>
      <c r="BE121">
        <f>IF($B$1+54&gt;90,BD121,(BD121+IF($B$1+54&lt;=$B121,12*($B$7-$B$10),-12*($B$6+$B$10)*(1+$B$4)^54))*IF(BD121+IF($B$1+54&lt;=$B121,12*($B$7-$B$10),-12*($B$6+$B$10)*(1+$B$4)^54)&gt;0,1+$B$3,1))</f>
        <v/>
      </c>
      <c r="BF121">
        <f>IF($B$1+55&gt;90,BE121,(BE121+IF($B$1+55&lt;=$B121,12*($B$7-$B$10),-12*($B$6+$B$10)*(1+$B$4)^55))*IF(BE121+IF($B$1+55&lt;=$B121,12*($B$7-$B$10),-12*($B$6+$B$10)*(1+$B$4)^55)&gt;0,1+$B$3,1))</f>
        <v/>
      </c>
      <c r="BG121">
        <f>IF($B$1+56&gt;90,BF121,(BF121+IF($B$1+56&lt;=$B121,12*($B$7-$B$10),-12*($B$6+$B$10)*(1+$B$4)^56))*IF(BF121+IF($B$1+56&lt;=$B121,12*($B$7-$B$10),-12*($B$6+$B$10)*(1+$B$4)^56)&gt;0,1+$B$3,1))</f>
        <v/>
      </c>
      <c r="BH121">
        <f>IF($B$1+57&gt;90,BG121,(BG121+IF($B$1+57&lt;=$B121,12*($B$7-$B$10),-12*($B$6+$B$10)*(1+$B$4)^57))*IF(BG121+IF($B$1+57&lt;=$B121,12*($B$7-$B$10),-12*($B$6+$B$10)*(1+$B$4)^57)&gt;0,1+$B$3,1))</f>
        <v/>
      </c>
      <c r="BI121">
        <f>IF($B$1+58&gt;90,BH121,(BH121+IF($B$1+58&lt;=$B121,12*($B$7-$B$10),-12*($B$6+$B$10)*(1+$B$4)^58))*IF(BH121+IF($B$1+58&lt;=$B121,12*($B$7-$B$10),-12*($B$6+$B$10)*(1+$B$4)^58)&gt;0,1+$B$3,1))</f>
        <v/>
      </c>
      <c r="BJ121">
        <f>IF($B$1+59&gt;90,BI121,(BI121+IF($B$1+59&lt;=$B121,12*($B$7-$B$10),-12*($B$6+$B$10)*(1+$B$4)^59))*IF(BI121+IF($B$1+59&lt;=$B121,12*($B$7-$B$10),-12*($B$6+$B$10)*(1+$B$4)^59)&gt;0,1+$B$3,1))</f>
        <v/>
      </c>
      <c r="BK121">
        <f>IF($B$1+60&gt;90,BJ121,(BJ121+IF($B$1+60&lt;=$B121,12*($B$7-$B$10),-12*($B$6+$B$10)*(1+$B$4)^60))*IF(BJ121+IF($B$1+60&lt;=$B121,12*($B$7-$B$10),-12*($B$6+$B$10)*(1+$B$4)^60)&gt;0,1+$B$3,1))</f>
        <v/>
      </c>
      <c r="BL121">
        <f>IF($B$1+61&gt;90,BK121,(BK121+IF($B$1+61&lt;=$B121,12*($B$7-$B$10),-12*($B$6+$B$10)*(1+$B$4)^61))*IF(BK121+IF($B$1+61&lt;=$B121,12*($B$7-$B$10),-12*($B$6+$B$10)*(1+$B$4)^61)&gt;0,1+$B$3,1))</f>
        <v/>
      </c>
      <c r="BM121">
        <f>IF($B$1+62&gt;90,BL121,(BL121+IF($B$1+62&lt;=$B121,12*($B$7-$B$10),-12*($B$6+$B$10)*(1+$B$4)^62))*IF(BL121+IF($B$1+62&lt;=$B121,12*($B$7-$B$10),-12*($B$6+$B$10)*(1+$B$4)^62)&gt;0,1+$B$3,1))</f>
        <v/>
      </c>
      <c r="BN121">
        <f>IF($B$1+63&gt;90,BM121,(BM121+IF($B$1+63&lt;=$B121,12*($B$7-$B$10),-12*($B$6+$B$10)*(1+$B$4)^63))*IF(BM121+IF($B$1+63&lt;=$B121,12*($B$7-$B$10),-12*($B$6+$B$10)*(1+$B$4)^63)&gt;0,1+$B$3,1))</f>
        <v/>
      </c>
      <c r="BO121">
        <f>IF($B$1+64&gt;90,BN121,(BN121+IF($B$1+64&lt;=$B121,12*($B$7-$B$10),-12*($B$6+$B$10)*(1+$B$4)^64))*IF(BN121+IF($B$1+64&lt;=$B121,12*($B$7-$B$10),-12*($B$6+$B$10)*(1+$B$4)^64)&gt;0,1+$B$3,1))</f>
        <v/>
      </c>
      <c r="BP121">
        <f>IF($B$1+65&gt;90,BO121,(BO121+IF($B$1+65&lt;=$B121,12*($B$7-$B$10),-12*($B$6+$B$10)*(1+$B$4)^65))*IF(BO121+IF($B$1+65&lt;=$B121,12*($B$7-$B$10),-12*($B$6+$B$10)*(1+$B$4)^65)&gt;0,1+$B$3,1))</f>
        <v/>
      </c>
      <c r="BQ121">
        <f>IF($B$1+66&gt;90,BP121,(BP121+IF($B$1+66&lt;=$B121,12*($B$7-$B$10),-12*($B$6+$B$10)*(1+$B$4)^66))*IF(BP121+IF($B$1+66&lt;=$B121,12*($B$7-$B$10),-12*($B$6+$B$10)*(1+$B$4)^66)&gt;0,1+$B$3,1))</f>
        <v/>
      </c>
      <c r="BR121">
        <f>IF($B$1+67&gt;90,BQ121,(BQ121+IF($B$1+67&lt;=$B121,12*($B$7-$B$10),-12*($B$6+$B$10)*(1+$B$4)^67))*IF(BQ121+IF($B$1+67&lt;=$B121,12*($B$7-$B$10),-12*($B$6+$B$10)*(1+$B$4)^67)&gt;0,1+$B$3,1))</f>
        <v/>
      </c>
      <c r="BS121">
        <f>IF($B$1+68&gt;90,BR121,(BR121+IF($B$1+68&lt;=$B121,12*($B$7-$B$10),-12*($B$6+$B$10)*(1+$B$4)^68))*IF(BR121+IF($B$1+68&lt;=$B121,12*($B$7-$B$10),-12*($B$6+$B$10)*(1+$B$4)^68)&gt;0,1+$B$3,1))</f>
        <v/>
      </c>
      <c r="BT121">
        <f>IF($B$1+69&gt;90,BS121,(BS121+IF($B$1+69&lt;=$B121,12*($B$7-$B$10),-12*($B$6+$B$10)*(1+$B$4)^69))*IF(BS121+IF($B$1+69&lt;=$B121,12*($B$7-$B$10),-12*($B$6+$B$10)*(1+$B$4)^69)&gt;0,1+$B$3,1))</f>
        <v/>
      </c>
      <c r="BU121">
        <f>IF($B$1+70&gt;90,BT121,(BT121+IF($B$1+70&lt;=$B121,12*($B$7-$B$10),-12*($B$6+$B$10)*(1+$B$4)^70))*IF(BT121+IF($B$1+70&lt;=$B121,12*($B$7-$B$10),-12*($B$6+$B$10)*(1+$B$4)^70)&gt;0,1+$B$3,1))</f>
        <v/>
      </c>
      <c r="BV121">
        <f>BU121</f>
        <v/>
      </c>
      <c r="BW121">
        <f>IF(AND($B121&lt;=70,BV121&gt;0),$B121,999)</f>
        <v/>
      </c>
    </row>
    <row r="122">
      <c r="A122" t="n">
        <v>26</v>
      </c>
      <c r="B122">
        <f>$B$1+26</f>
        <v/>
      </c>
      <c r="C122">
        <f>$B$2</f>
        <v/>
      </c>
      <c r="D122">
        <f>IF($B$1+1&gt;90,C122,(C122+IF($B$1+1&lt;=$B122,12*($B$7-$B$10),-12*($B$6+$B$10)*(1+$B$4)^1))*IF(C122+IF($B$1+1&lt;=$B122,12*($B$7-$B$10),-12*($B$6+$B$10)*(1+$B$4)^1)&gt;0,1+$B$3,1))</f>
        <v/>
      </c>
      <c r="E122">
        <f>IF($B$1+2&gt;90,D122,(D122+IF($B$1+2&lt;=$B122,12*($B$7-$B$10),-12*($B$6+$B$10)*(1+$B$4)^2))*IF(D122+IF($B$1+2&lt;=$B122,12*($B$7-$B$10),-12*($B$6+$B$10)*(1+$B$4)^2)&gt;0,1+$B$3,1))</f>
        <v/>
      </c>
      <c r="F122">
        <f>IF($B$1+3&gt;90,E122,(E122+IF($B$1+3&lt;=$B122,12*($B$7-$B$10),-12*($B$6+$B$10)*(1+$B$4)^3))*IF(E122+IF($B$1+3&lt;=$B122,12*($B$7-$B$10),-12*($B$6+$B$10)*(1+$B$4)^3)&gt;0,1+$B$3,1))</f>
        <v/>
      </c>
      <c r="G122">
        <f>IF($B$1+4&gt;90,F122,(F122+IF($B$1+4&lt;=$B122,12*($B$7-$B$10),-12*($B$6+$B$10)*(1+$B$4)^4))*IF(F122+IF($B$1+4&lt;=$B122,12*($B$7-$B$10),-12*($B$6+$B$10)*(1+$B$4)^4)&gt;0,1+$B$3,1))</f>
        <v/>
      </c>
      <c r="H122">
        <f>IF($B$1+5&gt;90,G122,(G122+IF($B$1+5&lt;=$B122,12*($B$7-$B$10),-12*($B$6+$B$10)*(1+$B$4)^5))*IF(G122+IF($B$1+5&lt;=$B122,12*($B$7-$B$10),-12*($B$6+$B$10)*(1+$B$4)^5)&gt;0,1+$B$3,1))</f>
        <v/>
      </c>
      <c r="I122">
        <f>IF($B$1+6&gt;90,H122,(H122+IF($B$1+6&lt;=$B122,12*($B$7-$B$10),-12*($B$6+$B$10)*(1+$B$4)^6))*IF(H122+IF($B$1+6&lt;=$B122,12*($B$7-$B$10),-12*($B$6+$B$10)*(1+$B$4)^6)&gt;0,1+$B$3,1))</f>
        <v/>
      </c>
      <c r="J122">
        <f>IF($B$1+7&gt;90,I122,(I122+IF($B$1+7&lt;=$B122,12*($B$7-$B$10),-12*($B$6+$B$10)*(1+$B$4)^7))*IF(I122+IF($B$1+7&lt;=$B122,12*($B$7-$B$10),-12*($B$6+$B$10)*(1+$B$4)^7)&gt;0,1+$B$3,1))</f>
        <v/>
      </c>
      <c r="K122">
        <f>IF($B$1+8&gt;90,J122,(J122+IF($B$1+8&lt;=$B122,12*($B$7-$B$10),-12*($B$6+$B$10)*(1+$B$4)^8))*IF(J122+IF($B$1+8&lt;=$B122,12*($B$7-$B$10),-12*($B$6+$B$10)*(1+$B$4)^8)&gt;0,1+$B$3,1))</f>
        <v/>
      </c>
      <c r="L122">
        <f>IF($B$1+9&gt;90,K122,(K122+IF($B$1+9&lt;=$B122,12*($B$7-$B$10),-12*($B$6+$B$10)*(1+$B$4)^9))*IF(K122+IF($B$1+9&lt;=$B122,12*($B$7-$B$10),-12*($B$6+$B$10)*(1+$B$4)^9)&gt;0,1+$B$3,1))</f>
        <v/>
      </c>
      <c r="M122">
        <f>IF($B$1+10&gt;90,L122,(L122+IF($B$1+10&lt;=$B122,12*($B$7-$B$10),-12*($B$6+$B$10)*(1+$B$4)^10))*IF(L122+IF($B$1+10&lt;=$B122,12*($B$7-$B$10),-12*($B$6+$B$10)*(1+$B$4)^10)&gt;0,1+$B$3,1))</f>
        <v/>
      </c>
      <c r="N122">
        <f>IF($B$1+11&gt;90,M122,(M122+IF($B$1+11&lt;=$B122,12*($B$7-$B$10),-12*($B$6+$B$10)*(1+$B$4)^11))*IF(M122+IF($B$1+11&lt;=$B122,12*($B$7-$B$10),-12*($B$6+$B$10)*(1+$B$4)^11)&gt;0,1+$B$3,1))</f>
        <v/>
      </c>
      <c r="O122">
        <f>IF($B$1+12&gt;90,N122,(N122+IF($B$1+12&lt;=$B122,12*($B$7-$B$10),-12*($B$6+$B$10)*(1+$B$4)^12))*IF(N122+IF($B$1+12&lt;=$B122,12*($B$7-$B$10),-12*($B$6+$B$10)*(1+$B$4)^12)&gt;0,1+$B$3,1))</f>
        <v/>
      </c>
      <c r="P122">
        <f>IF($B$1+13&gt;90,O122,(O122+IF($B$1+13&lt;=$B122,12*($B$7-$B$10),-12*($B$6+$B$10)*(1+$B$4)^13))*IF(O122+IF($B$1+13&lt;=$B122,12*($B$7-$B$10),-12*($B$6+$B$10)*(1+$B$4)^13)&gt;0,1+$B$3,1))</f>
        <v/>
      </c>
      <c r="Q122">
        <f>IF($B$1+14&gt;90,P122,(P122+IF($B$1+14&lt;=$B122,12*($B$7-$B$10),-12*($B$6+$B$10)*(1+$B$4)^14))*IF(P122+IF($B$1+14&lt;=$B122,12*($B$7-$B$10),-12*($B$6+$B$10)*(1+$B$4)^14)&gt;0,1+$B$3,1))</f>
        <v/>
      </c>
      <c r="R122">
        <f>IF($B$1+15&gt;90,Q122,(Q122+IF($B$1+15&lt;=$B122,12*($B$7-$B$10),-12*($B$6+$B$10)*(1+$B$4)^15))*IF(Q122+IF($B$1+15&lt;=$B122,12*($B$7-$B$10),-12*($B$6+$B$10)*(1+$B$4)^15)&gt;0,1+$B$3,1))</f>
        <v/>
      </c>
      <c r="S122">
        <f>IF($B$1+16&gt;90,R122,(R122+IF($B$1+16&lt;=$B122,12*($B$7-$B$10),-12*($B$6+$B$10)*(1+$B$4)^16))*IF(R122+IF($B$1+16&lt;=$B122,12*($B$7-$B$10),-12*($B$6+$B$10)*(1+$B$4)^16)&gt;0,1+$B$3,1))</f>
        <v/>
      </c>
      <c r="T122">
        <f>IF($B$1+17&gt;90,S122,(S122+IF($B$1+17&lt;=$B122,12*($B$7-$B$10),-12*($B$6+$B$10)*(1+$B$4)^17))*IF(S122+IF($B$1+17&lt;=$B122,12*($B$7-$B$10),-12*($B$6+$B$10)*(1+$B$4)^17)&gt;0,1+$B$3,1))</f>
        <v/>
      </c>
      <c r="U122">
        <f>IF($B$1+18&gt;90,T122,(T122+IF($B$1+18&lt;=$B122,12*($B$7-$B$10),-12*($B$6+$B$10)*(1+$B$4)^18))*IF(T122+IF($B$1+18&lt;=$B122,12*($B$7-$B$10),-12*($B$6+$B$10)*(1+$B$4)^18)&gt;0,1+$B$3,1))</f>
        <v/>
      </c>
      <c r="V122">
        <f>IF($B$1+19&gt;90,U122,(U122+IF($B$1+19&lt;=$B122,12*($B$7-$B$10),-12*($B$6+$B$10)*(1+$B$4)^19))*IF(U122+IF($B$1+19&lt;=$B122,12*($B$7-$B$10),-12*($B$6+$B$10)*(1+$B$4)^19)&gt;0,1+$B$3,1))</f>
        <v/>
      </c>
      <c r="W122">
        <f>IF($B$1+20&gt;90,V122,(V122+IF($B$1+20&lt;=$B122,12*($B$7-$B$10),-12*($B$6+$B$10)*(1+$B$4)^20))*IF(V122+IF($B$1+20&lt;=$B122,12*($B$7-$B$10),-12*($B$6+$B$10)*(1+$B$4)^20)&gt;0,1+$B$3,1))</f>
        <v/>
      </c>
      <c r="X122">
        <f>IF($B$1+21&gt;90,W122,(W122+IF($B$1+21&lt;=$B122,12*($B$7-$B$10),-12*($B$6+$B$10)*(1+$B$4)^21))*IF(W122+IF($B$1+21&lt;=$B122,12*($B$7-$B$10),-12*($B$6+$B$10)*(1+$B$4)^21)&gt;0,1+$B$3,1))</f>
        <v/>
      </c>
      <c r="Y122">
        <f>IF($B$1+22&gt;90,X122,(X122+IF($B$1+22&lt;=$B122,12*($B$7-$B$10),-12*($B$6+$B$10)*(1+$B$4)^22))*IF(X122+IF($B$1+22&lt;=$B122,12*($B$7-$B$10),-12*($B$6+$B$10)*(1+$B$4)^22)&gt;0,1+$B$3,1))</f>
        <v/>
      </c>
      <c r="Z122">
        <f>IF($B$1+23&gt;90,Y122,(Y122+IF($B$1+23&lt;=$B122,12*($B$7-$B$10),-12*($B$6+$B$10)*(1+$B$4)^23))*IF(Y122+IF($B$1+23&lt;=$B122,12*($B$7-$B$10),-12*($B$6+$B$10)*(1+$B$4)^23)&gt;0,1+$B$3,1))</f>
        <v/>
      </c>
      <c r="AA122">
        <f>IF($B$1+24&gt;90,Z122,(Z122+IF($B$1+24&lt;=$B122,12*($B$7-$B$10),-12*($B$6+$B$10)*(1+$B$4)^24))*IF(Z122+IF($B$1+24&lt;=$B122,12*($B$7-$B$10),-12*($B$6+$B$10)*(1+$B$4)^24)&gt;0,1+$B$3,1))</f>
        <v/>
      </c>
      <c r="AB122">
        <f>IF($B$1+25&gt;90,AA122,(AA122+IF($B$1+25&lt;=$B122,12*($B$7-$B$10),-12*($B$6+$B$10)*(1+$B$4)^25))*IF(AA122+IF($B$1+25&lt;=$B122,12*($B$7-$B$10),-12*($B$6+$B$10)*(1+$B$4)^25)&gt;0,1+$B$3,1))</f>
        <v/>
      </c>
      <c r="AC122">
        <f>IF($B$1+26&gt;90,AB122,(AB122+IF($B$1+26&lt;=$B122,12*($B$7-$B$10),-12*($B$6+$B$10)*(1+$B$4)^26))*IF(AB122+IF($B$1+26&lt;=$B122,12*($B$7-$B$10),-12*($B$6+$B$10)*(1+$B$4)^26)&gt;0,1+$B$3,1))</f>
        <v/>
      </c>
      <c r="AD122">
        <f>IF($B$1+27&gt;90,AC122,(AC122+IF($B$1+27&lt;=$B122,12*($B$7-$B$10),-12*($B$6+$B$10)*(1+$B$4)^27))*IF(AC122+IF($B$1+27&lt;=$B122,12*($B$7-$B$10),-12*($B$6+$B$10)*(1+$B$4)^27)&gt;0,1+$B$3,1))</f>
        <v/>
      </c>
      <c r="AE122">
        <f>IF($B$1+28&gt;90,AD122,(AD122+IF($B$1+28&lt;=$B122,12*($B$7-$B$10),-12*($B$6+$B$10)*(1+$B$4)^28))*IF(AD122+IF($B$1+28&lt;=$B122,12*($B$7-$B$10),-12*($B$6+$B$10)*(1+$B$4)^28)&gt;0,1+$B$3,1))</f>
        <v/>
      </c>
      <c r="AF122">
        <f>IF($B$1+29&gt;90,AE122,(AE122+IF($B$1+29&lt;=$B122,12*($B$7-$B$10),-12*($B$6+$B$10)*(1+$B$4)^29))*IF(AE122+IF($B$1+29&lt;=$B122,12*($B$7-$B$10),-12*($B$6+$B$10)*(1+$B$4)^29)&gt;0,1+$B$3,1))</f>
        <v/>
      </c>
      <c r="AG122">
        <f>IF($B$1+30&gt;90,AF122,(AF122+IF($B$1+30&lt;=$B122,12*($B$7-$B$10),-12*($B$6+$B$10)*(1+$B$4)^30))*IF(AF122+IF($B$1+30&lt;=$B122,12*($B$7-$B$10),-12*($B$6+$B$10)*(1+$B$4)^30)&gt;0,1+$B$3,1))</f>
        <v/>
      </c>
      <c r="AH122">
        <f>IF($B$1+31&gt;90,AG122,(AG122+IF($B$1+31&lt;=$B122,12*($B$7-$B$10),-12*($B$6+$B$10)*(1+$B$4)^31))*IF(AG122+IF($B$1+31&lt;=$B122,12*($B$7-$B$10),-12*($B$6+$B$10)*(1+$B$4)^31)&gt;0,1+$B$3,1))</f>
        <v/>
      </c>
      <c r="AI122">
        <f>IF($B$1+32&gt;90,AH122,(AH122+IF($B$1+32&lt;=$B122,12*($B$7-$B$10),-12*($B$6+$B$10)*(1+$B$4)^32))*IF(AH122+IF($B$1+32&lt;=$B122,12*($B$7-$B$10),-12*($B$6+$B$10)*(1+$B$4)^32)&gt;0,1+$B$3,1))</f>
        <v/>
      </c>
      <c r="AJ122">
        <f>IF($B$1+33&gt;90,AI122,(AI122+IF($B$1+33&lt;=$B122,12*($B$7-$B$10),-12*($B$6+$B$10)*(1+$B$4)^33))*IF(AI122+IF($B$1+33&lt;=$B122,12*($B$7-$B$10),-12*($B$6+$B$10)*(1+$B$4)^33)&gt;0,1+$B$3,1))</f>
        <v/>
      </c>
      <c r="AK122">
        <f>IF($B$1+34&gt;90,AJ122,(AJ122+IF($B$1+34&lt;=$B122,12*($B$7-$B$10),-12*($B$6+$B$10)*(1+$B$4)^34))*IF(AJ122+IF($B$1+34&lt;=$B122,12*($B$7-$B$10),-12*($B$6+$B$10)*(1+$B$4)^34)&gt;0,1+$B$3,1))</f>
        <v/>
      </c>
      <c r="AL122">
        <f>IF($B$1+35&gt;90,AK122,(AK122+IF($B$1+35&lt;=$B122,12*($B$7-$B$10),-12*($B$6+$B$10)*(1+$B$4)^35))*IF(AK122+IF($B$1+35&lt;=$B122,12*($B$7-$B$10),-12*($B$6+$B$10)*(1+$B$4)^35)&gt;0,1+$B$3,1))</f>
        <v/>
      </c>
      <c r="AM122">
        <f>IF($B$1+36&gt;90,AL122,(AL122+IF($B$1+36&lt;=$B122,12*($B$7-$B$10),-12*($B$6+$B$10)*(1+$B$4)^36))*IF(AL122+IF($B$1+36&lt;=$B122,12*($B$7-$B$10),-12*($B$6+$B$10)*(1+$B$4)^36)&gt;0,1+$B$3,1))</f>
        <v/>
      </c>
      <c r="AN122">
        <f>IF($B$1+37&gt;90,AM122,(AM122+IF($B$1+37&lt;=$B122,12*($B$7-$B$10),-12*($B$6+$B$10)*(1+$B$4)^37))*IF(AM122+IF($B$1+37&lt;=$B122,12*($B$7-$B$10),-12*($B$6+$B$10)*(1+$B$4)^37)&gt;0,1+$B$3,1))</f>
        <v/>
      </c>
      <c r="AO122">
        <f>IF($B$1+38&gt;90,AN122,(AN122+IF($B$1+38&lt;=$B122,12*($B$7-$B$10),-12*($B$6+$B$10)*(1+$B$4)^38))*IF(AN122+IF($B$1+38&lt;=$B122,12*($B$7-$B$10),-12*($B$6+$B$10)*(1+$B$4)^38)&gt;0,1+$B$3,1))</f>
        <v/>
      </c>
      <c r="AP122">
        <f>IF($B$1+39&gt;90,AO122,(AO122+IF($B$1+39&lt;=$B122,12*($B$7-$B$10),-12*($B$6+$B$10)*(1+$B$4)^39))*IF(AO122+IF($B$1+39&lt;=$B122,12*($B$7-$B$10),-12*($B$6+$B$10)*(1+$B$4)^39)&gt;0,1+$B$3,1))</f>
        <v/>
      </c>
      <c r="AQ122">
        <f>IF($B$1+40&gt;90,AP122,(AP122+IF($B$1+40&lt;=$B122,12*($B$7-$B$10),-12*($B$6+$B$10)*(1+$B$4)^40))*IF(AP122+IF($B$1+40&lt;=$B122,12*($B$7-$B$10),-12*($B$6+$B$10)*(1+$B$4)^40)&gt;0,1+$B$3,1))</f>
        <v/>
      </c>
      <c r="AR122">
        <f>IF($B$1+41&gt;90,AQ122,(AQ122+IF($B$1+41&lt;=$B122,12*($B$7-$B$10),-12*($B$6+$B$10)*(1+$B$4)^41))*IF(AQ122+IF($B$1+41&lt;=$B122,12*($B$7-$B$10),-12*($B$6+$B$10)*(1+$B$4)^41)&gt;0,1+$B$3,1))</f>
        <v/>
      </c>
      <c r="AS122">
        <f>IF($B$1+42&gt;90,AR122,(AR122+IF($B$1+42&lt;=$B122,12*($B$7-$B$10),-12*($B$6+$B$10)*(1+$B$4)^42))*IF(AR122+IF($B$1+42&lt;=$B122,12*($B$7-$B$10),-12*($B$6+$B$10)*(1+$B$4)^42)&gt;0,1+$B$3,1))</f>
        <v/>
      </c>
      <c r="AT122">
        <f>IF($B$1+43&gt;90,AS122,(AS122+IF($B$1+43&lt;=$B122,12*($B$7-$B$10),-12*($B$6+$B$10)*(1+$B$4)^43))*IF(AS122+IF($B$1+43&lt;=$B122,12*($B$7-$B$10),-12*($B$6+$B$10)*(1+$B$4)^43)&gt;0,1+$B$3,1))</f>
        <v/>
      </c>
      <c r="AU122">
        <f>IF($B$1+44&gt;90,AT122,(AT122+IF($B$1+44&lt;=$B122,12*($B$7-$B$10),-12*($B$6+$B$10)*(1+$B$4)^44))*IF(AT122+IF($B$1+44&lt;=$B122,12*($B$7-$B$10),-12*($B$6+$B$10)*(1+$B$4)^44)&gt;0,1+$B$3,1))</f>
        <v/>
      </c>
      <c r="AV122">
        <f>IF($B$1+45&gt;90,AU122,(AU122+IF($B$1+45&lt;=$B122,12*($B$7-$B$10),-12*($B$6+$B$10)*(1+$B$4)^45))*IF(AU122+IF($B$1+45&lt;=$B122,12*($B$7-$B$10),-12*($B$6+$B$10)*(1+$B$4)^45)&gt;0,1+$B$3,1))</f>
        <v/>
      </c>
      <c r="AW122">
        <f>IF($B$1+46&gt;90,AV122,(AV122+IF($B$1+46&lt;=$B122,12*($B$7-$B$10),-12*($B$6+$B$10)*(1+$B$4)^46))*IF(AV122+IF($B$1+46&lt;=$B122,12*($B$7-$B$10),-12*($B$6+$B$10)*(1+$B$4)^46)&gt;0,1+$B$3,1))</f>
        <v/>
      </c>
      <c r="AX122">
        <f>IF($B$1+47&gt;90,AW122,(AW122+IF($B$1+47&lt;=$B122,12*($B$7-$B$10),-12*($B$6+$B$10)*(1+$B$4)^47))*IF(AW122+IF($B$1+47&lt;=$B122,12*($B$7-$B$10),-12*($B$6+$B$10)*(1+$B$4)^47)&gt;0,1+$B$3,1))</f>
        <v/>
      </c>
      <c r="AY122">
        <f>IF($B$1+48&gt;90,AX122,(AX122+IF($B$1+48&lt;=$B122,12*($B$7-$B$10),-12*($B$6+$B$10)*(1+$B$4)^48))*IF(AX122+IF($B$1+48&lt;=$B122,12*($B$7-$B$10),-12*($B$6+$B$10)*(1+$B$4)^48)&gt;0,1+$B$3,1))</f>
        <v/>
      </c>
      <c r="AZ122">
        <f>IF($B$1+49&gt;90,AY122,(AY122+IF($B$1+49&lt;=$B122,12*($B$7-$B$10),-12*($B$6+$B$10)*(1+$B$4)^49))*IF(AY122+IF($B$1+49&lt;=$B122,12*($B$7-$B$10),-12*($B$6+$B$10)*(1+$B$4)^49)&gt;0,1+$B$3,1))</f>
        <v/>
      </c>
      <c r="BA122">
        <f>IF($B$1+50&gt;90,AZ122,(AZ122+IF($B$1+50&lt;=$B122,12*($B$7-$B$10),-12*($B$6+$B$10)*(1+$B$4)^50))*IF(AZ122+IF($B$1+50&lt;=$B122,12*($B$7-$B$10),-12*($B$6+$B$10)*(1+$B$4)^50)&gt;0,1+$B$3,1))</f>
        <v/>
      </c>
      <c r="BB122">
        <f>IF($B$1+51&gt;90,BA122,(BA122+IF($B$1+51&lt;=$B122,12*($B$7-$B$10),-12*($B$6+$B$10)*(1+$B$4)^51))*IF(BA122+IF($B$1+51&lt;=$B122,12*($B$7-$B$10),-12*($B$6+$B$10)*(1+$B$4)^51)&gt;0,1+$B$3,1))</f>
        <v/>
      </c>
      <c r="BC122">
        <f>IF($B$1+52&gt;90,BB122,(BB122+IF($B$1+52&lt;=$B122,12*($B$7-$B$10),-12*($B$6+$B$10)*(1+$B$4)^52))*IF(BB122+IF($B$1+52&lt;=$B122,12*($B$7-$B$10),-12*($B$6+$B$10)*(1+$B$4)^52)&gt;0,1+$B$3,1))</f>
        <v/>
      </c>
      <c r="BD122">
        <f>IF($B$1+53&gt;90,BC122,(BC122+IF($B$1+53&lt;=$B122,12*($B$7-$B$10),-12*($B$6+$B$10)*(1+$B$4)^53))*IF(BC122+IF($B$1+53&lt;=$B122,12*($B$7-$B$10),-12*($B$6+$B$10)*(1+$B$4)^53)&gt;0,1+$B$3,1))</f>
        <v/>
      </c>
      <c r="BE122">
        <f>IF($B$1+54&gt;90,BD122,(BD122+IF($B$1+54&lt;=$B122,12*($B$7-$B$10),-12*($B$6+$B$10)*(1+$B$4)^54))*IF(BD122+IF($B$1+54&lt;=$B122,12*($B$7-$B$10),-12*($B$6+$B$10)*(1+$B$4)^54)&gt;0,1+$B$3,1))</f>
        <v/>
      </c>
      <c r="BF122">
        <f>IF($B$1+55&gt;90,BE122,(BE122+IF($B$1+55&lt;=$B122,12*($B$7-$B$10),-12*($B$6+$B$10)*(1+$B$4)^55))*IF(BE122+IF($B$1+55&lt;=$B122,12*($B$7-$B$10),-12*($B$6+$B$10)*(1+$B$4)^55)&gt;0,1+$B$3,1))</f>
        <v/>
      </c>
      <c r="BG122">
        <f>IF($B$1+56&gt;90,BF122,(BF122+IF($B$1+56&lt;=$B122,12*($B$7-$B$10),-12*($B$6+$B$10)*(1+$B$4)^56))*IF(BF122+IF($B$1+56&lt;=$B122,12*($B$7-$B$10),-12*($B$6+$B$10)*(1+$B$4)^56)&gt;0,1+$B$3,1))</f>
        <v/>
      </c>
      <c r="BH122">
        <f>IF($B$1+57&gt;90,BG122,(BG122+IF($B$1+57&lt;=$B122,12*($B$7-$B$10),-12*($B$6+$B$10)*(1+$B$4)^57))*IF(BG122+IF($B$1+57&lt;=$B122,12*($B$7-$B$10),-12*($B$6+$B$10)*(1+$B$4)^57)&gt;0,1+$B$3,1))</f>
        <v/>
      </c>
      <c r="BI122">
        <f>IF($B$1+58&gt;90,BH122,(BH122+IF($B$1+58&lt;=$B122,12*($B$7-$B$10),-12*($B$6+$B$10)*(1+$B$4)^58))*IF(BH122+IF($B$1+58&lt;=$B122,12*($B$7-$B$10),-12*($B$6+$B$10)*(1+$B$4)^58)&gt;0,1+$B$3,1))</f>
        <v/>
      </c>
      <c r="BJ122">
        <f>IF($B$1+59&gt;90,BI122,(BI122+IF($B$1+59&lt;=$B122,12*($B$7-$B$10),-12*($B$6+$B$10)*(1+$B$4)^59))*IF(BI122+IF($B$1+59&lt;=$B122,12*($B$7-$B$10),-12*($B$6+$B$10)*(1+$B$4)^59)&gt;0,1+$B$3,1))</f>
        <v/>
      </c>
      <c r="BK122">
        <f>IF($B$1+60&gt;90,BJ122,(BJ122+IF($B$1+60&lt;=$B122,12*($B$7-$B$10),-12*($B$6+$B$10)*(1+$B$4)^60))*IF(BJ122+IF($B$1+60&lt;=$B122,12*($B$7-$B$10),-12*($B$6+$B$10)*(1+$B$4)^60)&gt;0,1+$B$3,1))</f>
        <v/>
      </c>
      <c r="BL122">
        <f>IF($B$1+61&gt;90,BK122,(BK122+IF($B$1+61&lt;=$B122,12*($B$7-$B$10),-12*($B$6+$B$10)*(1+$B$4)^61))*IF(BK122+IF($B$1+61&lt;=$B122,12*($B$7-$B$10),-12*($B$6+$B$10)*(1+$B$4)^61)&gt;0,1+$B$3,1))</f>
        <v/>
      </c>
      <c r="BM122">
        <f>IF($B$1+62&gt;90,BL122,(BL122+IF($B$1+62&lt;=$B122,12*($B$7-$B$10),-12*($B$6+$B$10)*(1+$B$4)^62))*IF(BL122+IF($B$1+62&lt;=$B122,12*($B$7-$B$10),-12*($B$6+$B$10)*(1+$B$4)^62)&gt;0,1+$B$3,1))</f>
        <v/>
      </c>
      <c r="BN122">
        <f>IF($B$1+63&gt;90,BM122,(BM122+IF($B$1+63&lt;=$B122,12*($B$7-$B$10),-12*($B$6+$B$10)*(1+$B$4)^63))*IF(BM122+IF($B$1+63&lt;=$B122,12*($B$7-$B$10),-12*($B$6+$B$10)*(1+$B$4)^63)&gt;0,1+$B$3,1))</f>
        <v/>
      </c>
      <c r="BO122">
        <f>IF($B$1+64&gt;90,BN122,(BN122+IF($B$1+64&lt;=$B122,12*($B$7-$B$10),-12*($B$6+$B$10)*(1+$B$4)^64))*IF(BN122+IF($B$1+64&lt;=$B122,12*($B$7-$B$10),-12*($B$6+$B$10)*(1+$B$4)^64)&gt;0,1+$B$3,1))</f>
        <v/>
      </c>
      <c r="BP122">
        <f>IF($B$1+65&gt;90,BO122,(BO122+IF($B$1+65&lt;=$B122,12*($B$7-$B$10),-12*($B$6+$B$10)*(1+$B$4)^65))*IF(BO122+IF($B$1+65&lt;=$B122,12*($B$7-$B$10),-12*($B$6+$B$10)*(1+$B$4)^65)&gt;0,1+$B$3,1))</f>
        <v/>
      </c>
      <c r="BQ122">
        <f>IF($B$1+66&gt;90,BP122,(BP122+IF($B$1+66&lt;=$B122,12*($B$7-$B$10),-12*($B$6+$B$10)*(1+$B$4)^66))*IF(BP122+IF($B$1+66&lt;=$B122,12*($B$7-$B$10),-12*($B$6+$B$10)*(1+$B$4)^66)&gt;0,1+$B$3,1))</f>
        <v/>
      </c>
      <c r="BR122">
        <f>IF($B$1+67&gt;90,BQ122,(BQ122+IF($B$1+67&lt;=$B122,12*($B$7-$B$10),-12*($B$6+$B$10)*(1+$B$4)^67))*IF(BQ122+IF($B$1+67&lt;=$B122,12*($B$7-$B$10),-12*($B$6+$B$10)*(1+$B$4)^67)&gt;0,1+$B$3,1))</f>
        <v/>
      </c>
      <c r="BS122">
        <f>IF($B$1+68&gt;90,BR122,(BR122+IF($B$1+68&lt;=$B122,12*($B$7-$B$10),-12*($B$6+$B$10)*(1+$B$4)^68))*IF(BR122+IF($B$1+68&lt;=$B122,12*($B$7-$B$10),-12*($B$6+$B$10)*(1+$B$4)^68)&gt;0,1+$B$3,1))</f>
        <v/>
      </c>
      <c r="BT122">
        <f>IF($B$1+69&gt;90,BS122,(BS122+IF($B$1+69&lt;=$B122,12*($B$7-$B$10),-12*($B$6+$B$10)*(1+$B$4)^69))*IF(BS122+IF($B$1+69&lt;=$B122,12*($B$7-$B$10),-12*($B$6+$B$10)*(1+$B$4)^69)&gt;0,1+$B$3,1))</f>
        <v/>
      </c>
      <c r="BU122">
        <f>IF($B$1+70&gt;90,BT122,(BT122+IF($B$1+70&lt;=$B122,12*($B$7-$B$10),-12*($B$6+$B$10)*(1+$B$4)^70))*IF(BT122+IF($B$1+70&lt;=$B122,12*($B$7-$B$10),-12*($B$6+$B$10)*(1+$B$4)^70)&gt;0,1+$B$3,1))</f>
        <v/>
      </c>
      <c r="BV122">
        <f>BU122</f>
        <v/>
      </c>
      <c r="BW122">
        <f>IF(AND($B122&lt;=70,BV122&gt;0),$B122,999)</f>
        <v/>
      </c>
    </row>
    <row r="123">
      <c r="A123" t="n">
        <v>27</v>
      </c>
      <c r="B123">
        <f>$B$1+27</f>
        <v/>
      </c>
      <c r="C123">
        <f>$B$2</f>
        <v/>
      </c>
      <c r="D123">
        <f>IF($B$1+1&gt;90,C123,(C123+IF($B$1+1&lt;=$B123,12*($B$7-$B$10),-12*($B$6+$B$10)*(1+$B$4)^1))*IF(C123+IF($B$1+1&lt;=$B123,12*($B$7-$B$10),-12*($B$6+$B$10)*(1+$B$4)^1)&gt;0,1+$B$3,1))</f>
        <v/>
      </c>
      <c r="E123">
        <f>IF($B$1+2&gt;90,D123,(D123+IF($B$1+2&lt;=$B123,12*($B$7-$B$10),-12*($B$6+$B$10)*(1+$B$4)^2))*IF(D123+IF($B$1+2&lt;=$B123,12*($B$7-$B$10),-12*($B$6+$B$10)*(1+$B$4)^2)&gt;0,1+$B$3,1))</f>
        <v/>
      </c>
      <c r="F123">
        <f>IF($B$1+3&gt;90,E123,(E123+IF($B$1+3&lt;=$B123,12*($B$7-$B$10),-12*($B$6+$B$10)*(1+$B$4)^3))*IF(E123+IF($B$1+3&lt;=$B123,12*($B$7-$B$10),-12*($B$6+$B$10)*(1+$B$4)^3)&gt;0,1+$B$3,1))</f>
        <v/>
      </c>
      <c r="G123">
        <f>IF($B$1+4&gt;90,F123,(F123+IF($B$1+4&lt;=$B123,12*($B$7-$B$10),-12*($B$6+$B$10)*(1+$B$4)^4))*IF(F123+IF($B$1+4&lt;=$B123,12*($B$7-$B$10),-12*($B$6+$B$10)*(1+$B$4)^4)&gt;0,1+$B$3,1))</f>
        <v/>
      </c>
      <c r="H123">
        <f>IF($B$1+5&gt;90,G123,(G123+IF($B$1+5&lt;=$B123,12*($B$7-$B$10),-12*($B$6+$B$10)*(1+$B$4)^5))*IF(G123+IF($B$1+5&lt;=$B123,12*($B$7-$B$10),-12*($B$6+$B$10)*(1+$B$4)^5)&gt;0,1+$B$3,1))</f>
        <v/>
      </c>
      <c r="I123">
        <f>IF($B$1+6&gt;90,H123,(H123+IF($B$1+6&lt;=$B123,12*($B$7-$B$10),-12*($B$6+$B$10)*(1+$B$4)^6))*IF(H123+IF($B$1+6&lt;=$B123,12*($B$7-$B$10),-12*($B$6+$B$10)*(1+$B$4)^6)&gt;0,1+$B$3,1))</f>
        <v/>
      </c>
      <c r="J123">
        <f>IF($B$1+7&gt;90,I123,(I123+IF($B$1+7&lt;=$B123,12*($B$7-$B$10),-12*($B$6+$B$10)*(1+$B$4)^7))*IF(I123+IF($B$1+7&lt;=$B123,12*($B$7-$B$10),-12*($B$6+$B$10)*(1+$B$4)^7)&gt;0,1+$B$3,1))</f>
        <v/>
      </c>
      <c r="K123">
        <f>IF($B$1+8&gt;90,J123,(J123+IF($B$1+8&lt;=$B123,12*($B$7-$B$10),-12*($B$6+$B$10)*(1+$B$4)^8))*IF(J123+IF($B$1+8&lt;=$B123,12*($B$7-$B$10),-12*($B$6+$B$10)*(1+$B$4)^8)&gt;0,1+$B$3,1))</f>
        <v/>
      </c>
      <c r="L123">
        <f>IF($B$1+9&gt;90,K123,(K123+IF($B$1+9&lt;=$B123,12*($B$7-$B$10),-12*($B$6+$B$10)*(1+$B$4)^9))*IF(K123+IF($B$1+9&lt;=$B123,12*($B$7-$B$10),-12*($B$6+$B$10)*(1+$B$4)^9)&gt;0,1+$B$3,1))</f>
        <v/>
      </c>
      <c r="M123">
        <f>IF($B$1+10&gt;90,L123,(L123+IF($B$1+10&lt;=$B123,12*($B$7-$B$10),-12*($B$6+$B$10)*(1+$B$4)^10))*IF(L123+IF($B$1+10&lt;=$B123,12*($B$7-$B$10),-12*($B$6+$B$10)*(1+$B$4)^10)&gt;0,1+$B$3,1))</f>
        <v/>
      </c>
      <c r="N123">
        <f>IF($B$1+11&gt;90,M123,(M123+IF($B$1+11&lt;=$B123,12*($B$7-$B$10),-12*($B$6+$B$10)*(1+$B$4)^11))*IF(M123+IF($B$1+11&lt;=$B123,12*($B$7-$B$10),-12*($B$6+$B$10)*(1+$B$4)^11)&gt;0,1+$B$3,1))</f>
        <v/>
      </c>
      <c r="O123">
        <f>IF($B$1+12&gt;90,N123,(N123+IF($B$1+12&lt;=$B123,12*($B$7-$B$10),-12*($B$6+$B$10)*(1+$B$4)^12))*IF(N123+IF($B$1+12&lt;=$B123,12*($B$7-$B$10),-12*($B$6+$B$10)*(1+$B$4)^12)&gt;0,1+$B$3,1))</f>
        <v/>
      </c>
      <c r="P123">
        <f>IF($B$1+13&gt;90,O123,(O123+IF($B$1+13&lt;=$B123,12*($B$7-$B$10),-12*($B$6+$B$10)*(1+$B$4)^13))*IF(O123+IF($B$1+13&lt;=$B123,12*($B$7-$B$10),-12*($B$6+$B$10)*(1+$B$4)^13)&gt;0,1+$B$3,1))</f>
        <v/>
      </c>
      <c r="Q123">
        <f>IF($B$1+14&gt;90,P123,(P123+IF($B$1+14&lt;=$B123,12*($B$7-$B$10),-12*($B$6+$B$10)*(1+$B$4)^14))*IF(P123+IF($B$1+14&lt;=$B123,12*($B$7-$B$10),-12*($B$6+$B$10)*(1+$B$4)^14)&gt;0,1+$B$3,1))</f>
        <v/>
      </c>
      <c r="R123">
        <f>IF($B$1+15&gt;90,Q123,(Q123+IF($B$1+15&lt;=$B123,12*($B$7-$B$10),-12*($B$6+$B$10)*(1+$B$4)^15))*IF(Q123+IF($B$1+15&lt;=$B123,12*($B$7-$B$10),-12*($B$6+$B$10)*(1+$B$4)^15)&gt;0,1+$B$3,1))</f>
        <v/>
      </c>
      <c r="S123">
        <f>IF($B$1+16&gt;90,R123,(R123+IF($B$1+16&lt;=$B123,12*($B$7-$B$10),-12*($B$6+$B$10)*(1+$B$4)^16))*IF(R123+IF($B$1+16&lt;=$B123,12*($B$7-$B$10),-12*($B$6+$B$10)*(1+$B$4)^16)&gt;0,1+$B$3,1))</f>
        <v/>
      </c>
      <c r="T123">
        <f>IF($B$1+17&gt;90,S123,(S123+IF($B$1+17&lt;=$B123,12*($B$7-$B$10),-12*($B$6+$B$10)*(1+$B$4)^17))*IF(S123+IF($B$1+17&lt;=$B123,12*($B$7-$B$10),-12*($B$6+$B$10)*(1+$B$4)^17)&gt;0,1+$B$3,1))</f>
        <v/>
      </c>
      <c r="U123">
        <f>IF($B$1+18&gt;90,T123,(T123+IF($B$1+18&lt;=$B123,12*($B$7-$B$10),-12*($B$6+$B$10)*(1+$B$4)^18))*IF(T123+IF($B$1+18&lt;=$B123,12*($B$7-$B$10),-12*($B$6+$B$10)*(1+$B$4)^18)&gt;0,1+$B$3,1))</f>
        <v/>
      </c>
      <c r="V123">
        <f>IF($B$1+19&gt;90,U123,(U123+IF($B$1+19&lt;=$B123,12*($B$7-$B$10),-12*($B$6+$B$10)*(1+$B$4)^19))*IF(U123+IF($B$1+19&lt;=$B123,12*($B$7-$B$10),-12*($B$6+$B$10)*(1+$B$4)^19)&gt;0,1+$B$3,1))</f>
        <v/>
      </c>
      <c r="W123">
        <f>IF($B$1+20&gt;90,V123,(V123+IF($B$1+20&lt;=$B123,12*($B$7-$B$10),-12*($B$6+$B$10)*(1+$B$4)^20))*IF(V123+IF($B$1+20&lt;=$B123,12*($B$7-$B$10),-12*($B$6+$B$10)*(1+$B$4)^20)&gt;0,1+$B$3,1))</f>
        <v/>
      </c>
      <c r="X123">
        <f>IF($B$1+21&gt;90,W123,(W123+IF($B$1+21&lt;=$B123,12*($B$7-$B$10),-12*($B$6+$B$10)*(1+$B$4)^21))*IF(W123+IF($B$1+21&lt;=$B123,12*($B$7-$B$10),-12*($B$6+$B$10)*(1+$B$4)^21)&gt;0,1+$B$3,1))</f>
        <v/>
      </c>
      <c r="Y123">
        <f>IF($B$1+22&gt;90,X123,(X123+IF($B$1+22&lt;=$B123,12*($B$7-$B$10),-12*($B$6+$B$10)*(1+$B$4)^22))*IF(X123+IF($B$1+22&lt;=$B123,12*($B$7-$B$10),-12*($B$6+$B$10)*(1+$B$4)^22)&gt;0,1+$B$3,1))</f>
        <v/>
      </c>
      <c r="Z123">
        <f>IF($B$1+23&gt;90,Y123,(Y123+IF($B$1+23&lt;=$B123,12*($B$7-$B$10),-12*($B$6+$B$10)*(1+$B$4)^23))*IF(Y123+IF($B$1+23&lt;=$B123,12*($B$7-$B$10),-12*($B$6+$B$10)*(1+$B$4)^23)&gt;0,1+$B$3,1))</f>
        <v/>
      </c>
      <c r="AA123">
        <f>IF($B$1+24&gt;90,Z123,(Z123+IF($B$1+24&lt;=$B123,12*($B$7-$B$10),-12*($B$6+$B$10)*(1+$B$4)^24))*IF(Z123+IF($B$1+24&lt;=$B123,12*($B$7-$B$10),-12*($B$6+$B$10)*(1+$B$4)^24)&gt;0,1+$B$3,1))</f>
        <v/>
      </c>
      <c r="AB123">
        <f>IF($B$1+25&gt;90,AA123,(AA123+IF($B$1+25&lt;=$B123,12*($B$7-$B$10),-12*($B$6+$B$10)*(1+$B$4)^25))*IF(AA123+IF($B$1+25&lt;=$B123,12*($B$7-$B$10),-12*($B$6+$B$10)*(1+$B$4)^25)&gt;0,1+$B$3,1))</f>
        <v/>
      </c>
      <c r="AC123">
        <f>IF($B$1+26&gt;90,AB123,(AB123+IF($B$1+26&lt;=$B123,12*($B$7-$B$10),-12*($B$6+$B$10)*(1+$B$4)^26))*IF(AB123+IF($B$1+26&lt;=$B123,12*($B$7-$B$10),-12*($B$6+$B$10)*(1+$B$4)^26)&gt;0,1+$B$3,1))</f>
        <v/>
      </c>
      <c r="AD123">
        <f>IF($B$1+27&gt;90,AC123,(AC123+IF($B$1+27&lt;=$B123,12*($B$7-$B$10),-12*($B$6+$B$10)*(1+$B$4)^27))*IF(AC123+IF($B$1+27&lt;=$B123,12*($B$7-$B$10),-12*($B$6+$B$10)*(1+$B$4)^27)&gt;0,1+$B$3,1))</f>
        <v/>
      </c>
      <c r="AE123">
        <f>IF($B$1+28&gt;90,AD123,(AD123+IF($B$1+28&lt;=$B123,12*($B$7-$B$10),-12*($B$6+$B$10)*(1+$B$4)^28))*IF(AD123+IF($B$1+28&lt;=$B123,12*($B$7-$B$10),-12*($B$6+$B$10)*(1+$B$4)^28)&gt;0,1+$B$3,1))</f>
        <v/>
      </c>
      <c r="AF123">
        <f>IF($B$1+29&gt;90,AE123,(AE123+IF($B$1+29&lt;=$B123,12*($B$7-$B$10),-12*($B$6+$B$10)*(1+$B$4)^29))*IF(AE123+IF($B$1+29&lt;=$B123,12*($B$7-$B$10),-12*($B$6+$B$10)*(1+$B$4)^29)&gt;0,1+$B$3,1))</f>
        <v/>
      </c>
      <c r="AG123">
        <f>IF($B$1+30&gt;90,AF123,(AF123+IF($B$1+30&lt;=$B123,12*($B$7-$B$10),-12*($B$6+$B$10)*(1+$B$4)^30))*IF(AF123+IF($B$1+30&lt;=$B123,12*($B$7-$B$10),-12*($B$6+$B$10)*(1+$B$4)^30)&gt;0,1+$B$3,1))</f>
        <v/>
      </c>
      <c r="AH123">
        <f>IF($B$1+31&gt;90,AG123,(AG123+IF($B$1+31&lt;=$B123,12*($B$7-$B$10),-12*($B$6+$B$10)*(1+$B$4)^31))*IF(AG123+IF($B$1+31&lt;=$B123,12*($B$7-$B$10),-12*($B$6+$B$10)*(1+$B$4)^31)&gt;0,1+$B$3,1))</f>
        <v/>
      </c>
      <c r="AI123">
        <f>IF($B$1+32&gt;90,AH123,(AH123+IF($B$1+32&lt;=$B123,12*($B$7-$B$10),-12*($B$6+$B$10)*(1+$B$4)^32))*IF(AH123+IF($B$1+32&lt;=$B123,12*($B$7-$B$10),-12*($B$6+$B$10)*(1+$B$4)^32)&gt;0,1+$B$3,1))</f>
        <v/>
      </c>
      <c r="AJ123">
        <f>IF($B$1+33&gt;90,AI123,(AI123+IF($B$1+33&lt;=$B123,12*($B$7-$B$10),-12*($B$6+$B$10)*(1+$B$4)^33))*IF(AI123+IF($B$1+33&lt;=$B123,12*($B$7-$B$10),-12*($B$6+$B$10)*(1+$B$4)^33)&gt;0,1+$B$3,1))</f>
        <v/>
      </c>
      <c r="AK123">
        <f>IF($B$1+34&gt;90,AJ123,(AJ123+IF($B$1+34&lt;=$B123,12*($B$7-$B$10),-12*($B$6+$B$10)*(1+$B$4)^34))*IF(AJ123+IF($B$1+34&lt;=$B123,12*($B$7-$B$10),-12*($B$6+$B$10)*(1+$B$4)^34)&gt;0,1+$B$3,1))</f>
        <v/>
      </c>
      <c r="AL123">
        <f>IF($B$1+35&gt;90,AK123,(AK123+IF($B$1+35&lt;=$B123,12*($B$7-$B$10),-12*($B$6+$B$10)*(1+$B$4)^35))*IF(AK123+IF($B$1+35&lt;=$B123,12*($B$7-$B$10),-12*($B$6+$B$10)*(1+$B$4)^35)&gt;0,1+$B$3,1))</f>
        <v/>
      </c>
      <c r="AM123">
        <f>IF($B$1+36&gt;90,AL123,(AL123+IF($B$1+36&lt;=$B123,12*($B$7-$B$10),-12*($B$6+$B$10)*(1+$B$4)^36))*IF(AL123+IF($B$1+36&lt;=$B123,12*($B$7-$B$10),-12*($B$6+$B$10)*(1+$B$4)^36)&gt;0,1+$B$3,1))</f>
        <v/>
      </c>
      <c r="AN123">
        <f>IF($B$1+37&gt;90,AM123,(AM123+IF($B$1+37&lt;=$B123,12*($B$7-$B$10),-12*($B$6+$B$10)*(1+$B$4)^37))*IF(AM123+IF($B$1+37&lt;=$B123,12*($B$7-$B$10),-12*($B$6+$B$10)*(1+$B$4)^37)&gt;0,1+$B$3,1))</f>
        <v/>
      </c>
      <c r="AO123">
        <f>IF($B$1+38&gt;90,AN123,(AN123+IF($B$1+38&lt;=$B123,12*($B$7-$B$10),-12*($B$6+$B$10)*(1+$B$4)^38))*IF(AN123+IF($B$1+38&lt;=$B123,12*($B$7-$B$10),-12*($B$6+$B$10)*(1+$B$4)^38)&gt;0,1+$B$3,1))</f>
        <v/>
      </c>
      <c r="AP123">
        <f>IF($B$1+39&gt;90,AO123,(AO123+IF($B$1+39&lt;=$B123,12*($B$7-$B$10),-12*($B$6+$B$10)*(1+$B$4)^39))*IF(AO123+IF($B$1+39&lt;=$B123,12*($B$7-$B$10),-12*($B$6+$B$10)*(1+$B$4)^39)&gt;0,1+$B$3,1))</f>
        <v/>
      </c>
      <c r="AQ123">
        <f>IF($B$1+40&gt;90,AP123,(AP123+IF($B$1+40&lt;=$B123,12*($B$7-$B$10),-12*($B$6+$B$10)*(1+$B$4)^40))*IF(AP123+IF($B$1+40&lt;=$B123,12*($B$7-$B$10),-12*($B$6+$B$10)*(1+$B$4)^40)&gt;0,1+$B$3,1))</f>
        <v/>
      </c>
      <c r="AR123">
        <f>IF($B$1+41&gt;90,AQ123,(AQ123+IF($B$1+41&lt;=$B123,12*($B$7-$B$10),-12*($B$6+$B$10)*(1+$B$4)^41))*IF(AQ123+IF($B$1+41&lt;=$B123,12*($B$7-$B$10),-12*($B$6+$B$10)*(1+$B$4)^41)&gt;0,1+$B$3,1))</f>
        <v/>
      </c>
      <c r="AS123">
        <f>IF($B$1+42&gt;90,AR123,(AR123+IF($B$1+42&lt;=$B123,12*($B$7-$B$10),-12*($B$6+$B$10)*(1+$B$4)^42))*IF(AR123+IF($B$1+42&lt;=$B123,12*($B$7-$B$10),-12*($B$6+$B$10)*(1+$B$4)^42)&gt;0,1+$B$3,1))</f>
        <v/>
      </c>
      <c r="AT123">
        <f>IF($B$1+43&gt;90,AS123,(AS123+IF($B$1+43&lt;=$B123,12*($B$7-$B$10),-12*($B$6+$B$10)*(1+$B$4)^43))*IF(AS123+IF($B$1+43&lt;=$B123,12*($B$7-$B$10),-12*($B$6+$B$10)*(1+$B$4)^43)&gt;0,1+$B$3,1))</f>
        <v/>
      </c>
      <c r="AU123">
        <f>IF($B$1+44&gt;90,AT123,(AT123+IF($B$1+44&lt;=$B123,12*($B$7-$B$10),-12*($B$6+$B$10)*(1+$B$4)^44))*IF(AT123+IF($B$1+44&lt;=$B123,12*($B$7-$B$10),-12*($B$6+$B$10)*(1+$B$4)^44)&gt;0,1+$B$3,1))</f>
        <v/>
      </c>
      <c r="AV123">
        <f>IF($B$1+45&gt;90,AU123,(AU123+IF($B$1+45&lt;=$B123,12*($B$7-$B$10),-12*($B$6+$B$10)*(1+$B$4)^45))*IF(AU123+IF($B$1+45&lt;=$B123,12*($B$7-$B$10),-12*($B$6+$B$10)*(1+$B$4)^45)&gt;0,1+$B$3,1))</f>
        <v/>
      </c>
      <c r="AW123">
        <f>IF($B$1+46&gt;90,AV123,(AV123+IF($B$1+46&lt;=$B123,12*($B$7-$B$10),-12*($B$6+$B$10)*(1+$B$4)^46))*IF(AV123+IF($B$1+46&lt;=$B123,12*($B$7-$B$10),-12*($B$6+$B$10)*(1+$B$4)^46)&gt;0,1+$B$3,1))</f>
        <v/>
      </c>
      <c r="AX123">
        <f>IF($B$1+47&gt;90,AW123,(AW123+IF($B$1+47&lt;=$B123,12*($B$7-$B$10),-12*($B$6+$B$10)*(1+$B$4)^47))*IF(AW123+IF($B$1+47&lt;=$B123,12*($B$7-$B$10),-12*($B$6+$B$10)*(1+$B$4)^47)&gt;0,1+$B$3,1))</f>
        <v/>
      </c>
      <c r="AY123">
        <f>IF($B$1+48&gt;90,AX123,(AX123+IF($B$1+48&lt;=$B123,12*($B$7-$B$10),-12*($B$6+$B$10)*(1+$B$4)^48))*IF(AX123+IF($B$1+48&lt;=$B123,12*($B$7-$B$10),-12*($B$6+$B$10)*(1+$B$4)^48)&gt;0,1+$B$3,1))</f>
        <v/>
      </c>
      <c r="AZ123">
        <f>IF($B$1+49&gt;90,AY123,(AY123+IF($B$1+49&lt;=$B123,12*($B$7-$B$10),-12*($B$6+$B$10)*(1+$B$4)^49))*IF(AY123+IF($B$1+49&lt;=$B123,12*($B$7-$B$10),-12*($B$6+$B$10)*(1+$B$4)^49)&gt;0,1+$B$3,1))</f>
        <v/>
      </c>
      <c r="BA123">
        <f>IF($B$1+50&gt;90,AZ123,(AZ123+IF($B$1+50&lt;=$B123,12*($B$7-$B$10),-12*($B$6+$B$10)*(1+$B$4)^50))*IF(AZ123+IF($B$1+50&lt;=$B123,12*($B$7-$B$10),-12*($B$6+$B$10)*(1+$B$4)^50)&gt;0,1+$B$3,1))</f>
        <v/>
      </c>
      <c r="BB123">
        <f>IF($B$1+51&gt;90,BA123,(BA123+IF($B$1+51&lt;=$B123,12*($B$7-$B$10),-12*($B$6+$B$10)*(1+$B$4)^51))*IF(BA123+IF($B$1+51&lt;=$B123,12*($B$7-$B$10),-12*($B$6+$B$10)*(1+$B$4)^51)&gt;0,1+$B$3,1))</f>
        <v/>
      </c>
      <c r="BC123">
        <f>IF($B$1+52&gt;90,BB123,(BB123+IF($B$1+52&lt;=$B123,12*($B$7-$B$10),-12*($B$6+$B$10)*(1+$B$4)^52))*IF(BB123+IF($B$1+52&lt;=$B123,12*($B$7-$B$10),-12*($B$6+$B$10)*(1+$B$4)^52)&gt;0,1+$B$3,1))</f>
        <v/>
      </c>
      <c r="BD123">
        <f>IF($B$1+53&gt;90,BC123,(BC123+IF($B$1+53&lt;=$B123,12*($B$7-$B$10),-12*($B$6+$B$10)*(1+$B$4)^53))*IF(BC123+IF($B$1+53&lt;=$B123,12*($B$7-$B$10),-12*($B$6+$B$10)*(1+$B$4)^53)&gt;0,1+$B$3,1))</f>
        <v/>
      </c>
      <c r="BE123">
        <f>IF($B$1+54&gt;90,BD123,(BD123+IF($B$1+54&lt;=$B123,12*($B$7-$B$10),-12*($B$6+$B$10)*(1+$B$4)^54))*IF(BD123+IF($B$1+54&lt;=$B123,12*($B$7-$B$10),-12*($B$6+$B$10)*(1+$B$4)^54)&gt;0,1+$B$3,1))</f>
        <v/>
      </c>
      <c r="BF123">
        <f>IF($B$1+55&gt;90,BE123,(BE123+IF($B$1+55&lt;=$B123,12*($B$7-$B$10),-12*($B$6+$B$10)*(1+$B$4)^55))*IF(BE123+IF($B$1+55&lt;=$B123,12*($B$7-$B$10),-12*($B$6+$B$10)*(1+$B$4)^55)&gt;0,1+$B$3,1))</f>
        <v/>
      </c>
      <c r="BG123">
        <f>IF($B$1+56&gt;90,BF123,(BF123+IF($B$1+56&lt;=$B123,12*($B$7-$B$10),-12*($B$6+$B$10)*(1+$B$4)^56))*IF(BF123+IF($B$1+56&lt;=$B123,12*($B$7-$B$10),-12*($B$6+$B$10)*(1+$B$4)^56)&gt;0,1+$B$3,1))</f>
        <v/>
      </c>
      <c r="BH123">
        <f>IF($B$1+57&gt;90,BG123,(BG123+IF($B$1+57&lt;=$B123,12*($B$7-$B$10),-12*($B$6+$B$10)*(1+$B$4)^57))*IF(BG123+IF($B$1+57&lt;=$B123,12*($B$7-$B$10),-12*($B$6+$B$10)*(1+$B$4)^57)&gt;0,1+$B$3,1))</f>
        <v/>
      </c>
      <c r="BI123">
        <f>IF($B$1+58&gt;90,BH123,(BH123+IF($B$1+58&lt;=$B123,12*($B$7-$B$10),-12*($B$6+$B$10)*(1+$B$4)^58))*IF(BH123+IF($B$1+58&lt;=$B123,12*($B$7-$B$10),-12*($B$6+$B$10)*(1+$B$4)^58)&gt;0,1+$B$3,1))</f>
        <v/>
      </c>
      <c r="BJ123">
        <f>IF($B$1+59&gt;90,BI123,(BI123+IF($B$1+59&lt;=$B123,12*($B$7-$B$10),-12*($B$6+$B$10)*(1+$B$4)^59))*IF(BI123+IF($B$1+59&lt;=$B123,12*($B$7-$B$10),-12*($B$6+$B$10)*(1+$B$4)^59)&gt;0,1+$B$3,1))</f>
        <v/>
      </c>
      <c r="BK123">
        <f>IF($B$1+60&gt;90,BJ123,(BJ123+IF($B$1+60&lt;=$B123,12*($B$7-$B$10),-12*($B$6+$B$10)*(1+$B$4)^60))*IF(BJ123+IF($B$1+60&lt;=$B123,12*($B$7-$B$10),-12*($B$6+$B$10)*(1+$B$4)^60)&gt;0,1+$B$3,1))</f>
        <v/>
      </c>
      <c r="BL123">
        <f>IF($B$1+61&gt;90,BK123,(BK123+IF($B$1+61&lt;=$B123,12*($B$7-$B$10),-12*($B$6+$B$10)*(1+$B$4)^61))*IF(BK123+IF($B$1+61&lt;=$B123,12*($B$7-$B$10),-12*($B$6+$B$10)*(1+$B$4)^61)&gt;0,1+$B$3,1))</f>
        <v/>
      </c>
      <c r="BM123">
        <f>IF($B$1+62&gt;90,BL123,(BL123+IF($B$1+62&lt;=$B123,12*($B$7-$B$10),-12*($B$6+$B$10)*(1+$B$4)^62))*IF(BL123+IF($B$1+62&lt;=$B123,12*($B$7-$B$10),-12*($B$6+$B$10)*(1+$B$4)^62)&gt;0,1+$B$3,1))</f>
        <v/>
      </c>
      <c r="BN123">
        <f>IF($B$1+63&gt;90,BM123,(BM123+IF($B$1+63&lt;=$B123,12*($B$7-$B$10),-12*($B$6+$B$10)*(1+$B$4)^63))*IF(BM123+IF($B$1+63&lt;=$B123,12*($B$7-$B$10),-12*($B$6+$B$10)*(1+$B$4)^63)&gt;0,1+$B$3,1))</f>
        <v/>
      </c>
      <c r="BO123">
        <f>IF($B$1+64&gt;90,BN123,(BN123+IF($B$1+64&lt;=$B123,12*($B$7-$B$10),-12*($B$6+$B$10)*(1+$B$4)^64))*IF(BN123+IF($B$1+64&lt;=$B123,12*($B$7-$B$10),-12*($B$6+$B$10)*(1+$B$4)^64)&gt;0,1+$B$3,1))</f>
        <v/>
      </c>
      <c r="BP123">
        <f>IF($B$1+65&gt;90,BO123,(BO123+IF($B$1+65&lt;=$B123,12*($B$7-$B$10),-12*($B$6+$B$10)*(1+$B$4)^65))*IF(BO123+IF($B$1+65&lt;=$B123,12*($B$7-$B$10),-12*($B$6+$B$10)*(1+$B$4)^65)&gt;0,1+$B$3,1))</f>
        <v/>
      </c>
      <c r="BQ123">
        <f>IF($B$1+66&gt;90,BP123,(BP123+IF($B$1+66&lt;=$B123,12*($B$7-$B$10),-12*($B$6+$B$10)*(1+$B$4)^66))*IF(BP123+IF($B$1+66&lt;=$B123,12*($B$7-$B$10),-12*($B$6+$B$10)*(1+$B$4)^66)&gt;0,1+$B$3,1))</f>
        <v/>
      </c>
      <c r="BR123">
        <f>IF($B$1+67&gt;90,BQ123,(BQ123+IF($B$1+67&lt;=$B123,12*($B$7-$B$10),-12*($B$6+$B$10)*(1+$B$4)^67))*IF(BQ123+IF($B$1+67&lt;=$B123,12*($B$7-$B$10),-12*($B$6+$B$10)*(1+$B$4)^67)&gt;0,1+$B$3,1))</f>
        <v/>
      </c>
      <c r="BS123">
        <f>IF($B$1+68&gt;90,BR123,(BR123+IF($B$1+68&lt;=$B123,12*($B$7-$B$10),-12*($B$6+$B$10)*(1+$B$4)^68))*IF(BR123+IF($B$1+68&lt;=$B123,12*($B$7-$B$10),-12*($B$6+$B$10)*(1+$B$4)^68)&gt;0,1+$B$3,1))</f>
        <v/>
      </c>
      <c r="BT123">
        <f>IF($B$1+69&gt;90,BS123,(BS123+IF($B$1+69&lt;=$B123,12*($B$7-$B$10),-12*($B$6+$B$10)*(1+$B$4)^69))*IF(BS123+IF($B$1+69&lt;=$B123,12*($B$7-$B$10),-12*($B$6+$B$10)*(1+$B$4)^69)&gt;0,1+$B$3,1))</f>
        <v/>
      </c>
      <c r="BU123">
        <f>IF($B$1+70&gt;90,BT123,(BT123+IF($B$1+70&lt;=$B123,12*($B$7-$B$10),-12*($B$6+$B$10)*(1+$B$4)^70))*IF(BT123+IF($B$1+70&lt;=$B123,12*($B$7-$B$10),-12*($B$6+$B$10)*(1+$B$4)^70)&gt;0,1+$B$3,1))</f>
        <v/>
      </c>
      <c r="BV123">
        <f>BU123</f>
        <v/>
      </c>
      <c r="BW123">
        <f>IF(AND($B123&lt;=70,BV123&gt;0),$B123,999)</f>
        <v/>
      </c>
    </row>
    <row r="124">
      <c r="A124" t="n">
        <v>28</v>
      </c>
      <c r="B124">
        <f>$B$1+28</f>
        <v/>
      </c>
      <c r="C124">
        <f>$B$2</f>
        <v/>
      </c>
      <c r="D124">
        <f>IF($B$1+1&gt;90,C124,(C124+IF($B$1+1&lt;=$B124,12*($B$7-$B$10),-12*($B$6+$B$10)*(1+$B$4)^1))*IF(C124+IF($B$1+1&lt;=$B124,12*($B$7-$B$10),-12*($B$6+$B$10)*(1+$B$4)^1)&gt;0,1+$B$3,1))</f>
        <v/>
      </c>
      <c r="E124">
        <f>IF($B$1+2&gt;90,D124,(D124+IF($B$1+2&lt;=$B124,12*($B$7-$B$10),-12*($B$6+$B$10)*(1+$B$4)^2))*IF(D124+IF($B$1+2&lt;=$B124,12*($B$7-$B$10),-12*($B$6+$B$10)*(1+$B$4)^2)&gt;0,1+$B$3,1))</f>
        <v/>
      </c>
      <c r="F124">
        <f>IF($B$1+3&gt;90,E124,(E124+IF($B$1+3&lt;=$B124,12*($B$7-$B$10),-12*($B$6+$B$10)*(1+$B$4)^3))*IF(E124+IF($B$1+3&lt;=$B124,12*($B$7-$B$10),-12*($B$6+$B$10)*(1+$B$4)^3)&gt;0,1+$B$3,1))</f>
        <v/>
      </c>
      <c r="G124">
        <f>IF($B$1+4&gt;90,F124,(F124+IF($B$1+4&lt;=$B124,12*($B$7-$B$10),-12*($B$6+$B$10)*(1+$B$4)^4))*IF(F124+IF($B$1+4&lt;=$B124,12*($B$7-$B$10),-12*($B$6+$B$10)*(1+$B$4)^4)&gt;0,1+$B$3,1))</f>
        <v/>
      </c>
      <c r="H124">
        <f>IF($B$1+5&gt;90,G124,(G124+IF($B$1+5&lt;=$B124,12*($B$7-$B$10),-12*($B$6+$B$10)*(1+$B$4)^5))*IF(G124+IF($B$1+5&lt;=$B124,12*($B$7-$B$10),-12*($B$6+$B$10)*(1+$B$4)^5)&gt;0,1+$B$3,1))</f>
        <v/>
      </c>
      <c r="I124">
        <f>IF($B$1+6&gt;90,H124,(H124+IF($B$1+6&lt;=$B124,12*($B$7-$B$10),-12*($B$6+$B$10)*(1+$B$4)^6))*IF(H124+IF($B$1+6&lt;=$B124,12*($B$7-$B$10),-12*($B$6+$B$10)*(1+$B$4)^6)&gt;0,1+$B$3,1))</f>
        <v/>
      </c>
      <c r="J124">
        <f>IF($B$1+7&gt;90,I124,(I124+IF($B$1+7&lt;=$B124,12*($B$7-$B$10),-12*($B$6+$B$10)*(1+$B$4)^7))*IF(I124+IF($B$1+7&lt;=$B124,12*($B$7-$B$10),-12*($B$6+$B$10)*(1+$B$4)^7)&gt;0,1+$B$3,1))</f>
        <v/>
      </c>
      <c r="K124">
        <f>IF($B$1+8&gt;90,J124,(J124+IF($B$1+8&lt;=$B124,12*($B$7-$B$10),-12*($B$6+$B$10)*(1+$B$4)^8))*IF(J124+IF($B$1+8&lt;=$B124,12*($B$7-$B$10),-12*($B$6+$B$10)*(1+$B$4)^8)&gt;0,1+$B$3,1))</f>
        <v/>
      </c>
      <c r="L124">
        <f>IF($B$1+9&gt;90,K124,(K124+IF($B$1+9&lt;=$B124,12*($B$7-$B$10),-12*($B$6+$B$10)*(1+$B$4)^9))*IF(K124+IF($B$1+9&lt;=$B124,12*($B$7-$B$10),-12*($B$6+$B$10)*(1+$B$4)^9)&gt;0,1+$B$3,1))</f>
        <v/>
      </c>
      <c r="M124">
        <f>IF($B$1+10&gt;90,L124,(L124+IF($B$1+10&lt;=$B124,12*($B$7-$B$10),-12*($B$6+$B$10)*(1+$B$4)^10))*IF(L124+IF($B$1+10&lt;=$B124,12*($B$7-$B$10),-12*($B$6+$B$10)*(1+$B$4)^10)&gt;0,1+$B$3,1))</f>
        <v/>
      </c>
      <c r="N124">
        <f>IF($B$1+11&gt;90,M124,(M124+IF($B$1+11&lt;=$B124,12*($B$7-$B$10),-12*($B$6+$B$10)*(1+$B$4)^11))*IF(M124+IF($B$1+11&lt;=$B124,12*($B$7-$B$10),-12*($B$6+$B$10)*(1+$B$4)^11)&gt;0,1+$B$3,1))</f>
        <v/>
      </c>
      <c r="O124">
        <f>IF($B$1+12&gt;90,N124,(N124+IF($B$1+12&lt;=$B124,12*($B$7-$B$10),-12*($B$6+$B$10)*(1+$B$4)^12))*IF(N124+IF($B$1+12&lt;=$B124,12*($B$7-$B$10),-12*($B$6+$B$10)*(1+$B$4)^12)&gt;0,1+$B$3,1))</f>
        <v/>
      </c>
      <c r="P124">
        <f>IF($B$1+13&gt;90,O124,(O124+IF($B$1+13&lt;=$B124,12*($B$7-$B$10),-12*($B$6+$B$10)*(1+$B$4)^13))*IF(O124+IF($B$1+13&lt;=$B124,12*($B$7-$B$10),-12*($B$6+$B$10)*(1+$B$4)^13)&gt;0,1+$B$3,1))</f>
        <v/>
      </c>
      <c r="Q124">
        <f>IF($B$1+14&gt;90,P124,(P124+IF($B$1+14&lt;=$B124,12*($B$7-$B$10),-12*($B$6+$B$10)*(1+$B$4)^14))*IF(P124+IF($B$1+14&lt;=$B124,12*($B$7-$B$10),-12*($B$6+$B$10)*(1+$B$4)^14)&gt;0,1+$B$3,1))</f>
        <v/>
      </c>
      <c r="R124">
        <f>IF($B$1+15&gt;90,Q124,(Q124+IF($B$1+15&lt;=$B124,12*($B$7-$B$10),-12*($B$6+$B$10)*(1+$B$4)^15))*IF(Q124+IF($B$1+15&lt;=$B124,12*($B$7-$B$10),-12*($B$6+$B$10)*(1+$B$4)^15)&gt;0,1+$B$3,1))</f>
        <v/>
      </c>
      <c r="S124">
        <f>IF($B$1+16&gt;90,R124,(R124+IF($B$1+16&lt;=$B124,12*($B$7-$B$10),-12*($B$6+$B$10)*(1+$B$4)^16))*IF(R124+IF($B$1+16&lt;=$B124,12*($B$7-$B$10),-12*($B$6+$B$10)*(1+$B$4)^16)&gt;0,1+$B$3,1))</f>
        <v/>
      </c>
      <c r="T124">
        <f>IF($B$1+17&gt;90,S124,(S124+IF($B$1+17&lt;=$B124,12*($B$7-$B$10),-12*($B$6+$B$10)*(1+$B$4)^17))*IF(S124+IF($B$1+17&lt;=$B124,12*($B$7-$B$10),-12*($B$6+$B$10)*(1+$B$4)^17)&gt;0,1+$B$3,1))</f>
        <v/>
      </c>
      <c r="U124">
        <f>IF($B$1+18&gt;90,T124,(T124+IF($B$1+18&lt;=$B124,12*($B$7-$B$10),-12*($B$6+$B$10)*(1+$B$4)^18))*IF(T124+IF($B$1+18&lt;=$B124,12*($B$7-$B$10),-12*($B$6+$B$10)*(1+$B$4)^18)&gt;0,1+$B$3,1))</f>
        <v/>
      </c>
      <c r="V124">
        <f>IF($B$1+19&gt;90,U124,(U124+IF($B$1+19&lt;=$B124,12*($B$7-$B$10),-12*($B$6+$B$10)*(1+$B$4)^19))*IF(U124+IF($B$1+19&lt;=$B124,12*($B$7-$B$10),-12*($B$6+$B$10)*(1+$B$4)^19)&gt;0,1+$B$3,1))</f>
        <v/>
      </c>
      <c r="W124">
        <f>IF($B$1+20&gt;90,V124,(V124+IF($B$1+20&lt;=$B124,12*($B$7-$B$10),-12*($B$6+$B$10)*(1+$B$4)^20))*IF(V124+IF($B$1+20&lt;=$B124,12*($B$7-$B$10),-12*($B$6+$B$10)*(1+$B$4)^20)&gt;0,1+$B$3,1))</f>
        <v/>
      </c>
      <c r="X124">
        <f>IF($B$1+21&gt;90,W124,(W124+IF($B$1+21&lt;=$B124,12*($B$7-$B$10),-12*($B$6+$B$10)*(1+$B$4)^21))*IF(W124+IF($B$1+21&lt;=$B124,12*($B$7-$B$10),-12*($B$6+$B$10)*(1+$B$4)^21)&gt;0,1+$B$3,1))</f>
        <v/>
      </c>
      <c r="Y124">
        <f>IF($B$1+22&gt;90,X124,(X124+IF($B$1+22&lt;=$B124,12*($B$7-$B$10),-12*($B$6+$B$10)*(1+$B$4)^22))*IF(X124+IF($B$1+22&lt;=$B124,12*($B$7-$B$10),-12*($B$6+$B$10)*(1+$B$4)^22)&gt;0,1+$B$3,1))</f>
        <v/>
      </c>
      <c r="Z124">
        <f>IF($B$1+23&gt;90,Y124,(Y124+IF($B$1+23&lt;=$B124,12*($B$7-$B$10),-12*($B$6+$B$10)*(1+$B$4)^23))*IF(Y124+IF($B$1+23&lt;=$B124,12*($B$7-$B$10),-12*($B$6+$B$10)*(1+$B$4)^23)&gt;0,1+$B$3,1))</f>
        <v/>
      </c>
      <c r="AA124">
        <f>IF($B$1+24&gt;90,Z124,(Z124+IF($B$1+24&lt;=$B124,12*($B$7-$B$10),-12*($B$6+$B$10)*(1+$B$4)^24))*IF(Z124+IF($B$1+24&lt;=$B124,12*($B$7-$B$10),-12*($B$6+$B$10)*(1+$B$4)^24)&gt;0,1+$B$3,1))</f>
        <v/>
      </c>
      <c r="AB124">
        <f>IF($B$1+25&gt;90,AA124,(AA124+IF($B$1+25&lt;=$B124,12*($B$7-$B$10),-12*($B$6+$B$10)*(1+$B$4)^25))*IF(AA124+IF($B$1+25&lt;=$B124,12*($B$7-$B$10),-12*($B$6+$B$10)*(1+$B$4)^25)&gt;0,1+$B$3,1))</f>
        <v/>
      </c>
      <c r="AC124">
        <f>IF($B$1+26&gt;90,AB124,(AB124+IF($B$1+26&lt;=$B124,12*($B$7-$B$10),-12*($B$6+$B$10)*(1+$B$4)^26))*IF(AB124+IF($B$1+26&lt;=$B124,12*($B$7-$B$10),-12*($B$6+$B$10)*(1+$B$4)^26)&gt;0,1+$B$3,1))</f>
        <v/>
      </c>
      <c r="AD124">
        <f>IF($B$1+27&gt;90,AC124,(AC124+IF($B$1+27&lt;=$B124,12*($B$7-$B$10),-12*($B$6+$B$10)*(1+$B$4)^27))*IF(AC124+IF($B$1+27&lt;=$B124,12*($B$7-$B$10),-12*($B$6+$B$10)*(1+$B$4)^27)&gt;0,1+$B$3,1))</f>
        <v/>
      </c>
      <c r="AE124">
        <f>IF($B$1+28&gt;90,AD124,(AD124+IF($B$1+28&lt;=$B124,12*($B$7-$B$10),-12*($B$6+$B$10)*(1+$B$4)^28))*IF(AD124+IF($B$1+28&lt;=$B124,12*($B$7-$B$10),-12*($B$6+$B$10)*(1+$B$4)^28)&gt;0,1+$B$3,1))</f>
        <v/>
      </c>
      <c r="AF124">
        <f>IF($B$1+29&gt;90,AE124,(AE124+IF($B$1+29&lt;=$B124,12*($B$7-$B$10),-12*($B$6+$B$10)*(1+$B$4)^29))*IF(AE124+IF($B$1+29&lt;=$B124,12*($B$7-$B$10),-12*($B$6+$B$10)*(1+$B$4)^29)&gt;0,1+$B$3,1))</f>
        <v/>
      </c>
      <c r="AG124">
        <f>IF($B$1+30&gt;90,AF124,(AF124+IF($B$1+30&lt;=$B124,12*($B$7-$B$10),-12*($B$6+$B$10)*(1+$B$4)^30))*IF(AF124+IF($B$1+30&lt;=$B124,12*($B$7-$B$10),-12*($B$6+$B$10)*(1+$B$4)^30)&gt;0,1+$B$3,1))</f>
        <v/>
      </c>
      <c r="AH124">
        <f>IF($B$1+31&gt;90,AG124,(AG124+IF($B$1+31&lt;=$B124,12*($B$7-$B$10),-12*($B$6+$B$10)*(1+$B$4)^31))*IF(AG124+IF($B$1+31&lt;=$B124,12*($B$7-$B$10),-12*($B$6+$B$10)*(1+$B$4)^31)&gt;0,1+$B$3,1))</f>
        <v/>
      </c>
      <c r="AI124">
        <f>IF($B$1+32&gt;90,AH124,(AH124+IF($B$1+32&lt;=$B124,12*($B$7-$B$10),-12*($B$6+$B$10)*(1+$B$4)^32))*IF(AH124+IF($B$1+32&lt;=$B124,12*($B$7-$B$10),-12*($B$6+$B$10)*(1+$B$4)^32)&gt;0,1+$B$3,1))</f>
        <v/>
      </c>
      <c r="AJ124">
        <f>IF($B$1+33&gt;90,AI124,(AI124+IF($B$1+33&lt;=$B124,12*($B$7-$B$10),-12*($B$6+$B$10)*(1+$B$4)^33))*IF(AI124+IF($B$1+33&lt;=$B124,12*($B$7-$B$10),-12*($B$6+$B$10)*(1+$B$4)^33)&gt;0,1+$B$3,1))</f>
        <v/>
      </c>
      <c r="AK124">
        <f>IF($B$1+34&gt;90,AJ124,(AJ124+IF($B$1+34&lt;=$B124,12*($B$7-$B$10),-12*($B$6+$B$10)*(1+$B$4)^34))*IF(AJ124+IF($B$1+34&lt;=$B124,12*($B$7-$B$10),-12*($B$6+$B$10)*(1+$B$4)^34)&gt;0,1+$B$3,1))</f>
        <v/>
      </c>
      <c r="AL124">
        <f>IF($B$1+35&gt;90,AK124,(AK124+IF($B$1+35&lt;=$B124,12*($B$7-$B$10),-12*($B$6+$B$10)*(1+$B$4)^35))*IF(AK124+IF($B$1+35&lt;=$B124,12*($B$7-$B$10),-12*($B$6+$B$10)*(1+$B$4)^35)&gt;0,1+$B$3,1))</f>
        <v/>
      </c>
      <c r="AM124">
        <f>IF($B$1+36&gt;90,AL124,(AL124+IF($B$1+36&lt;=$B124,12*($B$7-$B$10),-12*($B$6+$B$10)*(1+$B$4)^36))*IF(AL124+IF($B$1+36&lt;=$B124,12*($B$7-$B$10),-12*($B$6+$B$10)*(1+$B$4)^36)&gt;0,1+$B$3,1))</f>
        <v/>
      </c>
      <c r="AN124">
        <f>IF($B$1+37&gt;90,AM124,(AM124+IF($B$1+37&lt;=$B124,12*($B$7-$B$10),-12*($B$6+$B$10)*(1+$B$4)^37))*IF(AM124+IF($B$1+37&lt;=$B124,12*($B$7-$B$10),-12*($B$6+$B$10)*(1+$B$4)^37)&gt;0,1+$B$3,1))</f>
        <v/>
      </c>
      <c r="AO124">
        <f>IF($B$1+38&gt;90,AN124,(AN124+IF($B$1+38&lt;=$B124,12*($B$7-$B$10),-12*($B$6+$B$10)*(1+$B$4)^38))*IF(AN124+IF($B$1+38&lt;=$B124,12*($B$7-$B$10),-12*($B$6+$B$10)*(1+$B$4)^38)&gt;0,1+$B$3,1))</f>
        <v/>
      </c>
      <c r="AP124">
        <f>IF($B$1+39&gt;90,AO124,(AO124+IF($B$1+39&lt;=$B124,12*($B$7-$B$10),-12*($B$6+$B$10)*(1+$B$4)^39))*IF(AO124+IF($B$1+39&lt;=$B124,12*($B$7-$B$10),-12*($B$6+$B$10)*(1+$B$4)^39)&gt;0,1+$B$3,1))</f>
        <v/>
      </c>
      <c r="AQ124">
        <f>IF($B$1+40&gt;90,AP124,(AP124+IF($B$1+40&lt;=$B124,12*($B$7-$B$10),-12*($B$6+$B$10)*(1+$B$4)^40))*IF(AP124+IF($B$1+40&lt;=$B124,12*($B$7-$B$10),-12*($B$6+$B$10)*(1+$B$4)^40)&gt;0,1+$B$3,1))</f>
        <v/>
      </c>
      <c r="AR124">
        <f>IF($B$1+41&gt;90,AQ124,(AQ124+IF($B$1+41&lt;=$B124,12*($B$7-$B$10),-12*($B$6+$B$10)*(1+$B$4)^41))*IF(AQ124+IF($B$1+41&lt;=$B124,12*($B$7-$B$10),-12*($B$6+$B$10)*(1+$B$4)^41)&gt;0,1+$B$3,1))</f>
        <v/>
      </c>
      <c r="AS124">
        <f>IF($B$1+42&gt;90,AR124,(AR124+IF($B$1+42&lt;=$B124,12*($B$7-$B$10),-12*($B$6+$B$10)*(1+$B$4)^42))*IF(AR124+IF($B$1+42&lt;=$B124,12*($B$7-$B$10),-12*($B$6+$B$10)*(1+$B$4)^42)&gt;0,1+$B$3,1))</f>
        <v/>
      </c>
      <c r="AT124">
        <f>IF($B$1+43&gt;90,AS124,(AS124+IF($B$1+43&lt;=$B124,12*($B$7-$B$10),-12*($B$6+$B$10)*(1+$B$4)^43))*IF(AS124+IF($B$1+43&lt;=$B124,12*($B$7-$B$10),-12*($B$6+$B$10)*(1+$B$4)^43)&gt;0,1+$B$3,1))</f>
        <v/>
      </c>
      <c r="AU124">
        <f>IF($B$1+44&gt;90,AT124,(AT124+IF($B$1+44&lt;=$B124,12*($B$7-$B$10),-12*($B$6+$B$10)*(1+$B$4)^44))*IF(AT124+IF($B$1+44&lt;=$B124,12*($B$7-$B$10),-12*($B$6+$B$10)*(1+$B$4)^44)&gt;0,1+$B$3,1))</f>
        <v/>
      </c>
      <c r="AV124">
        <f>IF($B$1+45&gt;90,AU124,(AU124+IF($B$1+45&lt;=$B124,12*($B$7-$B$10),-12*($B$6+$B$10)*(1+$B$4)^45))*IF(AU124+IF($B$1+45&lt;=$B124,12*($B$7-$B$10),-12*($B$6+$B$10)*(1+$B$4)^45)&gt;0,1+$B$3,1))</f>
        <v/>
      </c>
      <c r="AW124">
        <f>IF($B$1+46&gt;90,AV124,(AV124+IF($B$1+46&lt;=$B124,12*($B$7-$B$10),-12*($B$6+$B$10)*(1+$B$4)^46))*IF(AV124+IF($B$1+46&lt;=$B124,12*($B$7-$B$10),-12*($B$6+$B$10)*(1+$B$4)^46)&gt;0,1+$B$3,1))</f>
        <v/>
      </c>
      <c r="AX124">
        <f>IF($B$1+47&gt;90,AW124,(AW124+IF($B$1+47&lt;=$B124,12*($B$7-$B$10),-12*($B$6+$B$10)*(1+$B$4)^47))*IF(AW124+IF($B$1+47&lt;=$B124,12*($B$7-$B$10),-12*($B$6+$B$10)*(1+$B$4)^47)&gt;0,1+$B$3,1))</f>
        <v/>
      </c>
      <c r="AY124">
        <f>IF($B$1+48&gt;90,AX124,(AX124+IF($B$1+48&lt;=$B124,12*($B$7-$B$10),-12*($B$6+$B$10)*(1+$B$4)^48))*IF(AX124+IF($B$1+48&lt;=$B124,12*($B$7-$B$10),-12*($B$6+$B$10)*(1+$B$4)^48)&gt;0,1+$B$3,1))</f>
        <v/>
      </c>
      <c r="AZ124">
        <f>IF($B$1+49&gt;90,AY124,(AY124+IF($B$1+49&lt;=$B124,12*($B$7-$B$10),-12*($B$6+$B$10)*(1+$B$4)^49))*IF(AY124+IF($B$1+49&lt;=$B124,12*($B$7-$B$10),-12*($B$6+$B$10)*(1+$B$4)^49)&gt;0,1+$B$3,1))</f>
        <v/>
      </c>
      <c r="BA124">
        <f>IF($B$1+50&gt;90,AZ124,(AZ124+IF($B$1+50&lt;=$B124,12*($B$7-$B$10),-12*($B$6+$B$10)*(1+$B$4)^50))*IF(AZ124+IF($B$1+50&lt;=$B124,12*($B$7-$B$10),-12*($B$6+$B$10)*(1+$B$4)^50)&gt;0,1+$B$3,1))</f>
        <v/>
      </c>
      <c r="BB124">
        <f>IF($B$1+51&gt;90,BA124,(BA124+IF($B$1+51&lt;=$B124,12*($B$7-$B$10),-12*($B$6+$B$10)*(1+$B$4)^51))*IF(BA124+IF($B$1+51&lt;=$B124,12*($B$7-$B$10),-12*($B$6+$B$10)*(1+$B$4)^51)&gt;0,1+$B$3,1))</f>
        <v/>
      </c>
      <c r="BC124">
        <f>IF($B$1+52&gt;90,BB124,(BB124+IF($B$1+52&lt;=$B124,12*($B$7-$B$10),-12*($B$6+$B$10)*(1+$B$4)^52))*IF(BB124+IF($B$1+52&lt;=$B124,12*($B$7-$B$10),-12*($B$6+$B$10)*(1+$B$4)^52)&gt;0,1+$B$3,1))</f>
        <v/>
      </c>
      <c r="BD124">
        <f>IF($B$1+53&gt;90,BC124,(BC124+IF($B$1+53&lt;=$B124,12*($B$7-$B$10),-12*($B$6+$B$10)*(1+$B$4)^53))*IF(BC124+IF($B$1+53&lt;=$B124,12*($B$7-$B$10),-12*($B$6+$B$10)*(1+$B$4)^53)&gt;0,1+$B$3,1))</f>
        <v/>
      </c>
      <c r="BE124">
        <f>IF($B$1+54&gt;90,BD124,(BD124+IF($B$1+54&lt;=$B124,12*($B$7-$B$10),-12*($B$6+$B$10)*(1+$B$4)^54))*IF(BD124+IF($B$1+54&lt;=$B124,12*($B$7-$B$10),-12*($B$6+$B$10)*(1+$B$4)^54)&gt;0,1+$B$3,1))</f>
        <v/>
      </c>
      <c r="BF124">
        <f>IF($B$1+55&gt;90,BE124,(BE124+IF($B$1+55&lt;=$B124,12*($B$7-$B$10),-12*($B$6+$B$10)*(1+$B$4)^55))*IF(BE124+IF($B$1+55&lt;=$B124,12*($B$7-$B$10),-12*($B$6+$B$10)*(1+$B$4)^55)&gt;0,1+$B$3,1))</f>
        <v/>
      </c>
      <c r="BG124">
        <f>IF($B$1+56&gt;90,BF124,(BF124+IF($B$1+56&lt;=$B124,12*($B$7-$B$10),-12*($B$6+$B$10)*(1+$B$4)^56))*IF(BF124+IF($B$1+56&lt;=$B124,12*($B$7-$B$10),-12*($B$6+$B$10)*(1+$B$4)^56)&gt;0,1+$B$3,1))</f>
        <v/>
      </c>
      <c r="BH124">
        <f>IF($B$1+57&gt;90,BG124,(BG124+IF($B$1+57&lt;=$B124,12*($B$7-$B$10),-12*($B$6+$B$10)*(1+$B$4)^57))*IF(BG124+IF($B$1+57&lt;=$B124,12*($B$7-$B$10),-12*($B$6+$B$10)*(1+$B$4)^57)&gt;0,1+$B$3,1))</f>
        <v/>
      </c>
      <c r="BI124">
        <f>IF($B$1+58&gt;90,BH124,(BH124+IF($B$1+58&lt;=$B124,12*($B$7-$B$10),-12*($B$6+$B$10)*(1+$B$4)^58))*IF(BH124+IF($B$1+58&lt;=$B124,12*($B$7-$B$10),-12*($B$6+$B$10)*(1+$B$4)^58)&gt;0,1+$B$3,1))</f>
        <v/>
      </c>
      <c r="BJ124">
        <f>IF($B$1+59&gt;90,BI124,(BI124+IF($B$1+59&lt;=$B124,12*($B$7-$B$10),-12*($B$6+$B$10)*(1+$B$4)^59))*IF(BI124+IF($B$1+59&lt;=$B124,12*($B$7-$B$10),-12*($B$6+$B$10)*(1+$B$4)^59)&gt;0,1+$B$3,1))</f>
        <v/>
      </c>
      <c r="BK124">
        <f>IF($B$1+60&gt;90,BJ124,(BJ124+IF($B$1+60&lt;=$B124,12*($B$7-$B$10),-12*($B$6+$B$10)*(1+$B$4)^60))*IF(BJ124+IF($B$1+60&lt;=$B124,12*($B$7-$B$10),-12*($B$6+$B$10)*(1+$B$4)^60)&gt;0,1+$B$3,1))</f>
        <v/>
      </c>
      <c r="BL124">
        <f>IF($B$1+61&gt;90,BK124,(BK124+IF($B$1+61&lt;=$B124,12*($B$7-$B$10),-12*($B$6+$B$10)*(1+$B$4)^61))*IF(BK124+IF($B$1+61&lt;=$B124,12*($B$7-$B$10),-12*($B$6+$B$10)*(1+$B$4)^61)&gt;0,1+$B$3,1))</f>
        <v/>
      </c>
      <c r="BM124">
        <f>IF($B$1+62&gt;90,BL124,(BL124+IF($B$1+62&lt;=$B124,12*($B$7-$B$10),-12*($B$6+$B$10)*(1+$B$4)^62))*IF(BL124+IF($B$1+62&lt;=$B124,12*($B$7-$B$10),-12*($B$6+$B$10)*(1+$B$4)^62)&gt;0,1+$B$3,1))</f>
        <v/>
      </c>
      <c r="BN124">
        <f>IF($B$1+63&gt;90,BM124,(BM124+IF($B$1+63&lt;=$B124,12*($B$7-$B$10),-12*($B$6+$B$10)*(1+$B$4)^63))*IF(BM124+IF($B$1+63&lt;=$B124,12*($B$7-$B$10),-12*($B$6+$B$10)*(1+$B$4)^63)&gt;0,1+$B$3,1))</f>
        <v/>
      </c>
      <c r="BO124">
        <f>IF($B$1+64&gt;90,BN124,(BN124+IF($B$1+64&lt;=$B124,12*($B$7-$B$10),-12*($B$6+$B$10)*(1+$B$4)^64))*IF(BN124+IF($B$1+64&lt;=$B124,12*($B$7-$B$10),-12*($B$6+$B$10)*(1+$B$4)^64)&gt;0,1+$B$3,1))</f>
        <v/>
      </c>
      <c r="BP124">
        <f>IF($B$1+65&gt;90,BO124,(BO124+IF($B$1+65&lt;=$B124,12*($B$7-$B$10),-12*($B$6+$B$10)*(1+$B$4)^65))*IF(BO124+IF($B$1+65&lt;=$B124,12*($B$7-$B$10),-12*($B$6+$B$10)*(1+$B$4)^65)&gt;0,1+$B$3,1))</f>
        <v/>
      </c>
      <c r="BQ124">
        <f>IF($B$1+66&gt;90,BP124,(BP124+IF($B$1+66&lt;=$B124,12*($B$7-$B$10),-12*($B$6+$B$10)*(1+$B$4)^66))*IF(BP124+IF($B$1+66&lt;=$B124,12*($B$7-$B$10),-12*($B$6+$B$10)*(1+$B$4)^66)&gt;0,1+$B$3,1))</f>
        <v/>
      </c>
      <c r="BR124">
        <f>IF($B$1+67&gt;90,BQ124,(BQ124+IF($B$1+67&lt;=$B124,12*($B$7-$B$10),-12*($B$6+$B$10)*(1+$B$4)^67))*IF(BQ124+IF($B$1+67&lt;=$B124,12*($B$7-$B$10),-12*($B$6+$B$10)*(1+$B$4)^67)&gt;0,1+$B$3,1))</f>
        <v/>
      </c>
      <c r="BS124">
        <f>IF($B$1+68&gt;90,BR124,(BR124+IF($B$1+68&lt;=$B124,12*($B$7-$B$10),-12*($B$6+$B$10)*(1+$B$4)^68))*IF(BR124+IF($B$1+68&lt;=$B124,12*($B$7-$B$10),-12*($B$6+$B$10)*(1+$B$4)^68)&gt;0,1+$B$3,1))</f>
        <v/>
      </c>
      <c r="BT124">
        <f>IF($B$1+69&gt;90,BS124,(BS124+IF($B$1+69&lt;=$B124,12*($B$7-$B$10),-12*($B$6+$B$10)*(1+$B$4)^69))*IF(BS124+IF($B$1+69&lt;=$B124,12*($B$7-$B$10),-12*($B$6+$B$10)*(1+$B$4)^69)&gt;0,1+$B$3,1))</f>
        <v/>
      </c>
      <c r="BU124">
        <f>IF($B$1+70&gt;90,BT124,(BT124+IF($B$1+70&lt;=$B124,12*($B$7-$B$10),-12*($B$6+$B$10)*(1+$B$4)^70))*IF(BT124+IF($B$1+70&lt;=$B124,12*($B$7-$B$10),-12*($B$6+$B$10)*(1+$B$4)^70)&gt;0,1+$B$3,1))</f>
        <v/>
      </c>
      <c r="BV124">
        <f>BU124</f>
        <v/>
      </c>
      <c r="BW124">
        <f>IF(AND($B124&lt;=70,BV124&gt;0),$B124,999)</f>
        <v/>
      </c>
    </row>
    <row r="125">
      <c r="A125" t="n">
        <v>29</v>
      </c>
      <c r="B125">
        <f>$B$1+29</f>
        <v/>
      </c>
      <c r="C125">
        <f>$B$2</f>
        <v/>
      </c>
      <c r="D125">
        <f>IF($B$1+1&gt;90,C125,(C125+IF($B$1+1&lt;=$B125,12*($B$7-$B$10),-12*($B$6+$B$10)*(1+$B$4)^1))*IF(C125+IF($B$1+1&lt;=$B125,12*($B$7-$B$10),-12*($B$6+$B$10)*(1+$B$4)^1)&gt;0,1+$B$3,1))</f>
        <v/>
      </c>
      <c r="E125">
        <f>IF($B$1+2&gt;90,D125,(D125+IF($B$1+2&lt;=$B125,12*($B$7-$B$10),-12*($B$6+$B$10)*(1+$B$4)^2))*IF(D125+IF($B$1+2&lt;=$B125,12*($B$7-$B$10),-12*($B$6+$B$10)*(1+$B$4)^2)&gt;0,1+$B$3,1))</f>
        <v/>
      </c>
      <c r="F125">
        <f>IF($B$1+3&gt;90,E125,(E125+IF($B$1+3&lt;=$B125,12*($B$7-$B$10),-12*($B$6+$B$10)*(1+$B$4)^3))*IF(E125+IF($B$1+3&lt;=$B125,12*($B$7-$B$10),-12*($B$6+$B$10)*(1+$B$4)^3)&gt;0,1+$B$3,1))</f>
        <v/>
      </c>
      <c r="G125">
        <f>IF($B$1+4&gt;90,F125,(F125+IF($B$1+4&lt;=$B125,12*($B$7-$B$10),-12*($B$6+$B$10)*(1+$B$4)^4))*IF(F125+IF($B$1+4&lt;=$B125,12*($B$7-$B$10),-12*($B$6+$B$10)*(1+$B$4)^4)&gt;0,1+$B$3,1))</f>
        <v/>
      </c>
      <c r="H125">
        <f>IF($B$1+5&gt;90,G125,(G125+IF($B$1+5&lt;=$B125,12*($B$7-$B$10),-12*($B$6+$B$10)*(1+$B$4)^5))*IF(G125+IF($B$1+5&lt;=$B125,12*($B$7-$B$10),-12*($B$6+$B$10)*(1+$B$4)^5)&gt;0,1+$B$3,1))</f>
        <v/>
      </c>
      <c r="I125">
        <f>IF($B$1+6&gt;90,H125,(H125+IF($B$1+6&lt;=$B125,12*($B$7-$B$10),-12*($B$6+$B$10)*(1+$B$4)^6))*IF(H125+IF($B$1+6&lt;=$B125,12*($B$7-$B$10),-12*($B$6+$B$10)*(1+$B$4)^6)&gt;0,1+$B$3,1))</f>
        <v/>
      </c>
      <c r="J125">
        <f>IF($B$1+7&gt;90,I125,(I125+IF($B$1+7&lt;=$B125,12*($B$7-$B$10),-12*($B$6+$B$10)*(1+$B$4)^7))*IF(I125+IF($B$1+7&lt;=$B125,12*($B$7-$B$10),-12*($B$6+$B$10)*(1+$B$4)^7)&gt;0,1+$B$3,1))</f>
        <v/>
      </c>
      <c r="K125">
        <f>IF($B$1+8&gt;90,J125,(J125+IF($B$1+8&lt;=$B125,12*($B$7-$B$10),-12*($B$6+$B$10)*(1+$B$4)^8))*IF(J125+IF($B$1+8&lt;=$B125,12*($B$7-$B$10),-12*($B$6+$B$10)*(1+$B$4)^8)&gt;0,1+$B$3,1))</f>
        <v/>
      </c>
      <c r="L125">
        <f>IF($B$1+9&gt;90,K125,(K125+IF($B$1+9&lt;=$B125,12*($B$7-$B$10),-12*($B$6+$B$10)*(1+$B$4)^9))*IF(K125+IF($B$1+9&lt;=$B125,12*($B$7-$B$10),-12*($B$6+$B$10)*(1+$B$4)^9)&gt;0,1+$B$3,1))</f>
        <v/>
      </c>
      <c r="M125">
        <f>IF($B$1+10&gt;90,L125,(L125+IF($B$1+10&lt;=$B125,12*($B$7-$B$10),-12*($B$6+$B$10)*(1+$B$4)^10))*IF(L125+IF($B$1+10&lt;=$B125,12*($B$7-$B$10),-12*($B$6+$B$10)*(1+$B$4)^10)&gt;0,1+$B$3,1))</f>
        <v/>
      </c>
      <c r="N125">
        <f>IF($B$1+11&gt;90,M125,(M125+IF($B$1+11&lt;=$B125,12*($B$7-$B$10),-12*($B$6+$B$10)*(1+$B$4)^11))*IF(M125+IF($B$1+11&lt;=$B125,12*($B$7-$B$10),-12*($B$6+$B$10)*(1+$B$4)^11)&gt;0,1+$B$3,1))</f>
        <v/>
      </c>
      <c r="O125">
        <f>IF($B$1+12&gt;90,N125,(N125+IF($B$1+12&lt;=$B125,12*($B$7-$B$10),-12*($B$6+$B$10)*(1+$B$4)^12))*IF(N125+IF($B$1+12&lt;=$B125,12*($B$7-$B$10),-12*($B$6+$B$10)*(1+$B$4)^12)&gt;0,1+$B$3,1))</f>
        <v/>
      </c>
      <c r="P125">
        <f>IF($B$1+13&gt;90,O125,(O125+IF($B$1+13&lt;=$B125,12*($B$7-$B$10),-12*($B$6+$B$10)*(1+$B$4)^13))*IF(O125+IF($B$1+13&lt;=$B125,12*($B$7-$B$10),-12*($B$6+$B$10)*(1+$B$4)^13)&gt;0,1+$B$3,1))</f>
        <v/>
      </c>
      <c r="Q125">
        <f>IF($B$1+14&gt;90,P125,(P125+IF($B$1+14&lt;=$B125,12*($B$7-$B$10),-12*($B$6+$B$10)*(1+$B$4)^14))*IF(P125+IF($B$1+14&lt;=$B125,12*($B$7-$B$10),-12*($B$6+$B$10)*(1+$B$4)^14)&gt;0,1+$B$3,1))</f>
        <v/>
      </c>
      <c r="R125">
        <f>IF($B$1+15&gt;90,Q125,(Q125+IF($B$1+15&lt;=$B125,12*($B$7-$B$10),-12*($B$6+$B$10)*(1+$B$4)^15))*IF(Q125+IF($B$1+15&lt;=$B125,12*($B$7-$B$10),-12*($B$6+$B$10)*(1+$B$4)^15)&gt;0,1+$B$3,1))</f>
        <v/>
      </c>
      <c r="S125">
        <f>IF($B$1+16&gt;90,R125,(R125+IF($B$1+16&lt;=$B125,12*($B$7-$B$10),-12*($B$6+$B$10)*(1+$B$4)^16))*IF(R125+IF($B$1+16&lt;=$B125,12*($B$7-$B$10),-12*($B$6+$B$10)*(1+$B$4)^16)&gt;0,1+$B$3,1))</f>
        <v/>
      </c>
      <c r="T125">
        <f>IF($B$1+17&gt;90,S125,(S125+IF($B$1+17&lt;=$B125,12*($B$7-$B$10),-12*($B$6+$B$10)*(1+$B$4)^17))*IF(S125+IF($B$1+17&lt;=$B125,12*($B$7-$B$10),-12*($B$6+$B$10)*(1+$B$4)^17)&gt;0,1+$B$3,1))</f>
        <v/>
      </c>
      <c r="U125">
        <f>IF($B$1+18&gt;90,T125,(T125+IF($B$1+18&lt;=$B125,12*($B$7-$B$10),-12*($B$6+$B$10)*(1+$B$4)^18))*IF(T125+IF($B$1+18&lt;=$B125,12*($B$7-$B$10),-12*($B$6+$B$10)*(1+$B$4)^18)&gt;0,1+$B$3,1))</f>
        <v/>
      </c>
      <c r="V125">
        <f>IF($B$1+19&gt;90,U125,(U125+IF($B$1+19&lt;=$B125,12*($B$7-$B$10),-12*($B$6+$B$10)*(1+$B$4)^19))*IF(U125+IF($B$1+19&lt;=$B125,12*($B$7-$B$10),-12*($B$6+$B$10)*(1+$B$4)^19)&gt;0,1+$B$3,1))</f>
        <v/>
      </c>
      <c r="W125">
        <f>IF($B$1+20&gt;90,V125,(V125+IF($B$1+20&lt;=$B125,12*($B$7-$B$10),-12*($B$6+$B$10)*(1+$B$4)^20))*IF(V125+IF($B$1+20&lt;=$B125,12*($B$7-$B$10),-12*($B$6+$B$10)*(1+$B$4)^20)&gt;0,1+$B$3,1))</f>
        <v/>
      </c>
      <c r="X125">
        <f>IF($B$1+21&gt;90,W125,(W125+IF($B$1+21&lt;=$B125,12*($B$7-$B$10),-12*($B$6+$B$10)*(1+$B$4)^21))*IF(W125+IF($B$1+21&lt;=$B125,12*($B$7-$B$10),-12*($B$6+$B$10)*(1+$B$4)^21)&gt;0,1+$B$3,1))</f>
        <v/>
      </c>
      <c r="Y125">
        <f>IF($B$1+22&gt;90,X125,(X125+IF($B$1+22&lt;=$B125,12*($B$7-$B$10),-12*($B$6+$B$10)*(1+$B$4)^22))*IF(X125+IF($B$1+22&lt;=$B125,12*($B$7-$B$10),-12*($B$6+$B$10)*(1+$B$4)^22)&gt;0,1+$B$3,1))</f>
        <v/>
      </c>
      <c r="Z125">
        <f>IF($B$1+23&gt;90,Y125,(Y125+IF($B$1+23&lt;=$B125,12*($B$7-$B$10),-12*($B$6+$B$10)*(1+$B$4)^23))*IF(Y125+IF($B$1+23&lt;=$B125,12*($B$7-$B$10),-12*($B$6+$B$10)*(1+$B$4)^23)&gt;0,1+$B$3,1))</f>
        <v/>
      </c>
      <c r="AA125">
        <f>IF($B$1+24&gt;90,Z125,(Z125+IF($B$1+24&lt;=$B125,12*($B$7-$B$10),-12*($B$6+$B$10)*(1+$B$4)^24))*IF(Z125+IF($B$1+24&lt;=$B125,12*($B$7-$B$10),-12*($B$6+$B$10)*(1+$B$4)^24)&gt;0,1+$B$3,1))</f>
        <v/>
      </c>
      <c r="AB125">
        <f>IF($B$1+25&gt;90,AA125,(AA125+IF($B$1+25&lt;=$B125,12*($B$7-$B$10),-12*($B$6+$B$10)*(1+$B$4)^25))*IF(AA125+IF($B$1+25&lt;=$B125,12*($B$7-$B$10),-12*($B$6+$B$10)*(1+$B$4)^25)&gt;0,1+$B$3,1))</f>
        <v/>
      </c>
      <c r="AC125">
        <f>IF($B$1+26&gt;90,AB125,(AB125+IF($B$1+26&lt;=$B125,12*($B$7-$B$10),-12*($B$6+$B$10)*(1+$B$4)^26))*IF(AB125+IF($B$1+26&lt;=$B125,12*($B$7-$B$10),-12*($B$6+$B$10)*(1+$B$4)^26)&gt;0,1+$B$3,1))</f>
        <v/>
      </c>
      <c r="AD125">
        <f>IF($B$1+27&gt;90,AC125,(AC125+IF($B$1+27&lt;=$B125,12*($B$7-$B$10),-12*($B$6+$B$10)*(1+$B$4)^27))*IF(AC125+IF($B$1+27&lt;=$B125,12*($B$7-$B$10),-12*($B$6+$B$10)*(1+$B$4)^27)&gt;0,1+$B$3,1))</f>
        <v/>
      </c>
      <c r="AE125">
        <f>IF($B$1+28&gt;90,AD125,(AD125+IF($B$1+28&lt;=$B125,12*($B$7-$B$10),-12*($B$6+$B$10)*(1+$B$4)^28))*IF(AD125+IF($B$1+28&lt;=$B125,12*($B$7-$B$10),-12*($B$6+$B$10)*(1+$B$4)^28)&gt;0,1+$B$3,1))</f>
        <v/>
      </c>
      <c r="AF125">
        <f>IF($B$1+29&gt;90,AE125,(AE125+IF($B$1+29&lt;=$B125,12*($B$7-$B$10),-12*($B$6+$B$10)*(1+$B$4)^29))*IF(AE125+IF($B$1+29&lt;=$B125,12*($B$7-$B$10),-12*($B$6+$B$10)*(1+$B$4)^29)&gt;0,1+$B$3,1))</f>
        <v/>
      </c>
      <c r="AG125">
        <f>IF($B$1+30&gt;90,AF125,(AF125+IF($B$1+30&lt;=$B125,12*($B$7-$B$10),-12*($B$6+$B$10)*(1+$B$4)^30))*IF(AF125+IF($B$1+30&lt;=$B125,12*($B$7-$B$10),-12*($B$6+$B$10)*(1+$B$4)^30)&gt;0,1+$B$3,1))</f>
        <v/>
      </c>
      <c r="AH125">
        <f>IF($B$1+31&gt;90,AG125,(AG125+IF($B$1+31&lt;=$B125,12*($B$7-$B$10),-12*($B$6+$B$10)*(1+$B$4)^31))*IF(AG125+IF($B$1+31&lt;=$B125,12*($B$7-$B$10),-12*($B$6+$B$10)*(1+$B$4)^31)&gt;0,1+$B$3,1))</f>
        <v/>
      </c>
      <c r="AI125">
        <f>IF($B$1+32&gt;90,AH125,(AH125+IF($B$1+32&lt;=$B125,12*($B$7-$B$10),-12*($B$6+$B$10)*(1+$B$4)^32))*IF(AH125+IF($B$1+32&lt;=$B125,12*($B$7-$B$10),-12*($B$6+$B$10)*(1+$B$4)^32)&gt;0,1+$B$3,1))</f>
        <v/>
      </c>
      <c r="AJ125">
        <f>IF($B$1+33&gt;90,AI125,(AI125+IF($B$1+33&lt;=$B125,12*($B$7-$B$10),-12*($B$6+$B$10)*(1+$B$4)^33))*IF(AI125+IF($B$1+33&lt;=$B125,12*($B$7-$B$10),-12*($B$6+$B$10)*(1+$B$4)^33)&gt;0,1+$B$3,1))</f>
        <v/>
      </c>
      <c r="AK125">
        <f>IF($B$1+34&gt;90,AJ125,(AJ125+IF($B$1+34&lt;=$B125,12*($B$7-$B$10),-12*($B$6+$B$10)*(1+$B$4)^34))*IF(AJ125+IF($B$1+34&lt;=$B125,12*($B$7-$B$10),-12*($B$6+$B$10)*(1+$B$4)^34)&gt;0,1+$B$3,1))</f>
        <v/>
      </c>
      <c r="AL125">
        <f>IF($B$1+35&gt;90,AK125,(AK125+IF($B$1+35&lt;=$B125,12*($B$7-$B$10),-12*($B$6+$B$10)*(1+$B$4)^35))*IF(AK125+IF($B$1+35&lt;=$B125,12*($B$7-$B$10),-12*($B$6+$B$10)*(1+$B$4)^35)&gt;0,1+$B$3,1))</f>
        <v/>
      </c>
      <c r="AM125">
        <f>IF($B$1+36&gt;90,AL125,(AL125+IF($B$1+36&lt;=$B125,12*($B$7-$B$10),-12*($B$6+$B$10)*(1+$B$4)^36))*IF(AL125+IF($B$1+36&lt;=$B125,12*($B$7-$B$10),-12*($B$6+$B$10)*(1+$B$4)^36)&gt;0,1+$B$3,1))</f>
        <v/>
      </c>
      <c r="AN125">
        <f>IF($B$1+37&gt;90,AM125,(AM125+IF($B$1+37&lt;=$B125,12*($B$7-$B$10),-12*($B$6+$B$10)*(1+$B$4)^37))*IF(AM125+IF($B$1+37&lt;=$B125,12*($B$7-$B$10),-12*($B$6+$B$10)*(1+$B$4)^37)&gt;0,1+$B$3,1))</f>
        <v/>
      </c>
      <c r="AO125">
        <f>IF($B$1+38&gt;90,AN125,(AN125+IF($B$1+38&lt;=$B125,12*($B$7-$B$10),-12*($B$6+$B$10)*(1+$B$4)^38))*IF(AN125+IF($B$1+38&lt;=$B125,12*($B$7-$B$10),-12*($B$6+$B$10)*(1+$B$4)^38)&gt;0,1+$B$3,1))</f>
        <v/>
      </c>
      <c r="AP125">
        <f>IF($B$1+39&gt;90,AO125,(AO125+IF($B$1+39&lt;=$B125,12*($B$7-$B$10),-12*($B$6+$B$10)*(1+$B$4)^39))*IF(AO125+IF($B$1+39&lt;=$B125,12*($B$7-$B$10),-12*($B$6+$B$10)*(1+$B$4)^39)&gt;0,1+$B$3,1))</f>
        <v/>
      </c>
      <c r="AQ125">
        <f>IF($B$1+40&gt;90,AP125,(AP125+IF($B$1+40&lt;=$B125,12*($B$7-$B$10),-12*($B$6+$B$10)*(1+$B$4)^40))*IF(AP125+IF($B$1+40&lt;=$B125,12*($B$7-$B$10),-12*($B$6+$B$10)*(1+$B$4)^40)&gt;0,1+$B$3,1))</f>
        <v/>
      </c>
      <c r="AR125">
        <f>IF($B$1+41&gt;90,AQ125,(AQ125+IF($B$1+41&lt;=$B125,12*($B$7-$B$10),-12*($B$6+$B$10)*(1+$B$4)^41))*IF(AQ125+IF($B$1+41&lt;=$B125,12*($B$7-$B$10),-12*($B$6+$B$10)*(1+$B$4)^41)&gt;0,1+$B$3,1))</f>
        <v/>
      </c>
      <c r="AS125">
        <f>IF($B$1+42&gt;90,AR125,(AR125+IF($B$1+42&lt;=$B125,12*($B$7-$B$10),-12*($B$6+$B$10)*(1+$B$4)^42))*IF(AR125+IF($B$1+42&lt;=$B125,12*($B$7-$B$10),-12*($B$6+$B$10)*(1+$B$4)^42)&gt;0,1+$B$3,1))</f>
        <v/>
      </c>
      <c r="AT125">
        <f>IF($B$1+43&gt;90,AS125,(AS125+IF($B$1+43&lt;=$B125,12*($B$7-$B$10),-12*($B$6+$B$10)*(1+$B$4)^43))*IF(AS125+IF($B$1+43&lt;=$B125,12*($B$7-$B$10),-12*($B$6+$B$10)*(1+$B$4)^43)&gt;0,1+$B$3,1))</f>
        <v/>
      </c>
      <c r="AU125">
        <f>IF($B$1+44&gt;90,AT125,(AT125+IF($B$1+44&lt;=$B125,12*($B$7-$B$10),-12*($B$6+$B$10)*(1+$B$4)^44))*IF(AT125+IF($B$1+44&lt;=$B125,12*($B$7-$B$10),-12*($B$6+$B$10)*(1+$B$4)^44)&gt;0,1+$B$3,1))</f>
        <v/>
      </c>
      <c r="AV125">
        <f>IF($B$1+45&gt;90,AU125,(AU125+IF($B$1+45&lt;=$B125,12*($B$7-$B$10),-12*($B$6+$B$10)*(1+$B$4)^45))*IF(AU125+IF($B$1+45&lt;=$B125,12*($B$7-$B$10),-12*($B$6+$B$10)*(1+$B$4)^45)&gt;0,1+$B$3,1))</f>
        <v/>
      </c>
      <c r="AW125">
        <f>IF($B$1+46&gt;90,AV125,(AV125+IF($B$1+46&lt;=$B125,12*($B$7-$B$10),-12*($B$6+$B$10)*(1+$B$4)^46))*IF(AV125+IF($B$1+46&lt;=$B125,12*($B$7-$B$10),-12*($B$6+$B$10)*(1+$B$4)^46)&gt;0,1+$B$3,1))</f>
        <v/>
      </c>
      <c r="AX125">
        <f>IF($B$1+47&gt;90,AW125,(AW125+IF($B$1+47&lt;=$B125,12*($B$7-$B$10),-12*($B$6+$B$10)*(1+$B$4)^47))*IF(AW125+IF($B$1+47&lt;=$B125,12*($B$7-$B$10),-12*($B$6+$B$10)*(1+$B$4)^47)&gt;0,1+$B$3,1))</f>
        <v/>
      </c>
      <c r="AY125">
        <f>IF($B$1+48&gt;90,AX125,(AX125+IF($B$1+48&lt;=$B125,12*($B$7-$B$10),-12*($B$6+$B$10)*(1+$B$4)^48))*IF(AX125+IF($B$1+48&lt;=$B125,12*($B$7-$B$10),-12*($B$6+$B$10)*(1+$B$4)^48)&gt;0,1+$B$3,1))</f>
        <v/>
      </c>
      <c r="AZ125">
        <f>IF($B$1+49&gt;90,AY125,(AY125+IF($B$1+49&lt;=$B125,12*($B$7-$B$10),-12*($B$6+$B$10)*(1+$B$4)^49))*IF(AY125+IF($B$1+49&lt;=$B125,12*($B$7-$B$10),-12*($B$6+$B$10)*(1+$B$4)^49)&gt;0,1+$B$3,1))</f>
        <v/>
      </c>
      <c r="BA125">
        <f>IF($B$1+50&gt;90,AZ125,(AZ125+IF($B$1+50&lt;=$B125,12*($B$7-$B$10),-12*($B$6+$B$10)*(1+$B$4)^50))*IF(AZ125+IF($B$1+50&lt;=$B125,12*($B$7-$B$10),-12*($B$6+$B$10)*(1+$B$4)^50)&gt;0,1+$B$3,1))</f>
        <v/>
      </c>
      <c r="BB125">
        <f>IF($B$1+51&gt;90,BA125,(BA125+IF($B$1+51&lt;=$B125,12*($B$7-$B$10),-12*($B$6+$B$10)*(1+$B$4)^51))*IF(BA125+IF($B$1+51&lt;=$B125,12*($B$7-$B$10),-12*($B$6+$B$10)*(1+$B$4)^51)&gt;0,1+$B$3,1))</f>
        <v/>
      </c>
      <c r="BC125">
        <f>IF($B$1+52&gt;90,BB125,(BB125+IF($B$1+52&lt;=$B125,12*($B$7-$B$10),-12*($B$6+$B$10)*(1+$B$4)^52))*IF(BB125+IF($B$1+52&lt;=$B125,12*($B$7-$B$10),-12*($B$6+$B$10)*(1+$B$4)^52)&gt;0,1+$B$3,1))</f>
        <v/>
      </c>
      <c r="BD125">
        <f>IF($B$1+53&gt;90,BC125,(BC125+IF($B$1+53&lt;=$B125,12*($B$7-$B$10),-12*($B$6+$B$10)*(1+$B$4)^53))*IF(BC125+IF($B$1+53&lt;=$B125,12*($B$7-$B$10),-12*($B$6+$B$10)*(1+$B$4)^53)&gt;0,1+$B$3,1))</f>
        <v/>
      </c>
      <c r="BE125">
        <f>IF($B$1+54&gt;90,BD125,(BD125+IF($B$1+54&lt;=$B125,12*($B$7-$B$10),-12*($B$6+$B$10)*(1+$B$4)^54))*IF(BD125+IF($B$1+54&lt;=$B125,12*($B$7-$B$10),-12*($B$6+$B$10)*(1+$B$4)^54)&gt;0,1+$B$3,1))</f>
        <v/>
      </c>
      <c r="BF125">
        <f>IF($B$1+55&gt;90,BE125,(BE125+IF($B$1+55&lt;=$B125,12*($B$7-$B$10),-12*($B$6+$B$10)*(1+$B$4)^55))*IF(BE125+IF($B$1+55&lt;=$B125,12*($B$7-$B$10),-12*($B$6+$B$10)*(1+$B$4)^55)&gt;0,1+$B$3,1))</f>
        <v/>
      </c>
      <c r="BG125">
        <f>IF($B$1+56&gt;90,BF125,(BF125+IF($B$1+56&lt;=$B125,12*($B$7-$B$10),-12*($B$6+$B$10)*(1+$B$4)^56))*IF(BF125+IF($B$1+56&lt;=$B125,12*($B$7-$B$10),-12*($B$6+$B$10)*(1+$B$4)^56)&gt;0,1+$B$3,1))</f>
        <v/>
      </c>
      <c r="BH125">
        <f>IF($B$1+57&gt;90,BG125,(BG125+IF($B$1+57&lt;=$B125,12*($B$7-$B$10),-12*($B$6+$B$10)*(1+$B$4)^57))*IF(BG125+IF($B$1+57&lt;=$B125,12*($B$7-$B$10),-12*($B$6+$B$10)*(1+$B$4)^57)&gt;0,1+$B$3,1))</f>
        <v/>
      </c>
      <c r="BI125">
        <f>IF($B$1+58&gt;90,BH125,(BH125+IF($B$1+58&lt;=$B125,12*($B$7-$B$10),-12*($B$6+$B$10)*(1+$B$4)^58))*IF(BH125+IF($B$1+58&lt;=$B125,12*($B$7-$B$10),-12*($B$6+$B$10)*(1+$B$4)^58)&gt;0,1+$B$3,1))</f>
        <v/>
      </c>
      <c r="BJ125">
        <f>IF($B$1+59&gt;90,BI125,(BI125+IF($B$1+59&lt;=$B125,12*($B$7-$B$10),-12*($B$6+$B$10)*(1+$B$4)^59))*IF(BI125+IF($B$1+59&lt;=$B125,12*($B$7-$B$10),-12*($B$6+$B$10)*(1+$B$4)^59)&gt;0,1+$B$3,1))</f>
        <v/>
      </c>
      <c r="BK125">
        <f>IF($B$1+60&gt;90,BJ125,(BJ125+IF($B$1+60&lt;=$B125,12*($B$7-$B$10),-12*($B$6+$B$10)*(1+$B$4)^60))*IF(BJ125+IF($B$1+60&lt;=$B125,12*($B$7-$B$10),-12*($B$6+$B$10)*(1+$B$4)^60)&gt;0,1+$B$3,1))</f>
        <v/>
      </c>
      <c r="BL125">
        <f>IF($B$1+61&gt;90,BK125,(BK125+IF($B$1+61&lt;=$B125,12*($B$7-$B$10),-12*($B$6+$B$10)*(1+$B$4)^61))*IF(BK125+IF($B$1+61&lt;=$B125,12*($B$7-$B$10),-12*($B$6+$B$10)*(1+$B$4)^61)&gt;0,1+$B$3,1))</f>
        <v/>
      </c>
      <c r="BM125">
        <f>IF($B$1+62&gt;90,BL125,(BL125+IF($B$1+62&lt;=$B125,12*($B$7-$B$10),-12*($B$6+$B$10)*(1+$B$4)^62))*IF(BL125+IF($B$1+62&lt;=$B125,12*($B$7-$B$10),-12*($B$6+$B$10)*(1+$B$4)^62)&gt;0,1+$B$3,1))</f>
        <v/>
      </c>
      <c r="BN125">
        <f>IF($B$1+63&gt;90,BM125,(BM125+IF($B$1+63&lt;=$B125,12*($B$7-$B$10),-12*($B$6+$B$10)*(1+$B$4)^63))*IF(BM125+IF($B$1+63&lt;=$B125,12*($B$7-$B$10),-12*($B$6+$B$10)*(1+$B$4)^63)&gt;0,1+$B$3,1))</f>
        <v/>
      </c>
      <c r="BO125">
        <f>IF($B$1+64&gt;90,BN125,(BN125+IF($B$1+64&lt;=$B125,12*($B$7-$B$10),-12*($B$6+$B$10)*(1+$B$4)^64))*IF(BN125+IF($B$1+64&lt;=$B125,12*($B$7-$B$10),-12*($B$6+$B$10)*(1+$B$4)^64)&gt;0,1+$B$3,1))</f>
        <v/>
      </c>
      <c r="BP125">
        <f>IF($B$1+65&gt;90,BO125,(BO125+IF($B$1+65&lt;=$B125,12*($B$7-$B$10),-12*($B$6+$B$10)*(1+$B$4)^65))*IF(BO125+IF($B$1+65&lt;=$B125,12*($B$7-$B$10),-12*($B$6+$B$10)*(1+$B$4)^65)&gt;0,1+$B$3,1))</f>
        <v/>
      </c>
      <c r="BQ125">
        <f>IF($B$1+66&gt;90,BP125,(BP125+IF($B$1+66&lt;=$B125,12*($B$7-$B$10),-12*($B$6+$B$10)*(1+$B$4)^66))*IF(BP125+IF($B$1+66&lt;=$B125,12*($B$7-$B$10),-12*($B$6+$B$10)*(1+$B$4)^66)&gt;0,1+$B$3,1))</f>
        <v/>
      </c>
      <c r="BR125">
        <f>IF($B$1+67&gt;90,BQ125,(BQ125+IF($B$1+67&lt;=$B125,12*($B$7-$B$10),-12*($B$6+$B$10)*(1+$B$4)^67))*IF(BQ125+IF($B$1+67&lt;=$B125,12*($B$7-$B$10),-12*($B$6+$B$10)*(1+$B$4)^67)&gt;0,1+$B$3,1))</f>
        <v/>
      </c>
      <c r="BS125">
        <f>IF($B$1+68&gt;90,BR125,(BR125+IF($B$1+68&lt;=$B125,12*($B$7-$B$10),-12*($B$6+$B$10)*(1+$B$4)^68))*IF(BR125+IF($B$1+68&lt;=$B125,12*($B$7-$B$10),-12*($B$6+$B$10)*(1+$B$4)^68)&gt;0,1+$B$3,1))</f>
        <v/>
      </c>
      <c r="BT125">
        <f>IF($B$1+69&gt;90,BS125,(BS125+IF($B$1+69&lt;=$B125,12*($B$7-$B$10),-12*($B$6+$B$10)*(1+$B$4)^69))*IF(BS125+IF($B$1+69&lt;=$B125,12*($B$7-$B$10),-12*($B$6+$B$10)*(1+$B$4)^69)&gt;0,1+$B$3,1))</f>
        <v/>
      </c>
      <c r="BU125">
        <f>IF($B$1+70&gt;90,BT125,(BT125+IF($B$1+70&lt;=$B125,12*($B$7-$B$10),-12*($B$6+$B$10)*(1+$B$4)^70))*IF(BT125+IF($B$1+70&lt;=$B125,12*($B$7-$B$10),-12*($B$6+$B$10)*(1+$B$4)^70)&gt;0,1+$B$3,1))</f>
        <v/>
      </c>
      <c r="BV125">
        <f>BU125</f>
        <v/>
      </c>
      <c r="BW125">
        <f>IF(AND($B125&lt;=70,BV125&gt;0),$B125,999)</f>
        <v/>
      </c>
    </row>
    <row r="126">
      <c r="A126" t="n">
        <v>30</v>
      </c>
      <c r="B126">
        <f>$B$1+30</f>
        <v/>
      </c>
      <c r="C126">
        <f>$B$2</f>
        <v/>
      </c>
      <c r="D126">
        <f>IF($B$1+1&gt;90,C126,(C126+IF($B$1+1&lt;=$B126,12*($B$7-$B$10),-12*($B$6+$B$10)*(1+$B$4)^1))*IF(C126+IF($B$1+1&lt;=$B126,12*($B$7-$B$10),-12*($B$6+$B$10)*(1+$B$4)^1)&gt;0,1+$B$3,1))</f>
        <v/>
      </c>
      <c r="E126">
        <f>IF($B$1+2&gt;90,D126,(D126+IF($B$1+2&lt;=$B126,12*($B$7-$B$10),-12*($B$6+$B$10)*(1+$B$4)^2))*IF(D126+IF($B$1+2&lt;=$B126,12*($B$7-$B$10),-12*($B$6+$B$10)*(1+$B$4)^2)&gt;0,1+$B$3,1))</f>
        <v/>
      </c>
      <c r="F126">
        <f>IF($B$1+3&gt;90,E126,(E126+IF($B$1+3&lt;=$B126,12*($B$7-$B$10),-12*($B$6+$B$10)*(1+$B$4)^3))*IF(E126+IF($B$1+3&lt;=$B126,12*($B$7-$B$10),-12*($B$6+$B$10)*(1+$B$4)^3)&gt;0,1+$B$3,1))</f>
        <v/>
      </c>
      <c r="G126">
        <f>IF($B$1+4&gt;90,F126,(F126+IF($B$1+4&lt;=$B126,12*($B$7-$B$10),-12*($B$6+$B$10)*(1+$B$4)^4))*IF(F126+IF($B$1+4&lt;=$B126,12*($B$7-$B$10),-12*($B$6+$B$10)*(1+$B$4)^4)&gt;0,1+$B$3,1))</f>
        <v/>
      </c>
      <c r="H126">
        <f>IF($B$1+5&gt;90,G126,(G126+IF($B$1+5&lt;=$B126,12*($B$7-$B$10),-12*($B$6+$B$10)*(1+$B$4)^5))*IF(G126+IF($B$1+5&lt;=$B126,12*($B$7-$B$10),-12*($B$6+$B$10)*(1+$B$4)^5)&gt;0,1+$B$3,1))</f>
        <v/>
      </c>
      <c r="I126">
        <f>IF($B$1+6&gt;90,H126,(H126+IF($B$1+6&lt;=$B126,12*($B$7-$B$10),-12*($B$6+$B$10)*(1+$B$4)^6))*IF(H126+IF($B$1+6&lt;=$B126,12*($B$7-$B$10),-12*($B$6+$B$10)*(1+$B$4)^6)&gt;0,1+$B$3,1))</f>
        <v/>
      </c>
      <c r="J126">
        <f>IF($B$1+7&gt;90,I126,(I126+IF($B$1+7&lt;=$B126,12*($B$7-$B$10),-12*($B$6+$B$10)*(1+$B$4)^7))*IF(I126+IF($B$1+7&lt;=$B126,12*($B$7-$B$10),-12*($B$6+$B$10)*(1+$B$4)^7)&gt;0,1+$B$3,1))</f>
        <v/>
      </c>
      <c r="K126">
        <f>IF($B$1+8&gt;90,J126,(J126+IF($B$1+8&lt;=$B126,12*($B$7-$B$10),-12*($B$6+$B$10)*(1+$B$4)^8))*IF(J126+IF($B$1+8&lt;=$B126,12*($B$7-$B$10),-12*($B$6+$B$10)*(1+$B$4)^8)&gt;0,1+$B$3,1))</f>
        <v/>
      </c>
      <c r="L126">
        <f>IF($B$1+9&gt;90,K126,(K126+IF($B$1+9&lt;=$B126,12*($B$7-$B$10),-12*($B$6+$B$10)*(1+$B$4)^9))*IF(K126+IF($B$1+9&lt;=$B126,12*($B$7-$B$10),-12*($B$6+$B$10)*(1+$B$4)^9)&gt;0,1+$B$3,1))</f>
        <v/>
      </c>
      <c r="M126">
        <f>IF($B$1+10&gt;90,L126,(L126+IF($B$1+10&lt;=$B126,12*($B$7-$B$10),-12*($B$6+$B$10)*(1+$B$4)^10))*IF(L126+IF($B$1+10&lt;=$B126,12*($B$7-$B$10),-12*($B$6+$B$10)*(1+$B$4)^10)&gt;0,1+$B$3,1))</f>
        <v/>
      </c>
      <c r="N126">
        <f>IF($B$1+11&gt;90,M126,(M126+IF($B$1+11&lt;=$B126,12*($B$7-$B$10),-12*($B$6+$B$10)*(1+$B$4)^11))*IF(M126+IF($B$1+11&lt;=$B126,12*($B$7-$B$10),-12*($B$6+$B$10)*(1+$B$4)^11)&gt;0,1+$B$3,1))</f>
        <v/>
      </c>
      <c r="O126">
        <f>IF($B$1+12&gt;90,N126,(N126+IF($B$1+12&lt;=$B126,12*($B$7-$B$10),-12*($B$6+$B$10)*(1+$B$4)^12))*IF(N126+IF($B$1+12&lt;=$B126,12*($B$7-$B$10),-12*($B$6+$B$10)*(1+$B$4)^12)&gt;0,1+$B$3,1))</f>
        <v/>
      </c>
      <c r="P126">
        <f>IF($B$1+13&gt;90,O126,(O126+IF($B$1+13&lt;=$B126,12*($B$7-$B$10),-12*($B$6+$B$10)*(1+$B$4)^13))*IF(O126+IF($B$1+13&lt;=$B126,12*($B$7-$B$10),-12*($B$6+$B$10)*(1+$B$4)^13)&gt;0,1+$B$3,1))</f>
        <v/>
      </c>
      <c r="Q126">
        <f>IF($B$1+14&gt;90,P126,(P126+IF($B$1+14&lt;=$B126,12*($B$7-$B$10),-12*($B$6+$B$10)*(1+$B$4)^14))*IF(P126+IF($B$1+14&lt;=$B126,12*($B$7-$B$10),-12*($B$6+$B$10)*(1+$B$4)^14)&gt;0,1+$B$3,1))</f>
        <v/>
      </c>
      <c r="R126">
        <f>IF($B$1+15&gt;90,Q126,(Q126+IF($B$1+15&lt;=$B126,12*($B$7-$B$10),-12*($B$6+$B$10)*(1+$B$4)^15))*IF(Q126+IF($B$1+15&lt;=$B126,12*($B$7-$B$10),-12*($B$6+$B$10)*(1+$B$4)^15)&gt;0,1+$B$3,1))</f>
        <v/>
      </c>
      <c r="S126">
        <f>IF($B$1+16&gt;90,R126,(R126+IF($B$1+16&lt;=$B126,12*($B$7-$B$10),-12*($B$6+$B$10)*(1+$B$4)^16))*IF(R126+IF($B$1+16&lt;=$B126,12*($B$7-$B$10),-12*($B$6+$B$10)*(1+$B$4)^16)&gt;0,1+$B$3,1))</f>
        <v/>
      </c>
      <c r="T126">
        <f>IF($B$1+17&gt;90,S126,(S126+IF($B$1+17&lt;=$B126,12*($B$7-$B$10),-12*($B$6+$B$10)*(1+$B$4)^17))*IF(S126+IF($B$1+17&lt;=$B126,12*($B$7-$B$10),-12*($B$6+$B$10)*(1+$B$4)^17)&gt;0,1+$B$3,1))</f>
        <v/>
      </c>
      <c r="U126">
        <f>IF($B$1+18&gt;90,T126,(T126+IF($B$1+18&lt;=$B126,12*($B$7-$B$10),-12*($B$6+$B$10)*(1+$B$4)^18))*IF(T126+IF($B$1+18&lt;=$B126,12*($B$7-$B$10),-12*($B$6+$B$10)*(1+$B$4)^18)&gt;0,1+$B$3,1))</f>
        <v/>
      </c>
      <c r="V126">
        <f>IF($B$1+19&gt;90,U126,(U126+IF($B$1+19&lt;=$B126,12*($B$7-$B$10),-12*($B$6+$B$10)*(1+$B$4)^19))*IF(U126+IF($B$1+19&lt;=$B126,12*($B$7-$B$10),-12*($B$6+$B$10)*(1+$B$4)^19)&gt;0,1+$B$3,1))</f>
        <v/>
      </c>
      <c r="W126">
        <f>IF($B$1+20&gt;90,V126,(V126+IF($B$1+20&lt;=$B126,12*($B$7-$B$10),-12*($B$6+$B$10)*(1+$B$4)^20))*IF(V126+IF($B$1+20&lt;=$B126,12*($B$7-$B$10),-12*($B$6+$B$10)*(1+$B$4)^20)&gt;0,1+$B$3,1))</f>
        <v/>
      </c>
      <c r="X126">
        <f>IF($B$1+21&gt;90,W126,(W126+IF($B$1+21&lt;=$B126,12*($B$7-$B$10),-12*($B$6+$B$10)*(1+$B$4)^21))*IF(W126+IF($B$1+21&lt;=$B126,12*($B$7-$B$10),-12*($B$6+$B$10)*(1+$B$4)^21)&gt;0,1+$B$3,1))</f>
        <v/>
      </c>
      <c r="Y126">
        <f>IF($B$1+22&gt;90,X126,(X126+IF($B$1+22&lt;=$B126,12*($B$7-$B$10),-12*($B$6+$B$10)*(1+$B$4)^22))*IF(X126+IF($B$1+22&lt;=$B126,12*($B$7-$B$10),-12*($B$6+$B$10)*(1+$B$4)^22)&gt;0,1+$B$3,1))</f>
        <v/>
      </c>
      <c r="Z126">
        <f>IF($B$1+23&gt;90,Y126,(Y126+IF($B$1+23&lt;=$B126,12*($B$7-$B$10),-12*($B$6+$B$10)*(1+$B$4)^23))*IF(Y126+IF($B$1+23&lt;=$B126,12*($B$7-$B$10),-12*($B$6+$B$10)*(1+$B$4)^23)&gt;0,1+$B$3,1))</f>
        <v/>
      </c>
      <c r="AA126">
        <f>IF($B$1+24&gt;90,Z126,(Z126+IF($B$1+24&lt;=$B126,12*($B$7-$B$10),-12*($B$6+$B$10)*(1+$B$4)^24))*IF(Z126+IF($B$1+24&lt;=$B126,12*($B$7-$B$10),-12*($B$6+$B$10)*(1+$B$4)^24)&gt;0,1+$B$3,1))</f>
        <v/>
      </c>
      <c r="AB126">
        <f>IF($B$1+25&gt;90,AA126,(AA126+IF($B$1+25&lt;=$B126,12*($B$7-$B$10),-12*($B$6+$B$10)*(1+$B$4)^25))*IF(AA126+IF($B$1+25&lt;=$B126,12*($B$7-$B$10),-12*($B$6+$B$10)*(1+$B$4)^25)&gt;0,1+$B$3,1))</f>
        <v/>
      </c>
      <c r="AC126">
        <f>IF($B$1+26&gt;90,AB126,(AB126+IF($B$1+26&lt;=$B126,12*($B$7-$B$10),-12*($B$6+$B$10)*(1+$B$4)^26))*IF(AB126+IF($B$1+26&lt;=$B126,12*($B$7-$B$10),-12*($B$6+$B$10)*(1+$B$4)^26)&gt;0,1+$B$3,1))</f>
        <v/>
      </c>
      <c r="AD126">
        <f>IF($B$1+27&gt;90,AC126,(AC126+IF($B$1+27&lt;=$B126,12*($B$7-$B$10),-12*($B$6+$B$10)*(1+$B$4)^27))*IF(AC126+IF($B$1+27&lt;=$B126,12*($B$7-$B$10),-12*($B$6+$B$10)*(1+$B$4)^27)&gt;0,1+$B$3,1))</f>
        <v/>
      </c>
      <c r="AE126">
        <f>IF($B$1+28&gt;90,AD126,(AD126+IF($B$1+28&lt;=$B126,12*($B$7-$B$10),-12*($B$6+$B$10)*(1+$B$4)^28))*IF(AD126+IF($B$1+28&lt;=$B126,12*($B$7-$B$10),-12*($B$6+$B$10)*(1+$B$4)^28)&gt;0,1+$B$3,1))</f>
        <v/>
      </c>
      <c r="AF126">
        <f>IF($B$1+29&gt;90,AE126,(AE126+IF($B$1+29&lt;=$B126,12*($B$7-$B$10),-12*($B$6+$B$10)*(1+$B$4)^29))*IF(AE126+IF($B$1+29&lt;=$B126,12*($B$7-$B$10),-12*($B$6+$B$10)*(1+$B$4)^29)&gt;0,1+$B$3,1))</f>
        <v/>
      </c>
      <c r="AG126">
        <f>IF($B$1+30&gt;90,AF126,(AF126+IF($B$1+30&lt;=$B126,12*($B$7-$B$10),-12*($B$6+$B$10)*(1+$B$4)^30))*IF(AF126+IF($B$1+30&lt;=$B126,12*($B$7-$B$10),-12*($B$6+$B$10)*(1+$B$4)^30)&gt;0,1+$B$3,1))</f>
        <v/>
      </c>
      <c r="AH126">
        <f>IF($B$1+31&gt;90,AG126,(AG126+IF($B$1+31&lt;=$B126,12*($B$7-$B$10),-12*($B$6+$B$10)*(1+$B$4)^31))*IF(AG126+IF($B$1+31&lt;=$B126,12*($B$7-$B$10),-12*($B$6+$B$10)*(1+$B$4)^31)&gt;0,1+$B$3,1))</f>
        <v/>
      </c>
      <c r="AI126">
        <f>IF($B$1+32&gt;90,AH126,(AH126+IF($B$1+32&lt;=$B126,12*($B$7-$B$10),-12*($B$6+$B$10)*(1+$B$4)^32))*IF(AH126+IF($B$1+32&lt;=$B126,12*($B$7-$B$10),-12*($B$6+$B$10)*(1+$B$4)^32)&gt;0,1+$B$3,1))</f>
        <v/>
      </c>
      <c r="AJ126">
        <f>IF($B$1+33&gt;90,AI126,(AI126+IF($B$1+33&lt;=$B126,12*($B$7-$B$10),-12*($B$6+$B$10)*(1+$B$4)^33))*IF(AI126+IF($B$1+33&lt;=$B126,12*($B$7-$B$10),-12*($B$6+$B$10)*(1+$B$4)^33)&gt;0,1+$B$3,1))</f>
        <v/>
      </c>
      <c r="AK126">
        <f>IF($B$1+34&gt;90,AJ126,(AJ126+IF($B$1+34&lt;=$B126,12*($B$7-$B$10),-12*($B$6+$B$10)*(1+$B$4)^34))*IF(AJ126+IF($B$1+34&lt;=$B126,12*($B$7-$B$10),-12*($B$6+$B$10)*(1+$B$4)^34)&gt;0,1+$B$3,1))</f>
        <v/>
      </c>
      <c r="AL126">
        <f>IF($B$1+35&gt;90,AK126,(AK126+IF($B$1+35&lt;=$B126,12*($B$7-$B$10),-12*($B$6+$B$10)*(1+$B$4)^35))*IF(AK126+IF($B$1+35&lt;=$B126,12*($B$7-$B$10),-12*($B$6+$B$10)*(1+$B$4)^35)&gt;0,1+$B$3,1))</f>
        <v/>
      </c>
      <c r="AM126">
        <f>IF($B$1+36&gt;90,AL126,(AL126+IF($B$1+36&lt;=$B126,12*($B$7-$B$10),-12*($B$6+$B$10)*(1+$B$4)^36))*IF(AL126+IF($B$1+36&lt;=$B126,12*($B$7-$B$10),-12*($B$6+$B$10)*(1+$B$4)^36)&gt;0,1+$B$3,1))</f>
        <v/>
      </c>
      <c r="AN126">
        <f>IF($B$1+37&gt;90,AM126,(AM126+IF($B$1+37&lt;=$B126,12*($B$7-$B$10),-12*($B$6+$B$10)*(1+$B$4)^37))*IF(AM126+IF($B$1+37&lt;=$B126,12*($B$7-$B$10),-12*($B$6+$B$10)*(1+$B$4)^37)&gt;0,1+$B$3,1))</f>
        <v/>
      </c>
      <c r="AO126">
        <f>IF($B$1+38&gt;90,AN126,(AN126+IF($B$1+38&lt;=$B126,12*($B$7-$B$10),-12*($B$6+$B$10)*(1+$B$4)^38))*IF(AN126+IF($B$1+38&lt;=$B126,12*($B$7-$B$10),-12*($B$6+$B$10)*(1+$B$4)^38)&gt;0,1+$B$3,1))</f>
        <v/>
      </c>
      <c r="AP126">
        <f>IF($B$1+39&gt;90,AO126,(AO126+IF($B$1+39&lt;=$B126,12*($B$7-$B$10),-12*($B$6+$B$10)*(1+$B$4)^39))*IF(AO126+IF($B$1+39&lt;=$B126,12*($B$7-$B$10),-12*($B$6+$B$10)*(1+$B$4)^39)&gt;0,1+$B$3,1))</f>
        <v/>
      </c>
      <c r="AQ126">
        <f>IF($B$1+40&gt;90,AP126,(AP126+IF($B$1+40&lt;=$B126,12*($B$7-$B$10),-12*($B$6+$B$10)*(1+$B$4)^40))*IF(AP126+IF($B$1+40&lt;=$B126,12*($B$7-$B$10),-12*($B$6+$B$10)*(1+$B$4)^40)&gt;0,1+$B$3,1))</f>
        <v/>
      </c>
      <c r="AR126">
        <f>IF($B$1+41&gt;90,AQ126,(AQ126+IF($B$1+41&lt;=$B126,12*($B$7-$B$10),-12*($B$6+$B$10)*(1+$B$4)^41))*IF(AQ126+IF($B$1+41&lt;=$B126,12*($B$7-$B$10),-12*($B$6+$B$10)*(1+$B$4)^41)&gt;0,1+$B$3,1))</f>
        <v/>
      </c>
      <c r="AS126">
        <f>IF($B$1+42&gt;90,AR126,(AR126+IF($B$1+42&lt;=$B126,12*($B$7-$B$10),-12*($B$6+$B$10)*(1+$B$4)^42))*IF(AR126+IF($B$1+42&lt;=$B126,12*($B$7-$B$10),-12*($B$6+$B$10)*(1+$B$4)^42)&gt;0,1+$B$3,1))</f>
        <v/>
      </c>
      <c r="AT126">
        <f>IF($B$1+43&gt;90,AS126,(AS126+IF($B$1+43&lt;=$B126,12*($B$7-$B$10),-12*($B$6+$B$10)*(1+$B$4)^43))*IF(AS126+IF($B$1+43&lt;=$B126,12*($B$7-$B$10),-12*($B$6+$B$10)*(1+$B$4)^43)&gt;0,1+$B$3,1))</f>
        <v/>
      </c>
      <c r="AU126">
        <f>IF($B$1+44&gt;90,AT126,(AT126+IF($B$1+44&lt;=$B126,12*($B$7-$B$10),-12*($B$6+$B$10)*(1+$B$4)^44))*IF(AT126+IF($B$1+44&lt;=$B126,12*($B$7-$B$10),-12*($B$6+$B$10)*(1+$B$4)^44)&gt;0,1+$B$3,1))</f>
        <v/>
      </c>
      <c r="AV126">
        <f>IF($B$1+45&gt;90,AU126,(AU126+IF($B$1+45&lt;=$B126,12*($B$7-$B$10),-12*($B$6+$B$10)*(1+$B$4)^45))*IF(AU126+IF($B$1+45&lt;=$B126,12*($B$7-$B$10),-12*($B$6+$B$10)*(1+$B$4)^45)&gt;0,1+$B$3,1))</f>
        <v/>
      </c>
      <c r="AW126">
        <f>IF($B$1+46&gt;90,AV126,(AV126+IF($B$1+46&lt;=$B126,12*($B$7-$B$10),-12*($B$6+$B$10)*(1+$B$4)^46))*IF(AV126+IF($B$1+46&lt;=$B126,12*($B$7-$B$10),-12*($B$6+$B$10)*(1+$B$4)^46)&gt;0,1+$B$3,1))</f>
        <v/>
      </c>
      <c r="AX126">
        <f>IF($B$1+47&gt;90,AW126,(AW126+IF($B$1+47&lt;=$B126,12*($B$7-$B$10),-12*($B$6+$B$10)*(1+$B$4)^47))*IF(AW126+IF($B$1+47&lt;=$B126,12*($B$7-$B$10),-12*($B$6+$B$10)*(1+$B$4)^47)&gt;0,1+$B$3,1))</f>
        <v/>
      </c>
      <c r="AY126">
        <f>IF($B$1+48&gt;90,AX126,(AX126+IF($B$1+48&lt;=$B126,12*($B$7-$B$10),-12*($B$6+$B$10)*(1+$B$4)^48))*IF(AX126+IF($B$1+48&lt;=$B126,12*($B$7-$B$10),-12*($B$6+$B$10)*(1+$B$4)^48)&gt;0,1+$B$3,1))</f>
        <v/>
      </c>
      <c r="AZ126">
        <f>IF($B$1+49&gt;90,AY126,(AY126+IF($B$1+49&lt;=$B126,12*($B$7-$B$10),-12*($B$6+$B$10)*(1+$B$4)^49))*IF(AY126+IF($B$1+49&lt;=$B126,12*($B$7-$B$10),-12*($B$6+$B$10)*(1+$B$4)^49)&gt;0,1+$B$3,1))</f>
        <v/>
      </c>
      <c r="BA126">
        <f>IF($B$1+50&gt;90,AZ126,(AZ126+IF($B$1+50&lt;=$B126,12*($B$7-$B$10),-12*($B$6+$B$10)*(1+$B$4)^50))*IF(AZ126+IF($B$1+50&lt;=$B126,12*($B$7-$B$10),-12*($B$6+$B$10)*(1+$B$4)^50)&gt;0,1+$B$3,1))</f>
        <v/>
      </c>
      <c r="BB126">
        <f>IF($B$1+51&gt;90,BA126,(BA126+IF($B$1+51&lt;=$B126,12*($B$7-$B$10),-12*($B$6+$B$10)*(1+$B$4)^51))*IF(BA126+IF($B$1+51&lt;=$B126,12*($B$7-$B$10),-12*($B$6+$B$10)*(1+$B$4)^51)&gt;0,1+$B$3,1))</f>
        <v/>
      </c>
      <c r="BC126">
        <f>IF($B$1+52&gt;90,BB126,(BB126+IF($B$1+52&lt;=$B126,12*($B$7-$B$10),-12*($B$6+$B$10)*(1+$B$4)^52))*IF(BB126+IF($B$1+52&lt;=$B126,12*($B$7-$B$10),-12*($B$6+$B$10)*(1+$B$4)^52)&gt;0,1+$B$3,1))</f>
        <v/>
      </c>
      <c r="BD126">
        <f>IF($B$1+53&gt;90,BC126,(BC126+IF($B$1+53&lt;=$B126,12*($B$7-$B$10),-12*($B$6+$B$10)*(1+$B$4)^53))*IF(BC126+IF($B$1+53&lt;=$B126,12*($B$7-$B$10),-12*($B$6+$B$10)*(1+$B$4)^53)&gt;0,1+$B$3,1))</f>
        <v/>
      </c>
      <c r="BE126">
        <f>IF($B$1+54&gt;90,BD126,(BD126+IF($B$1+54&lt;=$B126,12*($B$7-$B$10),-12*($B$6+$B$10)*(1+$B$4)^54))*IF(BD126+IF($B$1+54&lt;=$B126,12*($B$7-$B$10),-12*($B$6+$B$10)*(1+$B$4)^54)&gt;0,1+$B$3,1))</f>
        <v/>
      </c>
      <c r="BF126">
        <f>IF($B$1+55&gt;90,BE126,(BE126+IF($B$1+55&lt;=$B126,12*($B$7-$B$10),-12*($B$6+$B$10)*(1+$B$4)^55))*IF(BE126+IF($B$1+55&lt;=$B126,12*($B$7-$B$10),-12*($B$6+$B$10)*(1+$B$4)^55)&gt;0,1+$B$3,1))</f>
        <v/>
      </c>
      <c r="BG126">
        <f>IF($B$1+56&gt;90,BF126,(BF126+IF($B$1+56&lt;=$B126,12*($B$7-$B$10),-12*($B$6+$B$10)*(1+$B$4)^56))*IF(BF126+IF($B$1+56&lt;=$B126,12*($B$7-$B$10),-12*($B$6+$B$10)*(1+$B$4)^56)&gt;0,1+$B$3,1))</f>
        <v/>
      </c>
      <c r="BH126">
        <f>IF($B$1+57&gt;90,BG126,(BG126+IF($B$1+57&lt;=$B126,12*($B$7-$B$10),-12*($B$6+$B$10)*(1+$B$4)^57))*IF(BG126+IF($B$1+57&lt;=$B126,12*($B$7-$B$10),-12*($B$6+$B$10)*(1+$B$4)^57)&gt;0,1+$B$3,1))</f>
        <v/>
      </c>
      <c r="BI126">
        <f>IF($B$1+58&gt;90,BH126,(BH126+IF($B$1+58&lt;=$B126,12*($B$7-$B$10),-12*($B$6+$B$10)*(1+$B$4)^58))*IF(BH126+IF($B$1+58&lt;=$B126,12*($B$7-$B$10),-12*($B$6+$B$10)*(1+$B$4)^58)&gt;0,1+$B$3,1))</f>
        <v/>
      </c>
      <c r="BJ126">
        <f>IF($B$1+59&gt;90,BI126,(BI126+IF($B$1+59&lt;=$B126,12*($B$7-$B$10),-12*($B$6+$B$10)*(1+$B$4)^59))*IF(BI126+IF($B$1+59&lt;=$B126,12*($B$7-$B$10),-12*($B$6+$B$10)*(1+$B$4)^59)&gt;0,1+$B$3,1))</f>
        <v/>
      </c>
      <c r="BK126">
        <f>IF($B$1+60&gt;90,BJ126,(BJ126+IF($B$1+60&lt;=$B126,12*($B$7-$B$10),-12*($B$6+$B$10)*(1+$B$4)^60))*IF(BJ126+IF($B$1+60&lt;=$B126,12*($B$7-$B$10),-12*($B$6+$B$10)*(1+$B$4)^60)&gt;0,1+$B$3,1))</f>
        <v/>
      </c>
      <c r="BL126">
        <f>IF($B$1+61&gt;90,BK126,(BK126+IF($B$1+61&lt;=$B126,12*($B$7-$B$10),-12*($B$6+$B$10)*(1+$B$4)^61))*IF(BK126+IF($B$1+61&lt;=$B126,12*($B$7-$B$10),-12*($B$6+$B$10)*(1+$B$4)^61)&gt;0,1+$B$3,1))</f>
        <v/>
      </c>
      <c r="BM126">
        <f>IF($B$1+62&gt;90,BL126,(BL126+IF($B$1+62&lt;=$B126,12*($B$7-$B$10),-12*($B$6+$B$10)*(1+$B$4)^62))*IF(BL126+IF($B$1+62&lt;=$B126,12*($B$7-$B$10),-12*($B$6+$B$10)*(1+$B$4)^62)&gt;0,1+$B$3,1))</f>
        <v/>
      </c>
      <c r="BN126">
        <f>IF($B$1+63&gt;90,BM126,(BM126+IF($B$1+63&lt;=$B126,12*($B$7-$B$10),-12*($B$6+$B$10)*(1+$B$4)^63))*IF(BM126+IF($B$1+63&lt;=$B126,12*($B$7-$B$10),-12*($B$6+$B$10)*(1+$B$4)^63)&gt;0,1+$B$3,1))</f>
        <v/>
      </c>
      <c r="BO126">
        <f>IF($B$1+64&gt;90,BN126,(BN126+IF($B$1+64&lt;=$B126,12*($B$7-$B$10),-12*($B$6+$B$10)*(1+$B$4)^64))*IF(BN126+IF($B$1+64&lt;=$B126,12*($B$7-$B$10),-12*($B$6+$B$10)*(1+$B$4)^64)&gt;0,1+$B$3,1))</f>
        <v/>
      </c>
      <c r="BP126">
        <f>IF($B$1+65&gt;90,BO126,(BO126+IF($B$1+65&lt;=$B126,12*($B$7-$B$10),-12*($B$6+$B$10)*(1+$B$4)^65))*IF(BO126+IF($B$1+65&lt;=$B126,12*($B$7-$B$10),-12*($B$6+$B$10)*(1+$B$4)^65)&gt;0,1+$B$3,1))</f>
        <v/>
      </c>
      <c r="BQ126">
        <f>IF($B$1+66&gt;90,BP126,(BP126+IF($B$1+66&lt;=$B126,12*($B$7-$B$10),-12*($B$6+$B$10)*(1+$B$4)^66))*IF(BP126+IF($B$1+66&lt;=$B126,12*($B$7-$B$10),-12*($B$6+$B$10)*(1+$B$4)^66)&gt;0,1+$B$3,1))</f>
        <v/>
      </c>
      <c r="BR126">
        <f>IF($B$1+67&gt;90,BQ126,(BQ126+IF($B$1+67&lt;=$B126,12*($B$7-$B$10),-12*($B$6+$B$10)*(1+$B$4)^67))*IF(BQ126+IF($B$1+67&lt;=$B126,12*($B$7-$B$10),-12*($B$6+$B$10)*(1+$B$4)^67)&gt;0,1+$B$3,1))</f>
        <v/>
      </c>
      <c r="BS126">
        <f>IF($B$1+68&gt;90,BR126,(BR126+IF($B$1+68&lt;=$B126,12*($B$7-$B$10),-12*($B$6+$B$10)*(1+$B$4)^68))*IF(BR126+IF($B$1+68&lt;=$B126,12*($B$7-$B$10),-12*($B$6+$B$10)*(1+$B$4)^68)&gt;0,1+$B$3,1))</f>
        <v/>
      </c>
      <c r="BT126">
        <f>IF($B$1+69&gt;90,BS126,(BS126+IF($B$1+69&lt;=$B126,12*($B$7-$B$10),-12*($B$6+$B$10)*(1+$B$4)^69))*IF(BS126+IF($B$1+69&lt;=$B126,12*($B$7-$B$10),-12*($B$6+$B$10)*(1+$B$4)^69)&gt;0,1+$B$3,1))</f>
        <v/>
      </c>
      <c r="BU126">
        <f>IF($B$1+70&gt;90,BT126,(BT126+IF($B$1+70&lt;=$B126,12*($B$7-$B$10),-12*($B$6+$B$10)*(1+$B$4)^70))*IF(BT126+IF($B$1+70&lt;=$B126,12*($B$7-$B$10),-12*($B$6+$B$10)*(1+$B$4)^70)&gt;0,1+$B$3,1))</f>
        <v/>
      </c>
      <c r="BV126">
        <f>BU126</f>
        <v/>
      </c>
      <c r="BW126">
        <f>IF(AND($B126&lt;=70,BV126&gt;0),$B126,999)</f>
        <v/>
      </c>
    </row>
    <row r="127">
      <c r="A127" t="n">
        <v>31</v>
      </c>
      <c r="B127">
        <f>$B$1+31</f>
        <v/>
      </c>
      <c r="C127">
        <f>$B$2</f>
        <v/>
      </c>
      <c r="D127">
        <f>IF($B$1+1&gt;90,C127,(C127+IF($B$1+1&lt;=$B127,12*($B$7-$B$10),-12*($B$6+$B$10)*(1+$B$4)^1))*IF(C127+IF($B$1+1&lt;=$B127,12*($B$7-$B$10),-12*($B$6+$B$10)*(1+$B$4)^1)&gt;0,1+$B$3,1))</f>
        <v/>
      </c>
      <c r="E127">
        <f>IF($B$1+2&gt;90,D127,(D127+IF($B$1+2&lt;=$B127,12*($B$7-$B$10),-12*($B$6+$B$10)*(1+$B$4)^2))*IF(D127+IF($B$1+2&lt;=$B127,12*($B$7-$B$10),-12*($B$6+$B$10)*(1+$B$4)^2)&gt;0,1+$B$3,1))</f>
        <v/>
      </c>
      <c r="F127">
        <f>IF($B$1+3&gt;90,E127,(E127+IF($B$1+3&lt;=$B127,12*($B$7-$B$10),-12*($B$6+$B$10)*(1+$B$4)^3))*IF(E127+IF($B$1+3&lt;=$B127,12*($B$7-$B$10),-12*($B$6+$B$10)*(1+$B$4)^3)&gt;0,1+$B$3,1))</f>
        <v/>
      </c>
      <c r="G127">
        <f>IF($B$1+4&gt;90,F127,(F127+IF($B$1+4&lt;=$B127,12*($B$7-$B$10),-12*($B$6+$B$10)*(1+$B$4)^4))*IF(F127+IF($B$1+4&lt;=$B127,12*($B$7-$B$10),-12*($B$6+$B$10)*(1+$B$4)^4)&gt;0,1+$B$3,1))</f>
        <v/>
      </c>
      <c r="H127">
        <f>IF($B$1+5&gt;90,G127,(G127+IF($B$1+5&lt;=$B127,12*($B$7-$B$10),-12*($B$6+$B$10)*(1+$B$4)^5))*IF(G127+IF($B$1+5&lt;=$B127,12*($B$7-$B$10),-12*($B$6+$B$10)*(1+$B$4)^5)&gt;0,1+$B$3,1))</f>
        <v/>
      </c>
      <c r="I127">
        <f>IF($B$1+6&gt;90,H127,(H127+IF($B$1+6&lt;=$B127,12*($B$7-$B$10),-12*($B$6+$B$10)*(1+$B$4)^6))*IF(H127+IF($B$1+6&lt;=$B127,12*($B$7-$B$10),-12*($B$6+$B$10)*(1+$B$4)^6)&gt;0,1+$B$3,1))</f>
        <v/>
      </c>
      <c r="J127">
        <f>IF($B$1+7&gt;90,I127,(I127+IF($B$1+7&lt;=$B127,12*($B$7-$B$10),-12*($B$6+$B$10)*(1+$B$4)^7))*IF(I127+IF($B$1+7&lt;=$B127,12*($B$7-$B$10),-12*($B$6+$B$10)*(1+$B$4)^7)&gt;0,1+$B$3,1))</f>
        <v/>
      </c>
      <c r="K127">
        <f>IF($B$1+8&gt;90,J127,(J127+IF($B$1+8&lt;=$B127,12*($B$7-$B$10),-12*($B$6+$B$10)*(1+$B$4)^8))*IF(J127+IF($B$1+8&lt;=$B127,12*($B$7-$B$10),-12*($B$6+$B$10)*(1+$B$4)^8)&gt;0,1+$B$3,1))</f>
        <v/>
      </c>
      <c r="L127">
        <f>IF($B$1+9&gt;90,K127,(K127+IF($B$1+9&lt;=$B127,12*($B$7-$B$10),-12*($B$6+$B$10)*(1+$B$4)^9))*IF(K127+IF($B$1+9&lt;=$B127,12*($B$7-$B$10),-12*($B$6+$B$10)*(1+$B$4)^9)&gt;0,1+$B$3,1))</f>
        <v/>
      </c>
      <c r="M127">
        <f>IF($B$1+10&gt;90,L127,(L127+IF($B$1+10&lt;=$B127,12*($B$7-$B$10),-12*($B$6+$B$10)*(1+$B$4)^10))*IF(L127+IF($B$1+10&lt;=$B127,12*($B$7-$B$10),-12*($B$6+$B$10)*(1+$B$4)^10)&gt;0,1+$B$3,1))</f>
        <v/>
      </c>
      <c r="N127">
        <f>IF($B$1+11&gt;90,M127,(M127+IF($B$1+11&lt;=$B127,12*($B$7-$B$10),-12*($B$6+$B$10)*(1+$B$4)^11))*IF(M127+IF($B$1+11&lt;=$B127,12*($B$7-$B$10),-12*($B$6+$B$10)*(1+$B$4)^11)&gt;0,1+$B$3,1))</f>
        <v/>
      </c>
      <c r="O127">
        <f>IF($B$1+12&gt;90,N127,(N127+IF($B$1+12&lt;=$B127,12*($B$7-$B$10),-12*($B$6+$B$10)*(1+$B$4)^12))*IF(N127+IF($B$1+12&lt;=$B127,12*($B$7-$B$10),-12*($B$6+$B$10)*(1+$B$4)^12)&gt;0,1+$B$3,1))</f>
        <v/>
      </c>
      <c r="P127">
        <f>IF($B$1+13&gt;90,O127,(O127+IF($B$1+13&lt;=$B127,12*($B$7-$B$10),-12*($B$6+$B$10)*(1+$B$4)^13))*IF(O127+IF($B$1+13&lt;=$B127,12*($B$7-$B$10),-12*($B$6+$B$10)*(1+$B$4)^13)&gt;0,1+$B$3,1))</f>
        <v/>
      </c>
      <c r="Q127">
        <f>IF($B$1+14&gt;90,P127,(P127+IF($B$1+14&lt;=$B127,12*($B$7-$B$10),-12*($B$6+$B$10)*(1+$B$4)^14))*IF(P127+IF($B$1+14&lt;=$B127,12*($B$7-$B$10),-12*($B$6+$B$10)*(1+$B$4)^14)&gt;0,1+$B$3,1))</f>
        <v/>
      </c>
      <c r="R127">
        <f>IF($B$1+15&gt;90,Q127,(Q127+IF($B$1+15&lt;=$B127,12*($B$7-$B$10),-12*($B$6+$B$10)*(1+$B$4)^15))*IF(Q127+IF($B$1+15&lt;=$B127,12*($B$7-$B$10),-12*($B$6+$B$10)*(1+$B$4)^15)&gt;0,1+$B$3,1))</f>
        <v/>
      </c>
      <c r="S127">
        <f>IF($B$1+16&gt;90,R127,(R127+IF($B$1+16&lt;=$B127,12*($B$7-$B$10),-12*($B$6+$B$10)*(1+$B$4)^16))*IF(R127+IF($B$1+16&lt;=$B127,12*($B$7-$B$10),-12*($B$6+$B$10)*(1+$B$4)^16)&gt;0,1+$B$3,1))</f>
        <v/>
      </c>
      <c r="T127">
        <f>IF($B$1+17&gt;90,S127,(S127+IF($B$1+17&lt;=$B127,12*($B$7-$B$10),-12*($B$6+$B$10)*(1+$B$4)^17))*IF(S127+IF($B$1+17&lt;=$B127,12*($B$7-$B$10),-12*($B$6+$B$10)*(1+$B$4)^17)&gt;0,1+$B$3,1))</f>
        <v/>
      </c>
      <c r="U127">
        <f>IF($B$1+18&gt;90,T127,(T127+IF($B$1+18&lt;=$B127,12*($B$7-$B$10),-12*($B$6+$B$10)*(1+$B$4)^18))*IF(T127+IF($B$1+18&lt;=$B127,12*($B$7-$B$10),-12*($B$6+$B$10)*(1+$B$4)^18)&gt;0,1+$B$3,1))</f>
        <v/>
      </c>
      <c r="V127">
        <f>IF($B$1+19&gt;90,U127,(U127+IF($B$1+19&lt;=$B127,12*($B$7-$B$10),-12*($B$6+$B$10)*(1+$B$4)^19))*IF(U127+IF($B$1+19&lt;=$B127,12*($B$7-$B$10),-12*($B$6+$B$10)*(1+$B$4)^19)&gt;0,1+$B$3,1))</f>
        <v/>
      </c>
      <c r="W127">
        <f>IF($B$1+20&gt;90,V127,(V127+IF($B$1+20&lt;=$B127,12*($B$7-$B$10),-12*($B$6+$B$10)*(1+$B$4)^20))*IF(V127+IF($B$1+20&lt;=$B127,12*($B$7-$B$10),-12*($B$6+$B$10)*(1+$B$4)^20)&gt;0,1+$B$3,1))</f>
        <v/>
      </c>
      <c r="X127">
        <f>IF($B$1+21&gt;90,W127,(W127+IF($B$1+21&lt;=$B127,12*($B$7-$B$10),-12*($B$6+$B$10)*(1+$B$4)^21))*IF(W127+IF($B$1+21&lt;=$B127,12*($B$7-$B$10),-12*($B$6+$B$10)*(1+$B$4)^21)&gt;0,1+$B$3,1))</f>
        <v/>
      </c>
      <c r="Y127">
        <f>IF($B$1+22&gt;90,X127,(X127+IF($B$1+22&lt;=$B127,12*($B$7-$B$10),-12*($B$6+$B$10)*(1+$B$4)^22))*IF(X127+IF($B$1+22&lt;=$B127,12*($B$7-$B$10),-12*($B$6+$B$10)*(1+$B$4)^22)&gt;0,1+$B$3,1))</f>
        <v/>
      </c>
      <c r="Z127">
        <f>IF($B$1+23&gt;90,Y127,(Y127+IF($B$1+23&lt;=$B127,12*($B$7-$B$10),-12*($B$6+$B$10)*(1+$B$4)^23))*IF(Y127+IF($B$1+23&lt;=$B127,12*($B$7-$B$10),-12*($B$6+$B$10)*(1+$B$4)^23)&gt;0,1+$B$3,1))</f>
        <v/>
      </c>
      <c r="AA127">
        <f>IF($B$1+24&gt;90,Z127,(Z127+IF($B$1+24&lt;=$B127,12*($B$7-$B$10),-12*($B$6+$B$10)*(1+$B$4)^24))*IF(Z127+IF($B$1+24&lt;=$B127,12*($B$7-$B$10),-12*($B$6+$B$10)*(1+$B$4)^24)&gt;0,1+$B$3,1))</f>
        <v/>
      </c>
      <c r="AB127">
        <f>IF($B$1+25&gt;90,AA127,(AA127+IF($B$1+25&lt;=$B127,12*($B$7-$B$10),-12*($B$6+$B$10)*(1+$B$4)^25))*IF(AA127+IF($B$1+25&lt;=$B127,12*($B$7-$B$10),-12*($B$6+$B$10)*(1+$B$4)^25)&gt;0,1+$B$3,1))</f>
        <v/>
      </c>
      <c r="AC127">
        <f>IF($B$1+26&gt;90,AB127,(AB127+IF($B$1+26&lt;=$B127,12*($B$7-$B$10),-12*($B$6+$B$10)*(1+$B$4)^26))*IF(AB127+IF($B$1+26&lt;=$B127,12*($B$7-$B$10),-12*($B$6+$B$10)*(1+$B$4)^26)&gt;0,1+$B$3,1))</f>
        <v/>
      </c>
      <c r="AD127">
        <f>IF($B$1+27&gt;90,AC127,(AC127+IF($B$1+27&lt;=$B127,12*($B$7-$B$10),-12*($B$6+$B$10)*(1+$B$4)^27))*IF(AC127+IF($B$1+27&lt;=$B127,12*($B$7-$B$10),-12*($B$6+$B$10)*(1+$B$4)^27)&gt;0,1+$B$3,1))</f>
        <v/>
      </c>
      <c r="AE127">
        <f>IF($B$1+28&gt;90,AD127,(AD127+IF($B$1+28&lt;=$B127,12*($B$7-$B$10),-12*($B$6+$B$10)*(1+$B$4)^28))*IF(AD127+IF($B$1+28&lt;=$B127,12*($B$7-$B$10),-12*($B$6+$B$10)*(1+$B$4)^28)&gt;0,1+$B$3,1))</f>
        <v/>
      </c>
      <c r="AF127">
        <f>IF($B$1+29&gt;90,AE127,(AE127+IF($B$1+29&lt;=$B127,12*($B$7-$B$10),-12*($B$6+$B$10)*(1+$B$4)^29))*IF(AE127+IF($B$1+29&lt;=$B127,12*($B$7-$B$10),-12*($B$6+$B$10)*(1+$B$4)^29)&gt;0,1+$B$3,1))</f>
        <v/>
      </c>
      <c r="AG127">
        <f>IF($B$1+30&gt;90,AF127,(AF127+IF($B$1+30&lt;=$B127,12*($B$7-$B$10),-12*($B$6+$B$10)*(1+$B$4)^30))*IF(AF127+IF($B$1+30&lt;=$B127,12*($B$7-$B$10),-12*($B$6+$B$10)*(1+$B$4)^30)&gt;0,1+$B$3,1))</f>
        <v/>
      </c>
      <c r="AH127">
        <f>IF($B$1+31&gt;90,AG127,(AG127+IF($B$1+31&lt;=$B127,12*($B$7-$B$10),-12*($B$6+$B$10)*(1+$B$4)^31))*IF(AG127+IF($B$1+31&lt;=$B127,12*($B$7-$B$10),-12*($B$6+$B$10)*(1+$B$4)^31)&gt;0,1+$B$3,1))</f>
        <v/>
      </c>
      <c r="AI127">
        <f>IF($B$1+32&gt;90,AH127,(AH127+IF($B$1+32&lt;=$B127,12*($B$7-$B$10),-12*($B$6+$B$10)*(1+$B$4)^32))*IF(AH127+IF($B$1+32&lt;=$B127,12*($B$7-$B$10),-12*($B$6+$B$10)*(1+$B$4)^32)&gt;0,1+$B$3,1))</f>
        <v/>
      </c>
      <c r="AJ127">
        <f>IF($B$1+33&gt;90,AI127,(AI127+IF($B$1+33&lt;=$B127,12*($B$7-$B$10),-12*($B$6+$B$10)*(1+$B$4)^33))*IF(AI127+IF($B$1+33&lt;=$B127,12*($B$7-$B$10),-12*($B$6+$B$10)*(1+$B$4)^33)&gt;0,1+$B$3,1))</f>
        <v/>
      </c>
      <c r="AK127">
        <f>IF($B$1+34&gt;90,AJ127,(AJ127+IF($B$1+34&lt;=$B127,12*($B$7-$B$10),-12*($B$6+$B$10)*(1+$B$4)^34))*IF(AJ127+IF($B$1+34&lt;=$B127,12*($B$7-$B$10),-12*($B$6+$B$10)*(1+$B$4)^34)&gt;0,1+$B$3,1))</f>
        <v/>
      </c>
      <c r="AL127">
        <f>IF($B$1+35&gt;90,AK127,(AK127+IF($B$1+35&lt;=$B127,12*($B$7-$B$10),-12*($B$6+$B$10)*(1+$B$4)^35))*IF(AK127+IF($B$1+35&lt;=$B127,12*($B$7-$B$10),-12*($B$6+$B$10)*(1+$B$4)^35)&gt;0,1+$B$3,1))</f>
        <v/>
      </c>
      <c r="AM127">
        <f>IF($B$1+36&gt;90,AL127,(AL127+IF($B$1+36&lt;=$B127,12*($B$7-$B$10),-12*($B$6+$B$10)*(1+$B$4)^36))*IF(AL127+IF($B$1+36&lt;=$B127,12*($B$7-$B$10),-12*($B$6+$B$10)*(1+$B$4)^36)&gt;0,1+$B$3,1))</f>
        <v/>
      </c>
      <c r="AN127">
        <f>IF($B$1+37&gt;90,AM127,(AM127+IF($B$1+37&lt;=$B127,12*($B$7-$B$10),-12*($B$6+$B$10)*(1+$B$4)^37))*IF(AM127+IF($B$1+37&lt;=$B127,12*($B$7-$B$10),-12*($B$6+$B$10)*(1+$B$4)^37)&gt;0,1+$B$3,1))</f>
        <v/>
      </c>
      <c r="AO127">
        <f>IF($B$1+38&gt;90,AN127,(AN127+IF($B$1+38&lt;=$B127,12*($B$7-$B$10),-12*($B$6+$B$10)*(1+$B$4)^38))*IF(AN127+IF($B$1+38&lt;=$B127,12*($B$7-$B$10),-12*($B$6+$B$10)*(1+$B$4)^38)&gt;0,1+$B$3,1))</f>
        <v/>
      </c>
      <c r="AP127">
        <f>IF($B$1+39&gt;90,AO127,(AO127+IF($B$1+39&lt;=$B127,12*($B$7-$B$10),-12*($B$6+$B$10)*(1+$B$4)^39))*IF(AO127+IF($B$1+39&lt;=$B127,12*($B$7-$B$10),-12*($B$6+$B$10)*(1+$B$4)^39)&gt;0,1+$B$3,1))</f>
        <v/>
      </c>
      <c r="AQ127">
        <f>IF($B$1+40&gt;90,AP127,(AP127+IF($B$1+40&lt;=$B127,12*($B$7-$B$10),-12*($B$6+$B$10)*(1+$B$4)^40))*IF(AP127+IF($B$1+40&lt;=$B127,12*($B$7-$B$10),-12*($B$6+$B$10)*(1+$B$4)^40)&gt;0,1+$B$3,1))</f>
        <v/>
      </c>
      <c r="AR127">
        <f>IF($B$1+41&gt;90,AQ127,(AQ127+IF($B$1+41&lt;=$B127,12*($B$7-$B$10),-12*($B$6+$B$10)*(1+$B$4)^41))*IF(AQ127+IF($B$1+41&lt;=$B127,12*($B$7-$B$10),-12*($B$6+$B$10)*(1+$B$4)^41)&gt;0,1+$B$3,1))</f>
        <v/>
      </c>
      <c r="AS127">
        <f>IF($B$1+42&gt;90,AR127,(AR127+IF($B$1+42&lt;=$B127,12*($B$7-$B$10),-12*($B$6+$B$10)*(1+$B$4)^42))*IF(AR127+IF($B$1+42&lt;=$B127,12*($B$7-$B$10),-12*($B$6+$B$10)*(1+$B$4)^42)&gt;0,1+$B$3,1))</f>
        <v/>
      </c>
      <c r="AT127">
        <f>IF($B$1+43&gt;90,AS127,(AS127+IF($B$1+43&lt;=$B127,12*($B$7-$B$10),-12*($B$6+$B$10)*(1+$B$4)^43))*IF(AS127+IF($B$1+43&lt;=$B127,12*($B$7-$B$10),-12*($B$6+$B$10)*(1+$B$4)^43)&gt;0,1+$B$3,1))</f>
        <v/>
      </c>
      <c r="AU127">
        <f>IF($B$1+44&gt;90,AT127,(AT127+IF($B$1+44&lt;=$B127,12*($B$7-$B$10),-12*($B$6+$B$10)*(1+$B$4)^44))*IF(AT127+IF($B$1+44&lt;=$B127,12*($B$7-$B$10),-12*($B$6+$B$10)*(1+$B$4)^44)&gt;0,1+$B$3,1))</f>
        <v/>
      </c>
      <c r="AV127">
        <f>IF($B$1+45&gt;90,AU127,(AU127+IF($B$1+45&lt;=$B127,12*($B$7-$B$10),-12*($B$6+$B$10)*(1+$B$4)^45))*IF(AU127+IF($B$1+45&lt;=$B127,12*($B$7-$B$10),-12*($B$6+$B$10)*(1+$B$4)^45)&gt;0,1+$B$3,1))</f>
        <v/>
      </c>
      <c r="AW127">
        <f>IF($B$1+46&gt;90,AV127,(AV127+IF($B$1+46&lt;=$B127,12*($B$7-$B$10),-12*($B$6+$B$10)*(1+$B$4)^46))*IF(AV127+IF($B$1+46&lt;=$B127,12*($B$7-$B$10),-12*($B$6+$B$10)*(1+$B$4)^46)&gt;0,1+$B$3,1))</f>
        <v/>
      </c>
      <c r="AX127">
        <f>IF($B$1+47&gt;90,AW127,(AW127+IF($B$1+47&lt;=$B127,12*($B$7-$B$10),-12*($B$6+$B$10)*(1+$B$4)^47))*IF(AW127+IF($B$1+47&lt;=$B127,12*($B$7-$B$10),-12*($B$6+$B$10)*(1+$B$4)^47)&gt;0,1+$B$3,1))</f>
        <v/>
      </c>
      <c r="AY127">
        <f>IF($B$1+48&gt;90,AX127,(AX127+IF($B$1+48&lt;=$B127,12*($B$7-$B$10),-12*($B$6+$B$10)*(1+$B$4)^48))*IF(AX127+IF($B$1+48&lt;=$B127,12*($B$7-$B$10),-12*($B$6+$B$10)*(1+$B$4)^48)&gt;0,1+$B$3,1))</f>
        <v/>
      </c>
      <c r="AZ127">
        <f>IF($B$1+49&gt;90,AY127,(AY127+IF($B$1+49&lt;=$B127,12*($B$7-$B$10),-12*($B$6+$B$10)*(1+$B$4)^49))*IF(AY127+IF($B$1+49&lt;=$B127,12*($B$7-$B$10),-12*($B$6+$B$10)*(1+$B$4)^49)&gt;0,1+$B$3,1))</f>
        <v/>
      </c>
      <c r="BA127">
        <f>IF($B$1+50&gt;90,AZ127,(AZ127+IF($B$1+50&lt;=$B127,12*($B$7-$B$10),-12*($B$6+$B$10)*(1+$B$4)^50))*IF(AZ127+IF($B$1+50&lt;=$B127,12*($B$7-$B$10),-12*($B$6+$B$10)*(1+$B$4)^50)&gt;0,1+$B$3,1))</f>
        <v/>
      </c>
      <c r="BB127">
        <f>IF($B$1+51&gt;90,BA127,(BA127+IF($B$1+51&lt;=$B127,12*($B$7-$B$10),-12*($B$6+$B$10)*(1+$B$4)^51))*IF(BA127+IF($B$1+51&lt;=$B127,12*($B$7-$B$10),-12*($B$6+$B$10)*(1+$B$4)^51)&gt;0,1+$B$3,1))</f>
        <v/>
      </c>
      <c r="BC127">
        <f>IF($B$1+52&gt;90,BB127,(BB127+IF($B$1+52&lt;=$B127,12*($B$7-$B$10),-12*($B$6+$B$10)*(1+$B$4)^52))*IF(BB127+IF($B$1+52&lt;=$B127,12*($B$7-$B$10),-12*($B$6+$B$10)*(1+$B$4)^52)&gt;0,1+$B$3,1))</f>
        <v/>
      </c>
      <c r="BD127">
        <f>IF($B$1+53&gt;90,BC127,(BC127+IF($B$1+53&lt;=$B127,12*($B$7-$B$10),-12*($B$6+$B$10)*(1+$B$4)^53))*IF(BC127+IF($B$1+53&lt;=$B127,12*($B$7-$B$10),-12*($B$6+$B$10)*(1+$B$4)^53)&gt;0,1+$B$3,1))</f>
        <v/>
      </c>
      <c r="BE127">
        <f>IF($B$1+54&gt;90,BD127,(BD127+IF($B$1+54&lt;=$B127,12*($B$7-$B$10),-12*($B$6+$B$10)*(1+$B$4)^54))*IF(BD127+IF($B$1+54&lt;=$B127,12*($B$7-$B$10),-12*($B$6+$B$10)*(1+$B$4)^54)&gt;0,1+$B$3,1))</f>
        <v/>
      </c>
      <c r="BF127">
        <f>IF($B$1+55&gt;90,BE127,(BE127+IF($B$1+55&lt;=$B127,12*($B$7-$B$10),-12*($B$6+$B$10)*(1+$B$4)^55))*IF(BE127+IF($B$1+55&lt;=$B127,12*($B$7-$B$10),-12*($B$6+$B$10)*(1+$B$4)^55)&gt;0,1+$B$3,1))</f>
        <v/>
      </c>
      <c r="BG127">
        <f>IF($B$1+56&gt;90,BF127,(BF127+IF($B$1+56&lt;=$B127,12*($B$7-$B$10),-12*($B$6+$B$10)*(1+$B$4)^56))*IF(BF127+IF($B$1+56&lt;=$B127,12*($B$7-$B$10),-12*($B$6+$B$10)*(1+$B$4)^56)&gt;0,1+$B$3,1))</f>
        <v/>
      </c>
      <c r="BH127">
        <f>IF($B$1+57&gt;90,BG127,(BG127+IF($B$1+57&lt;=$B127,12*($B$7-$B$10),-12*($B$6+$B$10)*(1+$B$4)^57))*IF(BG127+IF($B$1+57&lt;=$B127,12*($B$7-$B$10),-12*($B$6+$B$10)*(1+$B$4)^57)&gt;0,1+$B$3,1))</f>
        <v/>
      </c>
      <c r="BI127">
        <f>IF($B$1+58&gt;90,BH127,(BH127+IF($B$1+58&lt;=$B127,12*($B$7-$B$10),-12*($B$6+$B$10)*(1+$B$4)^58))*IF(BH127+IF($B$1+58&lt;=$B127,12*($B$7-$B$10),-12*($B$6+$B$10)*(1+$B$4)^58)&gt;0,1+$B$3,1))</f>
        <v/>
      </c>
      <c r="BJ127">
        <f>IF($B$1+59&gt;90,BI127,(BI127+IF($B$1+59&lt;=$B127,12*($B$7-$B$10),-12*($B$6+$B$10)*(1+$B$4)^59))*IF(BI127+IF($B$1+59&lt;=$B127,12*($B$7-$B$10),-12*($B$6+$B$10)*(1+$B$4)^59)&gt;0,1+$B$3,1))</f>
        <v/>
      </c>
      <c r="BK127">
        <f>IF($B$1+60&gt;90,BJ127,(BJ127+IF($B$1+60&lt;=$B127,12*($B$7-$B$10),-12*($B$6+$B$10)*(1+$B$4)^60))*IF(BJ127+IF($B$1+60&lt;=$B127,12*($B$7-$B$10),-12*($B$6+$B$10)*(1+$B$4)^60)&gt;0,1+$B$3,1))</f>
        <v/>
      </c>
      <c r="BL127">
        <f>IF($B$1+61&gt;90,BK127,(BK127+IF($B$1+61&lt;=$B127,12*($B$7-$B$10),-12*($B$6+$B$10)*(1+$B$4)^61))*IF(BK127+IF($B$1+61&lt;=$B127,12*($B$7-$B$10),-12*($B$6+$B$10)*(1+$B$4)^61)&gt;0,1+$B$3,1))</f>
        <v/>
      </c>
      <c r="BM127">
        <f>IF($B$1+62&gt;90,BL127,(BL127+IF($B$1+62&lt;=$B127,12*($B$7-$B$10),-12*($B$6+$B$10)*(1+$B$4)^62))*IF(BL127+IF($B$1+62&lt;=$B127,12*($B$7-$B$10),-12*($B$6+$B$10)*(1+$B$4)^62)&gt;0,1+$B$3,1))</f>
        <v/>
      </c>
      <c r="BN127">
        <f>IF($B$1+63&gt;90,BM127,(BM127+IF($B$1+63&lt;=$B127,12*($B$7-$B$10),-12*($B$6+$B$10)*(1+$B$4)^63))*IF(BM127+IF($B$1+63&lt;=$B127,12*($B$7-$B$10),-12*($B$6+$B$10)*(1+$B$4)^63)&gt;0,1+$B$3,1))</f>
        <v/>
      </c>
      <c r="BO127">
        <f>IF($B$1+64&gt;90,BN127,(BN127+IF($B$1+64&lt;=$B127,12*($B$7-$B$10),-12*($B$6+$B$10)*(1+$B$4)^64))*IF(BN127+IF($B$1+64&lt;=$B127,12*($B$7-$B$10),-12*($B$6+$B$10)*(1+$B$4)^64)&gt;0,1+$B$3,1))</f>
        <v/>
      </c>
      <c r="BP127">
        <f>IF($B$1+65&gt;90,BO127,(BO127+IF($B$1+65&lt;=$B127,12*($B$7-$B$10),-12*($B$6+$B$10)*(1+$B$4)^65))*IF(BO127+IF($B$1+65&lt;=$B127,12*($B$7-$B$10),-12*($B$6+$B$10)*(1+$B$4)^65)&gt;0,1+$B$3,1))</f>
        <v/>
      </c>
      <c r="BQ127">
        <f>IF($B$1+66&gt;90,BP127,(BP127+IF($B$1+66&lt;=$B127,12*($B$7-$B$10),-12*($B$6+$B$10)*(1+$B$4)^66))*IF(BP127+IF($B$1+66&lt;=$B127,12*($B$7-$B$10),-12*($B$6+$B$10)*(1+$B$4)^66)&gt;0,1+$B$3,1))</f>
        <v/>
      </c>
      <c r="BR127">
        <f>IF($B$1+67&gt;90,BQ127,(BQ127+IF($B$1+67&lt;=$B127,12*($B$7-$B$10),-12*($B$6+$B$10)*(1+$B$4)^67))*IF(BQ127+IF($B$1+67&lt;=$B127,12*($B$7-$B$10),-12*($B$6+$B$10)*(1+$B$4)^67)&gt;0,1+$B$3,1))</f>
        <v/>
      </c>
      <c r="BS127">
        <f>IF($B$1+68&gt;90,BR127,(BR127+IF($B$1+68&lt;=$B127,12*($B$7-$B$10),-12*($B$6+$B$10)*(1+$B$4)^68))*IF(BR127+IF($B$1+68&lt;=$B127,12*($B$7-$B$10),-12*($B$6+$B$10)*(1+$B$4)^68)&gt;0,1+$B$3,1))</f>
        <v/>
      </c>
      <c r="BT127">
        <f>IF($B$1+69&gt;90,BS127,(BS127+IF($B$1+69&lt;=$B127,12*($B$7-$B$10),-12*($B$6+$B$10)*(1+$B$4)^69))*IF(BS127+IF($B$1+69&lt;=$B127,12*($B$7-$B$10),-12*($B$6+$B$10)*(1+$B$4)^69)&gt;0,1+$B$3,1))</f>
        <v/>
      </c>
      <c r="BU127">
        <f>IF($B$1+70&gt;90,BT127,(BT127+IF($B$1+70&lt;=$B127,12*($B$7-$B$10),-12*($B$6+$B$10)*(1+$B$4)^70))*IF(BT127+IF($B$1+70&lt;=$B127,12*($B$7-$B$10),-12*($B$6+$B$10)*(1+$B$4)^70)&gt;0,1+$B$3,1))</f>
        <v/>
      </c>
      <c r="BV127">
        <f>BU127</f>
        <v/>
      </c>
      <c r="BW127">
        <f>IF(AND($B127&lt;=70,BV127&gt;0),$B127,999)</f>
        <v/>
      </c>
    </row>
    <row r="128">
      <c r="A128" t="n">
        <v>32</v>
      </c>
      <c r="B128">
        <f>$B$1+32</f>
        <v/>
      </c>
      <c r="C128">
        <f>$B$2</f>
        <v/>
      </c>
      <c r="D128">
        <f>IF($B$1+1&gt;90,C128,(C128+IF($B$1+1&lt;=$B128,12*($B$7-$B$10),-12*($B$6+$B$10)*(1+$B$4)^1))*IF(C128+IF($B$1+1&lt;=$B128,12*($B$7-$B$10),-12*($B$6+$B$10)*(1+$B$4)^1)&gt;0,1+$B$3,1))</f>
        <v/>
      </c>
      <c r="E128">
        <f>IF($B$1+2&gt;90,D128,(D128+IF($B$1+2&lt;=$B128,12*($B$7-$B$10),-12*($B$6+$B$10)*(1+$B$4)^2))*IF(D128+IF($B$1+2&lt;=$B128,12*($B$7-$B$10),-12*($B$6+$B$10)*(1+$B$4)^2)&gt;0,1+$B$3,1))</f>
        <v/>
      </c>
      <c r="F128">
        <f>IF($B$1+3&gt;90,E128,(E128+IF($B$1+3&lt;=$B128,12*($B$7-$B$10),-12*($B$6+$B$10)*(1+$B$4)^3))*IF(E128+IF($B$1+3&lt;=$B128,12*($B$7-$B$10),-12*($B$6+$B$10)*(1+$B$4)^3)&gt;0,1+$B$3,1))</f>
        <v/>
      </c>
      <c r="G128">
        <f>IF($B$1+4&gt;90,F128,(F128+IF($B$1+4&lt;=$B128,12*($B$7-$B$10),-12*($B$6+$B$10)*(1+$B$4)^4))*IF(F128+IF($B$1+4&lt;=$B128,12*($B$7-$B$10),-12*($B$6+$B$10)*(1+$B$4)^4)&gt;0,1+$B$3,1))</f>
        <v/>
      </c>
      <c r="H128">
        <f>IF($B$1+5&gt;90,G128,(G128+IF($B$1+5&lt;=$B128,12*($B$7-$B$10),-12*($B$6+$B$10)*(1+$B$4)^5))*IF(G128+IF($B$1+5&lt;=$B128,12*($B$7-$B$10),-12*($B$6+$B$10)*(1+$B$4)^5)&gt;0,1+$B$3,1))</f>
        <v/>
      </c>
      <c r="I128">
        <f>IF($B$1+6&gt;90,H128,(H128+IF($B$1+6&lt;=$B128,12*($B$7-$B$10),-12*($B$6+$B$10)*(1+$B$4)^6))*IF(H128+IF($B$1+6&lt;=$B128,12*($B$7-$B$10),-12*($B$6+$B$10)*(1+$B$4)^6)&gt;0,1+$B$3,1))</f>
        <v/>
      </c>
      <c r="J128">
        <f>IF($B$1+7&gt;90,I128,(I128+IF($B$1+7&lt;=$B128,12*($B$7-$B$10),-12*($B$6+$B$10)*(1+$B$4)^7))*IF(I128+IF($B$1+7&lt;=$B128,12*($B$7-$B$10),-12*($B$6+$B$10)*(1+$B$4)^7)&gt;0,1+$B$3,1))</f>
        <v/>
      </c>
      <c r="K128">
        <f>IF($B$1+8&gt;90,J128,(J128+IF($B$1+8&lt;=$B128,12*($B$7-$B$10),-12*($B$6+$B$10)*(1+$B$4)^8))*IF(J128+IF($B$1+8&lt;=$B128,12*($B$7-$B$10),-12*($B$6+$B$10)*(1+$B$4)^8)&gt;0,1+$B$3,1))</f>
        <v/>
      </c>
      <c r="L128">
        <f>IF($B$1+9&gt;90,K128,(K128+IF($B$1+9&lt;=$B128,12*($B$7-$B$10),-12*($B$6+$B$10)*(1+$B$4)^9))*IF(K128+IF($B$1+9&lt;=$B128,12*($B$7-$B$10),-12*($B$6+$B$10)*(1+$B$4)^9)&gt;0,1+$B$3,1))</f>
        <v/>
      </c>
      <c r="M128">
        <f>IF($B$1+10&gt;90,L128,(L128+IF($B$1+10&lt;=$B128,12*($B$7-$B$10),-12*($B$6+$B$10)*(1+$B$4)^10))*IF(L128+IF($B$1+10&lt;=$B128,12*($B$7-$B$10),-12*($B$6+$B$10)*(1+$B$4)^10)&gt;0,1+$B$3,1))</f>
        <v/>
      </c>
      <c r="N128">
        <f>IF($B$1+11&gt;90,M128,(M128+IF($B$1+11&lt;=$B128,12*($B$7-$B$10),-12*($B$6+$B$10)*(1+$B$4)^11))*IF(M128+IF($B$1+11&lt;=$B128,12*($B$7-$B$10),-12*($B$6+$B$10)*(1+$B$4)^11)&gt;0,1+$B$3,1))</f>
        <v/>
      </c>
      <c r="O128">
        <f>IF($B$1+12&gt;90,N128,(N128+IF($B$1+12&lt;=$B128,12*($B$7-$B$10),-12*($B$6+$B$10)*(1+$B$4)^12))*IF(N128+IF($B$1+12&lt;=$B128,12*($B$7-$B$10),-12*($B$6+$B$10)*(1+$B$4)^12)&gt;0,1+$B$3,1))</f>
        <v/>
      </c>
      <c r="P128">
        <f>IF($B$1+13&gt;90,O128,(O128+IF($B$1+13&lt;=$B128,12*($B$7-$B$10),-12*($B$6+$B$10)*(1+$B$4)^13))*IF(O128+IF($B$1+13&lt;=$B128,12*($B$7-$B$10),-12*($B$6+$B$10)*(1+$B$4)^13)&gt;0,1+$B$3,1))</f>
        <v/>
      </c>
      <c r="Q128">
        <f>IF($B$1+14&gt;90,P128,(P128+IF($B$1+14&lt;=$B128,12*($B$7-$B$10),-12*($B$6+$B$10)*(1+$B$4)^14))*IF(P128+IF($B$1+14&lt;=$B128,12*($B$7-$B$10),-12*($B$6+$B$10)*(1+$B$4)^14)&gt;0,1+$B$3,1))</f>
        <v/>
      </c>
      <c r="R128">
        <f>IF($B$1+15&gt;90,Q128,(Q128+IF($B$1+15&lt;=$B128,12*($B$7-$B$10),-12*($B$6+$B$10)*(1+$B$4)^15))*IF(Q128+IF($B$1+15&lt;=$B128,12*($B$7-$B$10),-12*($B$6+$B$10)*(1+$B$4)^15)&gt;0,1+$B$3,1))</f>
        <v/>
      </c>
      <c r="S128">
        <f>IF($B$1+16&gt;90,R128,(R128+IF($B$1+16&lt;=$B128,12*($B$7-$B$10),-12*($B$6+$B$10)*(1+$B$4)^16))*IF(R128+IF($B$1+16&lt;=$B128,12*($B$7-$B$10),-12*($B$6+$B$10)*(1+$B$4)^16)&gt;0,1+$B$3,1))</f>
        <v/>
      </c>
      <c r="T128">
        <f>IF($B$1+17&gt;90,S128,(S128+IF($B$1+17&lt;=$B128,12*($B$7-$B$10),-12*($B$6+$B$10)*(1+$B$4)^17))*IF(S128+IF($B$1+17&lt;=$B128,12*($B$7-$B$10),-12*($B$6+$B$10)*(1+$B$4)^17)&gt;0,1+$B$3,1))</f>
        <v/>
      </c>
      <c r="U128">
        <f>IF($B$1+18&gt;90,T128,(T128+IF($B$1+18&lt;=$B128,12*($B$7-$B$10),-12*($B$6+$B$10)*(1+$B$4)^18))*IF(T128+IF($B$1+18&lt;=$B128,12*($B$7-$B$10),-12*($B$6+$B$10)*(1+$B$4)^18)&gt;0,1+$B$3,1))</f>
        <v/>
      </c>
      <c r="V128">
        <f>IF($B$1+19&gt;90,U128,(U128+IF($B$1+19&lt;=$B128,12*($B$7-$B$10),-12*($B$6+$B$10)*(1+$B$4)^19))*IF(U128+IF($B$1+19&lt;=$B128,12*($B$7-$B$10),-12*($B$6+$B$10)*(1+$B$4)^19)&gt;0,1+$B$3,1))</f>
        <v/>
      </c>
      <c r="W128">
        <f>IF($B$1+20&gt;90,V128,(V128+IF($B$1+20&lt;=$B128,12*($B$7-$B$10),-12*($B$6+$B$10)*(1+$B$4)^20))*IF(V128+IF($B$1+20&lt;=$B128,12*($B$7-$B$10),-12*($B$6+$B$10)*(1+$B$4)^20)&gt;0,1+$B$3,1))</f>
        <v/>
      </c>
      <c r="X128">
        <f>IF($B$1+21&gt;90,W128,(W128+IF($B$1+21&lt;=$B128,12*($B$7-$B$10),-12*($B$6+$B$10)*(1+$B$4)^21))*IF(W128+IF($B$1+21&lt;=$B128,12*($B$7-$B$10),-12*($B$6+$B$10)*(1+$B$4)^21)&gt;0,1+$B$3,1))</f>
        <v/>
      </c>
      <c r="Y128">
        <f>IF($B$1+22&gt;90,X128,(X128+IF($B$1+22&lt;=$B128,12*($B$7-$B$10),-12*($B$6+$B$10)*(1+$B$4)^22))*IF(X128+IF($B$1+22&lt;=$B128,12*($B$7-$B$10),-12*($B$6+$B$10)*(1+$B$4)^22)&gt;0,1+$B$3,1))</f>
        <v/>
      </c>
      <c r="Z128">
        <f>IF($B$1+23&gt;90,Y128,(Y128+IF($B$1+23&lt;=$B128,12*($B$7-$B$10),-12*($B$6+$B$10)*(1+$B$4)^23))*IF(Y128+IF($B$1+23&lt;=$B128,12*($B$7-$B$10),-12*($B$6+$B$10)*(1+$B$4)^23)&gt;0,1+$B$3,1))</f>
        <v/>
      </c>
      <c r="AA128">
        <f>IF($B$1+24&gt;90,Z128,(Z128+IF($B$1+24&lt;=$B128,12*($B$7-$B$10),-12*($B$6+$B$10)*(1+$B$4)^24))*IF(Z128+IF($B$1+24&lt;=$B128,12*($B$7-$B$10),-12*($B$6+$B$10)*(1+$B$4)^24)&gt;0,1+$B$3,1))</f>
        <v/>
      </c>
      <c r="AB128">
        <f>IF($B$1+25&gt;90,AA128,(AA128+IF($B$1+25&lt;=$B128,12*($B$7-$B$10),-12*($B$6+$B$10)*(1+$B$4)^25))*IF(AA128+IF($B$1+25&lt;=$B128,12*($B$7-$B$10),-12*($B$6+$B$10)*(1+$B$4)^25)&gt;0,1+$B$3,1))</f>
        <v/>
      </c>
      <c r="AC128">
        <f>IF($B$1+26&gt;90,AB128,(AB128+IF($B$1+26&lt;=$B128,12*($B$7-$B$10),-12*($B$6+$B$10)*(1+$B$4)^26))*IF(AB128+IF($B$1+26&lt;=$B128,12*($B$7-$B$10),-12*($B$6+$B$10)*(1+$B$4)^26)&gt;0,1+$B$3,1))</f>
        <v/>
      </c>
      <c r="AD128">
        <f>IF($B$1+27&gt;90,AC128,(AC128+IF($B$1+27&lt;=$B128,12*($B$7-$B$10),-12*($B$6+$B$10)*(1+$B$4)^27))*IF(AC128+IF($B$1+27&lt;=$B128,12*($B$7-$B$10),-12*($B$6+$B$10)*(1+$B$4)^27)&gt;0,1+$B$3,1))</f>
        <v/>
      </c>
      <c r="AE128">
        <f>IF($B$1+28&gt;90,AD128,(AD128+IF($B$1+28&lt;=$B128,12*($B$7-$B$10),-12*($B$6+$B$10)*(1+$B$4)^28))*IF(AD128+IF($B$1+28&lt;=$B128,12*($B$7-$B$10),-12*($B$6+$B$10)*(1+$B$4)^28)&gt;0,1+$B$3,1))</f>
        <v/>
      </c>
      <c r="AF128">
        <f>IF($B$1+29&gt;90,AE128,(AE128+IF($B$1+29&lt;=$B128,12*($B$7-$B$10),-12*($B$6+$B$10)*(1+$B$4)^29))*IF(AE128+IF($B$1+29&lt;=$B128,12*($B$7-$B$10),-12*($B$6+$B$10)*(1+$B$4)^29)&gt;0,1+$B$3,1))</f>
        <v/>
      </c>
      <c r="AG128">
        <f>IF($B$1+30&gt;90,AF128,(AF128+IF($B$1+30&lt;=$B128,12*($B$7-$B$10),-12*($B$6+$B$10)*(1+$B$4)^30))*IF(AF128+IF($B$1+30&lt;=$B128,12*($B$7-$B$10),-12*($B$6+$B$10)*(1+$B$4)^30)&gt;0,1+$B$3,1))</f>
        <v/>
      </c>
      <c r="AH128">
        <f>IF($B$1+31&gt;90,AG128,(AG128+IF($B$1+31&lt;=$B128,12*($B$7-$B$10),-12*($B$6+$B$10)*(1+$B$4)^31))*IF(AG128+IF($B$1+31&lt;=$B128,12*($B$7-$B$10),-12*($B$6+$B$10)*(1+$B$4)^31)&gt;0,1+$B$3,1))</f>
        <v/>
      </c>
      <c r="AI128">
        <f>IF($B$1+32&gt;90,AH128,(AH128+IF($B$1+32&lt;=$B128,12*($B$7-$B$10),-12*($B$6+$B$10)*(1+$B$4)^32))*IF(AH128+IF($B$1+32&lt;=$B128,12*($B$7-$B$10),-12*($B$6+$B$10)*(1+$B$4)^32)&gt;0,1+$B$3,1))</f>
        <v/>
      </c>
      <c r="AJ128">
        <f>IF($B$1+33&gt;90,AI128,(AI128+IF($B$1+33&lt;=$B128,12*($B$7-$B$10),-12*($B$6+$B$10)*(1+$B$4)^33))*IF(AI128+IF($B$1+33&lt;=$B128,12*($B$7-$B$10),-12*($B$6+$B$10)*(1+$B$4)^33)&gt;0,1+$B$3,1))</f>
        <v/>
      </c>
      <c r="AK128">
        <f>IF($B$1+34&gt;90,AJ128,(AJ128+IF($B$1+34&lt;=$B128,12*($B$7-$B$10),-12*($B$6+$B$10)*(1+$B$4)^34))*IF(AJ128+IF($B$1+34&lt;=$B128,12*($B$7-$B$10),-12*($B$6+$B$10)*(1+$B$4)^34)&gt;0,1+$B$3,1))</f>
        <v/>
      </c>
      <c r="AL128">
        <f>IF($B$1+35&gt;90,AK128,(AK128+IF($B$1+35&lt;=$B128,12*($B$7-$B$10),-12*($B$6+$B$10)*(1+$B$4)^35))*IF(AK128+IF($B$1+35&lt;=$B128,12*($B$7-$B$10),-12*($B$6+$B$10)*(1+$B$4)^35)&gt;0,1+$B$3,1))</f>
        <v/>
      </c>
      <c r="AM128">
        <f>IF($B$1+36&gt;90,AL128,(AL128+IF($B$1+36&lt;=$B128,12*($B$7-$B$10),-12*($B$6+$B$10)*(1+$B$4)^36))*IF(AL128+IF($B$1+36&lt;=$B128,12*($B$7-$B$10),-12*($B$6+$B$10)*(1+$B$4)^36)&gt;0,1+$B$3,1))</f>
        <v/>
      </c>
      <c r="AN128">
        <f>IF($B$1+37&gt;90,AM128,(AM128+IF($B$1+37&lt;=$B128,12*($B$7-$B$10),-12*($B$6+$B$10)*(1+$B$4)^37))*IF(AM128+IF($B$1+37&lt;=$B128,12*($B$7-$B$10),-12*($B$6+$B$10)*(1+$B$4)^37)&gt;0,1+$B$3,1))</f>
        <v/>
      </c>
      <c r="AO128">
        <f>IF($B$1+38&gt;90,AN128,(AN128+IF($B$1+38&lt;=$B128,12*($B$7-$B$10),-12*($B$6+$B$10)*(1+$B$4)^38))*IF(AN128+IF($B$1+38&lt;=$B128,12*($B$7-$B$10),-12*($B$6+$B$10)*(1+$B$4)^38)&gt;0,1+$B$3,1))</f>
        <v/>
      </c>
      <c r="AP128">
        <f>IF($B$1+39&gt;90,AO128,(AO128+IF($B$1+39&lt;=$B128,12*($B$7-$B$10),-12*($B$6+$B$10)*(1+$B$4)^39))*IF(AO128+IF($B$1+39&lt;=$B128,12*($B$7-$B$10),-12*($B$6+$B$10)*(1+$B$4)^39)&gt;0,1+$B$3,1))</f>
        <v/>
      </c>
      <c r="AQ128">
        <f>IF($B$1+40&gt;90,AP128,(AP128+IF($B$1+40&lt;=$B128,12*($B$7-$B$10),-12*($B$6+$B$10)*(1+$B$4)^40))*IF(AP128+IF($B$1+40&lt;=$B128,12*($B$7-$B$10),-12*($B$6+$B$10)*(1+$B$4)^40)&gt;0,1+$B$3,1))</f>
        <v/>
      </c>
      <c r="AR128">
        <f>IF($B$1+41&gt;90,AQ128,(AQ128+IF($B$1+41&lt;=$B128,12*($B$7-$B$10),-12*($B$6+$B$10)*(1+$B$4)^41))*IF(AQ128+IF($B$1+41&lt;=$B128,12*($B$7-$B$10),-12*($B$6+$B$10)*(1+$B$4)^41)&gt;0,1+$B$3,1))</f>
        <v/>
      </c>
      <c r="AS128">
        <f>IF($B$1+42&gt;90,AR128,(AR128+IF($B$1+42&lt;=$B128,12*($B$7-$B$10),-12*($B$6+$B$10)*(1+$B$4)^42))*IF(AR128+IF($B$1+42&lt;=$B128,12*($B$7-$B$10),-12*($B$6+$B$10)*(1+$B$4)^42)&gt;0,1+$B$3,1))</f>
        <v/>
      </c>
      <c r="AT128">
        <f>IF($B$1+43&gt;90,AS128,(AS128+IF($B$1+43&lt;=$B128,12*($B$7-$B$10),-12*($B$6+$B$10)*(1+$B$4)^43))*IF(AS128+IF($B$1+43&lt;=$B128,12*($B$7-$B$10),-12*($B$6+$B$10)*(1+$B$4)^43)&gt;0,1+$B$3,1))</f>
        <v/>
      </c>
      <c r="AU128">
        <f>IF($B$1+44&gt;90,AT128,(AT128+IF($B$1+44&lt;=$B128,12*($B$7-$B$10),-12*($B$6+$B$10)*(1+$B$4)^44))*IF(AT128+IF($B$1+44&lt;=$B128,12*($B$7-$B$10),-12*($B$6+$B$10)*(1+$B$4)^44)&gt;0,1+$B$3,1))</f>
        <v/>
      </c>
      <c r="AV128">
        <f>IF($B$1+45&gt;90,AU128,(AU128+IF($B$1+45&lt;=$B128,12*($B$7-$B$10),-12*($B$6+$B$10)*(1+$B$4)^45))*IF(AU128+IF($B$1+45&lt;=$B128,12*($B$7-$B$10),-12*($B$6+$B$10)*(1+$B$4)^45)&gt;0,1+$B$3,1))</f>
        <v/>
      </c>
      <c r="AW128">
        <f>IF($B$1+46&gt;90,AV128,(AV128+IF($B$1+46&lt;=$B128,12*($B$7-$B$10),-12*($B$6+$B$10)*(1+$B$4)^46))*IF(AV128+IF($B$1+46&lt;=$B128,12*($B$7-$B$10),-12*($B$6+$B$10)*(1+$B$4)^46)&gt;0,1+$B$3,1))</f>
        <v/>
      </c>
      <c r="AX128">
        <f>IF($B$1+47&gt;90,AW128,(AW128+IF($B$1+47&lt;=$B128,12*($B$7-$B$10),-12*($B$6+$B$10)*(1+$B$4)^47))*IF(AW128+IF($B$1+47&lt;=$B128,12*($B$7-$B$10),-12*($B$6+$B$10)*(1+$B$4)^47)&gt;0,1+$B$3,1))</f>
        <v/>
      </c>
      <c r="AY128">
        <f>IF($B$1+48&gt;90,AX128,(AX128+IF($B$1+48&lt;=$B128,12*($B$7-$B$10),-12*($B$6+$B$10)*(1+$B$4)^48))*IF(AX128+IF($B$1+48&lt;=$B128,12*($B$7-$B$10),-12*($B$6+$B$10)*(1+$B$4)^48)&gt;0,1+$B$3,1))</f>
        <v/>
      </c>
      <c r="AZ128">
        <f>IF($B$1+49&gt;90,AY128,(AY128+IF($B$1+49&lt;=$B128,12*($B$7-$B$10),-12*($B$6+$B$10)*(1+$B$4)^49))*IF(AY128+IF($B$1+49&lt;=$B128,12*($B$7-$B$10),-12*($B$6+$B$10)*(1+$B$4)^49)&gt;0,1+$B$3,1))</f>
        <v/>
      </c>
      <c r="BA128">
        <f>IF($B$1+50&gt;90,AZ128,(AZ128+IF($B$1+50&lt;=$B128,12*($B$7-$B$10),-12*($B$6+$B$10)*(1+$B$4)^50))*IF(AZ128+IF($B$1+50&lt;=$B128,12*($B$7-$B$10),-12*($B$6+$B$10)*(1+$B$4)^50)&gt;0,1+$B$3,1))</f>
        <v/>
      </c>
      <c r="BB128">
        <f>IF($B$1+51&gt;90,BA128,(BA128+IF($B$1+51&lt;=$B128,12*($B$7-$B$10),-12*($B$6+$B$10)*(1+$B$4)^51))*IF(BA128+IF($B$1+51&lt;=$B128,12*($B$7-$B$10),-12*($B$6+$B$10)*(1+$B$4)^51)&gt;0,1+$B$3,1))</f>
        <v/>
      </c>
      <c r="BC128">
        <f>IF($B$1+52&gt;90,BB128,(BB128+IF($B$1+52&lt;=$B128,12*($B$7-$B$10),-12*($B$6+$B$10)*(1+$B$4)^52))*IF(BB128+IF($B$1+52&lt;=$B128,12*($B$7-$B$10),-12*($B$6+$B$10)*(1+$B$4)^52)&gt;0,1+$B$3,1))</f>
        <v/>
      </c>
      <c r="BD128">
        <f>IF($B$1+53&gt;90,BC128,(BC128+IF($B$1+53&lt;=$B128,12*($B$7-$B$10),-12*($B$6+$B$10)*(1+$B$4)^53))*IF(BC128+IF($B$1+53&lt;=$B128,12*($B$7-$B$10),-12*($B$6+$B$10)*(1+$B$4)^53)&gt;0,1+$B$3,1))</f>
        <v/>
      </c>
      <c r="BE128">
        <f>IF($B$1+54&gt;90,BD128,(BD128+IF($B$1+54&lt;=$B128,12*($B$7-$B$10),-12*($B$6+$B$10)*(1+$B$4)^54))*IF(BD128+IF($B$1+54&lt;=$B128,12*($B$7-$B$10),-12*($B$6+$B$10)*(1+$B$4)^54)&gt;0,1+$B$3,1))</f>
        <v/>
      </c>
      <c r="BF128">
        <f>IF($B$1+55&gt;90,BE128,(BE128+IF($B$1+55&lt;=$B128,12*($B$7-$B$10),-12*($B$6+$B$10)*(1+$B$4)^55))*IF(BE128+IF($B$1+55&lt;=$B128,12*($B$7-$B$10),-12*($B$6+$B$10)*(1+$B$4)^55)&gt;0,1+$B$3,1))</f>
        <v/>
      </c>
      <c r="BG128">
        <f>IF($B$1+56&gt;90,BF128,(BF128+IF($B$1+56&lt;=$B128,12*($B$7-$B$10),-12*($B$6+$B$10)*(1+$B$4)^56))*IF(BF128+IF($B$1+56&lt;=$B128,12*($B$7-$B$10),-12*($B$6+$B$10)*(1+$B$4)^56)&gt;0,1+$B$3,1))</f>
        <v/>
      </c>
      <c r="BH128">
        <f>IF($B$1+57&gt;90,BG128,(BG128+IF($B$1+57&lt;=$B128,12*($B$7-$B$10),-12*($B$6+$B$10)*(1+$B$4)^57))*IF(BG128+IF($B$1+57&lt;=$B128,12*($B$7-$B$10),-12*($B$6+$B$10)*(1+$B$4)^57)&gt;0,1+$B$3,1))</f>
        <v/>
      </c>
      <c r="BI128">
        <f>IF($B$1+58&gt;90,BH128,(BH128+IF($B$1+58&lt;=$B128,12*($B$7-$B$10),-12*($B$6+$B$10)*(1+$B$4)^58))*IF(BH128+IF($B$1+58&lt;=$B128,12*($B$7-$B$10),-12*($B$6+$B$10)*(1+$B$4)^58)&gt;0,1+$B$3,1))</f>
        <v/>
      </c>
      <c r="BJ128">
        <f>IF($B$1+59&gt;90,BI128,(BI128+IF($B$1+59&lt;=$B128,12*($B$7-$B$10),-12*($B$6+$B$10)*(1+$B$4)^59))*IF(BI128+IF($B$1+59&lt;=$B128,12*($B$7-$B$10),-12*($B$6+$B$10)*(1+$B$4)^59)&gt;0,1+$B$3,1))</f>
        <v/>
      </c>
      <c r="BK128">
        <f>IF($B$1+60&gt;90,BJ128,(BJ128+IF($B$1+60&lt;=$B128,12*($B$7-$B$10),-12*($B$6+$B$10)*(1+$B$4)^60))*IF(BJ128+IF($B$1+60&lt;=$B128,12*($B$7-$B$10),-12*($B$6+$B$10)*(1+$B$4)^60)&gt;0,1+$B$3,1))</f>
        <v/>
      </c>
      <c r="BL128">
        <f>IF($B$1+61&gt;90,BK128,(BK128+IF($B$1+61&lt;=$B128,12*($B$7-$B$10),-12*($B$6+$B$10)*(1+$B$4)^61))*IF(BK128+IF($B$1+61&lt;=$B128,12*($B$7-$B$10),-12*($B$6+$B$10)*(1+$B$4)^61)&gt;0,1+$B$3,1))</f>
        <v/>
      </c>
      <c r="BM128">
        <f>IF($B$1+62&gt;90,BL128,(BL128+IF($B$1+62&lt;=$B128,12*($B$7-$B$10),-12*($B$6+$B$10)*(1+$B$4)^62))*IF(BL128+IF($B$1+62&lt;=$B128,12*($B$7-$B$10),-12*($B$6+$B$10)*(1+$B$4)^62)&gt;0,1+$B$3,1))</f>
        <v/>
      </c>
      <c r="BN128">
        <f>IF($B$1+63&gt;90,BM128,(BM128+IF($B$1+63&lt;=$B128,12*($B$7-$B$10),-12*($B$6+$B$10)*(1+$B$4)^63))*IF(BM128+IF($B$1+63&lt;=$B128,12*($B$7-$B$10),-12*($B$6+$B$10)*(1+$B$4)^63)&gt;0,1+$B$3,1))</f>
        <v/>
      </c>
      <c r="BO128">
        <f>IF($B$1+64&gt;90,BN128,(BN128+IF($B$1+64&lt;=$B128,12*($B$7-$B$10),-12*($B$6+$B$10)*(1+$B$4)^64))*IF(BN128+IF($B$1+64&lt;=$B128,12*($B$7-$B$10),-12*($B$6+$B$10)*(1+$B$4)^64)&gt;0,1+$B$3,1))</f>
        <v/>
      </c>
      <c r="BP128">
        <f>IF($B$1+65&gt;90,BO128,(BO128+IF($B$1+65&lt;=$B128,12*($B$7-$B$10),-12*($B$6+$B$10)*(1+$B$4)^65))*IF(BO128+IF($B$1+65&lt;=$B128,12*($B$7-$B$10),-12*($B$6+$B$10)*(1+$B$4)^65)&gt;0,1+$B$3,1))</f>
        <v/>
      </c>
      <c r="BQ128">
        <f>IF($B$1+66&gt;90,BP128,(BP128+IF($B$1+66&lt;=$B128,12*($B$7-$B$10),-12*($B$6+$B$10)*(1+$B$4)^66))*IF(BP128+IF($B$1+66&lt;=$B128,12*($B$7-$B$10),-12*($B$6+$B$10)*(1+$B$4)^66)&gt;0,1+$B$3,1))</f>
        <v/>
      </c>
      <c r="BR128">
        <f>IF($B$1+67&gt;90,BQ128,(BQ128+IF($B$1+67&lt;=$B128,12*($B$7-$B$10),-12*($B$6+$B$10)*(1+$B$4)^67))*IF(BQ128+IF($B$1+67&lt;=$B128,12*($B$7-$B$10),-12*($B$6+$B$10)*(1+$B$4)^67)&gt;0,1+$B$3,1))</f>
        <v/>
      </c>
      <c r="BS128">
        <f>IF($B$1+68&gt;90,BR128,(BR128+IF($B$1+68&lt;=$B128,12*($B$7-$B$10),-12*($B$6+$B$10)*(1+$B$4)^68))*IF(BR128+IF($B$1+68&lt;=$B128,12*($B$7-$B$10),-12*($B$6+$B$10)*(1+$B$4)^68)&gt;0,1+$B$3,1))</f>
        <v/>
      </c>
      <c r="BT128">
        <f>IF($B$1+69&gt;90,BS128,(BS128+IF($B$1+69&lt;=$B128,12*($B$7-$B$10),-12*($B$6+$B$10)*(1+$B$4)^69))*IF(BS128+IF($B$1+69&lt;=$B128,12*($B$7-$B$10),-12*($B$6+$B$10)*(1+$B$4)^69)&gt;0,1+$B$3,1))</f>
        <v/>
      </c>
      <c r="BU128">
        <f>IF($B$1+70&gt;90,BT128,(BT128+IF($B$1+70&lt;=$B128,12*($B$7-$B$10),-12*($B$6+$B$10)*(1+$B$4)^70))*IF(BT128+IF($B$1+70&lt;=$B128,12*($B$7-$B$10),-12*($B$6+$B$10)*(1+$B$4)^70)&gt;0,1+$B$3,1))</f>
        <v/>
      </c>
      <c r="BV128">
        <f>BU128</f>
        <v/>
      </c>
      <c r="BW128">
        <f>IF(AND($B128&lt;=70,BV128&gt;0),$B128,999)</f>
        <v/>
      </c>
    </row>
    <row r="129">
      <c r="A129" t="n">
        <v>33</v>
      </c>
      <c r="B129">
        <f>$B$1+33</f>
        <v/>
      </c>
      <c r="C129">
        <f>$B$2</f>
        <v/>
      </c>
      <c r="D129">
        <f>IF($B$1+1&gt;90,C129,(C129+IF($B$1+1&lt;=$B129,12*($B$7-$B$10),-12*($B$6+$B$10)*(1+$B$4)^1))*IF(C129+IF($B$1+1&lt;=$B129,12*($B$7-$B$10),-12*($B$6+$B$10)*(1+$B$4)^1)&gt;0,1+$B$3,1))</f>
        <v/>
      </c>
      <c r="E129">
        <f>IF($B$1+2&gt;90,D129,(D129+IF($B$1+2&lt;=$B129,12*($B$7-$B$10),-12*($B$6+$B$10)*(1+$B$4)^2))*IF(D129+IF($B$1+2&lt;=$B129,12*($B$7-$B$10),-12*($B$6+$B$10)*(1+$B$4)^2)&gt;0,1+$B$3,1))</f>
        <v/>
      </c>
      <c r="F129">
        <f>IF($B$1+3&gt;90,E129,(E129+IF($B$1+3&lt;=$B129,12*($B$7-$B$10),-12*($B$6+$B$10)*(1+$B$4)^3))*IF(E129+IF($B$1+3&lt;=$B129,12*($B$7-$B$10),-12*($B$6+$B$10)*(1+$B$4)^3)&gt;0,1+$B$3,1))</f>
        <v/>
      </c>
      <c r="G129">
        <f>IF($B$1+4&gt;90,F129,(F129+IF($B$1+4&lt;=$B129,12*($B$7-$B$10),-12*($B$6+$B$10)*(1+$B$4)^4))*IF(F129+IF($B$1+4&lt;=$B129,12*($B$7-$B$10),-12*($B$6+$B$10)*(1+$B$4)^4)&gt;0,1+$B$3,1))</f>
        <v/>
      </c>
      <c r="H129">
        <f>IF($B$1+5&gt;90,G129,(G129+IF($B$1+5&lt;=$B129,12*($B$7-$B$10),-12*($B$6+$B$10)*(1+$B$4)^5))*IF(G129+IF($B$1+5&lt;=$B129,12*($B$7-$B$10),-12*($B$6+$B$10)*(1+$B$4)^5)&gt;0,1+$B$3,1))</f>
        <v/>
      </c>
      <c r="I129">
        <f>IF($B$1+6&gt;90,H129,(H129+IF($B$1+6&lt;=$B129,12*($B$7-$B$10),-12*($B$6+$B$10)*(1+$B$4)^6))*IF(H129+IF($B$1+6&lt;=$B129,12*($B$7-$B$10),-12*($B$6+$B$10)*(1+$B$4)^6)&gt;0,1+$B$3,1))</f>
        <v/>
      </c>
      <c r="J129">
        <f>IF($B$1+7&gt;90,I129,(I129+IF($B$1+7&lt;=$B129,12*($B$7-$B$10),-12*($B$6+$B$10)*(1+$B$4)^7))*IF(I129+IF($B$1+7&lt;=$B129,12*($B$7-$B$10),-12*($B$6+$B$10)*(1+$B$4)^7)&gt;0,1+$B$3,1))</f>
        <v/>
      </c>
      <c r="K129">
        <f>IF($B$1+8&gt;90,J129,(J129+IF($B$1+8&lt;=$B129,12*($B$7-$B$10),-12*($B$6+$B$10)*(1+$B$4)^8))*IF(J129+IF($B$1+8&lt;=$B129,12*($B$7-$B$10),-12*($B$6+$B$10)*(1+$B$4)^8)&gt;0,1+$B$3,1))</f>
        <v/>
      </c>
      <c r="L129">
        <f>IF($B$1+9&gt;90,K129,(K129+IF($B$1+9&lt;=$B129,12*($B$7-$B$10),-12*($B$6+$B$10)*(1+$B$4)^9))*IF(K129+IF($B$1+9&lt;=$B129,12*($B$7-$B$10),-12*($B$6+$B$10)*(1+$B$4)^9)&gt;0,1+$B$3,1))</f>
        <v/>
      </c>
      <c r="M129">
        <f>IF($B$1+10&gt;90,L129,(L129+IF($B$1+10&lt;=$B129,12*($B$7-$B$10),-12*($B$6+$B$10)*(1+$B$4)^10))*IF(L129+IF($B$1+10&lt;=$B129,12*($B$7-$B$10),-12*($B$6+$B$10)*(1+$B$4)^10)&gt;0,1+$B$3,1))</f>
        <v/>
      </c>
      <c r="N129">
        <f>IF($B$1+11&gt;90,M129,(M129+IF($B$1+11&lt;=$B129,12*($B$7-$B$10),-12*($B$6+$B$10)*(1+$B$4)^11))*IF(M129+IF($B$1+11&lt;=$B129,12*($B$7-$B$10),-12*($B$6+$B$10)*(1+$B$4)^11)&gt;0,1+$B$3,1))</f>
        <v/>
      </c>
      <c r="O129">
        <f>IF($B$1+12&gt;90,N129,(N129+IF($B$1+12&lt;=$B129,12*($B$7-$B$10),-12*($B$6+$B$10)*(1+$B$4)^12))*IF(N129+IF($B$1+12&lt;=$B129,12*($B$7-$B$10),-12*($B$6+$B$10)*(1+$B$4)^12)&gt;0,1+$B$3,1))</f>
        <v/>
      </c>
      <c r="P129">
        <f>IF($B$1+13&gt;90,O129,(O129+IF($B$1+13&lt;=$B129,12*($B$7-$B$10),-12*($B$6+$B$10)*(1+$B$4)^13))*IF(O129+IF($B$1+13&lt;=$B129,12*($B$7-$B$10),-12*($B$6+$B$10)*(1+$B$4)^13)&gt;0,1+$B$3,1))</f>
        <v/>
      </c>
      <c r="Q129">
        <f>IF($B$1+14&gt;90,P129,(P129+IF($B$1+14&lt;=$B129,12*($B$7-$B$10),-12*($B$6+$B$10)*(1+$B$4)^14))*IF(P129+IF($B$1+14&lt;=$B129,12*($B$7-$B$10),-12*($B$6+$B$10)*(1+$B$4)^14)&gt;0,1+$B$3,1))</f>
        <v/>
      </c>
      <c r="R129">
        <f>IF($B$1+15&gt;90,Q129,(Q129+IF($B$1+15&lt;=$B129,12*($B$7-$B$10),-12*($B$6+$B$10)*(1+$B$4)^15))*IF(Q129+IF($B$1+15&lt;=$B129,12*($B$7-$B$10),-12*($B$6+$B$10)*(1+$B$4)^15)&gt;0,1+$B$3,1))</f>
        <v/>
      </c>
      <c r="S129">
        <f>IF($B$1+16&gt;90,R129,(R129+IF($B$1+16&lt;=$B129,12*($B$7-$B$10),-12*($B$6+$B$10)*(1+$B$4)^16))*IF(R129+IF($B$1+16&lt;=$B129,12*($B$7-$B$10),-12*($B$6+$B$10)*(1+$B$4)^16)&gt;0,1+$B$3,1))</f>
        <v/>
      </c>
      <c r="T129">
        <f>IF($B$1+17&gt;90,S129,(S129+IF($B$1+17&lt;=$B129,12*($B$7-$B$10),-12*($B$6+$B$10)*(1+$B$4)^17))*IF(S129+IF($B$1+17&lt;=$B129,12*($B$7-$B$10),-12*($B$6+$B$10)*(1+$B$4)^17)&gt;0,1+$B$3,1))</f>
        <v/>
      </c>
      <c r="U129">
        <f>IF($B$1+18&gt;90,T129,(T129+IF($B$1+18&lt;=$B129,12*($B$7-$B$10),-12*($B$6+$B$10)*(1+$B$4)^18))*IF(T129+IF($B$1+18&lt;=$B129,12*($B$7-$B$10),-12*($B$6+$B$10)*(1+$B$4)^18)&gt;0,1+$B$3,1))</f>
        <v/>
      </c>
      <c r="V129">
        <f>IF($B$1+19&gt;90,U129,(U129+IF($B$1+19&lt;=$B129,12*($B$7-$B$10),-12*($B$6+$B$10)*(1+$B$4)^19))*IF(U129+IF($B$1+19&lt;=$B129,12*($B$7-$B$10),-12*($B$6+$B$10)*(1+$B$4)^19)&gt;0,1+$B$3,1))</f>
        <v/>
      </c>
      <c r="W129">
        <f>IF($B$1+20&gt;90,V129,(V129+IF($B$1+20&lt;=$B129,12*($B$7-$B$10),-12*($B$6+$B$10)*(1+$B$4)^20))*IF(V129+IF($B$1+20&lt;=$B129,12*($B$7-$B$10),-12*($B$6+$B$10)*(1+$B$4)^20)&gt;0,1+$B$3,1))</f>
        <v/>
      </c>
      <c r="X129">
        <f>IF($B$1+21&gt;90,W129,(W129+IF($B$1+21&lt;=$B129,12*($B$7-$B$10),-12*($B$6+$B$10)*(1+$B$4)^21))*IF(W129+IF($B$1+21&lt;=$B129,12*($B$7-$B$10),-12*($B$6+$B$10)*(1+$B$4)^21)&gt;0,1+$B$3,1))</f>
        <v/>
      </c>
      <c r="Y129">
        <f>IF($B$1+22&gt;90,X129,(X129+IF($B$1+22&lt;=$B129,12*($B$7-$B$10),-12*($B$6+$B$10)*(1+$B$4)^22))*IF(X129+IF($B$1+22&lt;=$B129,12*($B$7-$B$10),-12*($B$6+$B$10)*(1+$B$4)^22)&gt;0,1+$B$3,1))</f>
        <v/>
      </c>
      <c r="Z129">
        <f>IF($B$1+23&gt;90,Y129,(Y129+IF($B$1+23&lt;=$B129,12*($B$7-$B$10),-12*($B$6+$B$10)*(1+$B$4)^23))*IF(Y129+IF($B$1+23&lt;=$B129,12*($B$7-$B$10),-12*($B$6+$B$10)*(1+$B$4)^23)&gt;0,1+$B$3,1))</f>
        <v/>
      </c>
      <c r="AA129">
        <f>IF($B$1+24&gt;90,Z129,(Z129+IF($B$1+24&lt;=$B129,12*($B$7-$B$10),-12*($B$6+$B$10)*(1+$B$4)^24))*IF(Z129+IF($B$1+24&lt;=$B129,12*($B$7-$B$10),-12*($B$6+$B$10)*(1+$B$4)^24)&gt;0,1+$B$3,1))</f>
        <v/>
      </c>
      <c r="AB129">
        <f>IF($B$1+25&gt;90,AA129,(AA129+IF($B$1+25&lt;=$B129,12*($B$7-$B$10),-12*($B$6+$B$10)*(1+$B$4)^25))*IF(AA129+IF($B$1+25&lt;=$B129,12*($B$7-$B$10),-12*($B$6+$B$10)*(1+$B$4)^25)&gt;0,1+$B$3,1))</f>
        <v/>
      </c>
      <c r="AC129">
        <f>IF($B$1+26&gt;90,AB129,(AB129+IF($B$1+26&lt;=$B129,12*($B$7-$B$10),-12*($B$6+$B$10)*(1+$B$4)^26))*IF(AB129+IF($B$1+26&lt;=$B129,12*($B$7-$B$10),-12*($B$6+$B$10)*(1+$B$4)^26)&gt;0,1+$B$3,1))</f>
        <v/>
      </c>
      <c r="AD129">
        <f>IF($B$1+27&gt;90,AC129,(AC129+IF($B$1+27&lt;=$B129,12*($B$7-$B$10),-12*($B$6+$B$10)*(1+$B$4)^27))*IF(AC129+IF($B$1+27&lt;=$B129,12*($B$7-$B$10),-12*($B$6+$B$10)*(1+$B$4)^27)&gt;0,1+$B$3,1))</f>
        <v/>
      </c>
      <c r="AE129">
        <f>IF($B$1+28&gt;90,AD129,(AD129+IF($B$1+28&lt;=$B129,12*($B$7-$B$10),-12*($B$6+$B$10)*(1+$B$4)^28))*IF(AD129+IF($B$1+28&lt;=$B129,12*($B$7-$B$10),-12*($B$6+$B$10)*(1+$B$4)^28)&gt;0,1+$B$3,1))</f>
        <v/>
      </c>
      <c r="AF129">
        <f>IF($B$1+29&gt;90,AE129,(AE129+IF($B$1+29&lt;=$B129,12*($B$7-$B$10),-12*($B$6+$B$10)*(1+$B$4)^29))*IF(AE129+IF($B$1+29&lt;=$B129,12*($B$7-$B$10),-12*($B$6+$B$10)*(1+$B$4)^29)&gt;0,1+$B$3,1))</f>
        <v/>
      </c>
      <c r="AG129">
        <f>IF($B$1+30&gt;90,AF129,(AF129+IF($B$1+30&lt;=$B129,12*($B$7-$B$10),-12*($B$6+$B$10)*(1+$B$4)^30))*IF(AF129+IF($B$1+30&lt;=$B129,12*($B$7-$B$10),-12*($B$6+$B$10)*(1+$B$4)^30)&gt;0,1+$B$3,1))</f>
        <v/>
      </c>
      <c r="AH129">
        <f>IF($B$1+31&gt;90,AG129,(AG129+IF($B$1+31&lt;=$B129,12*($B$7-$B$10),-12*($B$6+$B$10)*(1+$B$4)^31))*IF(AG129+IF($B$1+31&lt;=$B129,12*($B$7-$B$10),-12*($B$6+$B$10)*(1+$B$4)^31)&gt;0,1+$B$3,1))</f>
        <v/>
      </c>
      <c r="AI129">
        <f>IF($B$1+32&gt;90,AH129,(AH129+IF($B$1+32&lt;=$B129,12*($B$7-$B$10),-12*($B$6+$B$10)*(1+$B$4)^32))*IF(AH129+IF($B$1+32&lt;=$B129,12*($B$7-$B$10),-12*($B$6+$B$10)*(1+$B$4)^32)&gt;0,1+$B$3,1))</f>
        <v/>
      </c>
      <c r="AJ129">
        <f>IF($B$1+33&gt;90,AI129,(AI129+IF($B$1+33&lt;=$B129,12*($B$7-$B$10),-12*($B$6+$B$10)*(1+$B$4)^33))*IF(AI129+IF($B$1+33&lt;=$B129,12*($B$7-$B$10),-12*($B$6+$B$10)*(1+$B$4)^33)&gt;0,1+$B$3,1))</f>
        <v/>
      </c>
      <c r="AK129">
        <f>IF($B$1+34&gt;90,AJ129,(AJ129+IF($B$1+34&lt;=$B129,12*($B$7-$B$10),-12*($B$6+$B$10)*(1+$B$4)^34))*IF(AJ129+IF($B$1+34&lt;=$B129,12*($B$7-$B$10),-12*($B$6+$B$10)*(1+$B$4)^34)&gt;0,1+$B$3,1))</f>
        <v/>
      </c>
      <c r="AL129">
        <f>IF($B$1+35&gt;90,AK129,(AK129+IF($B$1+35&lt;=$B129,12*($B$7-$B$10),-12*($B$6+$B$10)*(1+$B$4)^35))*IF(AK129+IF($B$1+35&lt;=$B129,12*($B$7-$B$10),-12*($B$6+$B$10)*(1+$B$4)^35)&gt;0,1+$B$3,1))</f>
        <v/>
      </c>
      <c r="AM129">
        <f>IF($B$1+36&gt;90,AL129,(AL129+IF($B$1+36&lt;=$B129,12*($B$7-$B$10),-12*($B$6+$B$10)*(1+$B$4)^36))*IF(AL129+IF($B$1+36&lt;=$B129,12*($B$7-$B$10),-12*($B$6+$B$10)*(1+$B$4)^36)&gt;0,1+$B$3,1))</f>
        <v/>
      </c>
      <c r="AN129">
        <f>IF($B$1+37&gt;90,AM129,(AM129+IF($B$1+37&lt;=$B129,12*($B$7-$B$10),-12*($B$6+$B$10)*(1+$B$4)^37))*IF(AM129+IF($B$1+37&lt;=$B129,12*($B$7-$B$10),-12*($B$6+$B$10)*(1+$B$4)^37)&gt;0,1+$B$3,1))</f>
        <v/>
      </c>
      <c r="AO129">
        <f>IF($B$1+38&gt;90,AN129,(AN129+IF($B$1+38&lt;=$B129,12*($B$7-$B$10),-12*($B$6+$B$10)*(1+$B$4)^38))*IF(AN129+IF($B$1+38&lt;=$B129,12*($B$7-$B$10),-12*($B$6+$B$10)*(1+$B$4)^38)&gt;0,1+$B$3,1))</f>
        <v/>
      </c>
      <c r="AP129">
        <f>IF($B$1+39&gt;90,AO129,(AO129+IF($B$1+39&lt;=$B129,12*($B$7-$B$10),-12*($B$6+$B$10)*(1+$B$4)^39))*IF(AO129+IF($B$1+39&lt;=$B129,12*($B$7-$B$10),-12*($B$6+$B$10)*(1+$B$4)^39)&gt;0,1+$B$3,1))</f>
        <v/>
      </c>
      <c r="AQ129">
        <f>IF($B$1+40&gt;90,AP129,(AP129+IF($B$1+40&lt;=$B129,12*($B$7-$B$10),-12*($B$6+$B$10)*(1+$B$4)^40))*IF(AP129+IF($B$1+40&lt;=$B129,12*($B$7-$B$10),-12*($B$6+$B$10)*(1+$B$4)^40)&gt;0,1+$B$3,1))</f>
        <v/>
      </c>
      <c r="AR129">
        <f>IF($B$1+41&gt;90,AQ129,(AQ129+IF($B$1+41&lt;=$B129,12*($B$7-$B$10),-12*($B$6+$B$10)*(1+$B$4)^41))*IF(AQ129+IF($B$1+41&lt;=$B129,12*($B$7-$B$10),-12*($B$6+$B$10)*(1+$B$4)^41)&gt;0,1+$B$3,1))</f>
        <v/>
      </c>
      <c r="AS129">
        <f>IF($B$1+42&gt;90,AR129,(AR129+IF($B$1+42&lt;=$B129,12*($B$7-$B$10),-12*($B$6+$B$10)*(1+$B$4)^42))*IF(AR129+IF($B$1+42&lt;=$B129,12*($B$7-$B$10),-12*($B$6+$B$10)*(1+$B$4)^42)&gt;0,1+$B$3,1))</f>
        <v/>
      </c>
      <c r="AT129">
        <f>IF($B$1+43&gt;90,AS129,(AS129+IF($B$1+43&lt;=$B129,12*($B$7-$B$10),-12*($B$6+$B$10)*(1+$B$4)^43))*IF(AS129+IF($B$1+43&lt;=$B129,12*($B$7-$B$10),-12*($B$6+$B$10)*(1+$B$4)^43)&gt;0,1+$B$3,1))</f>
        <v/>
      </c>
      <c r="AU129">
        <f>IF($B$1+44&gt;90,AT129,(AT129+IF($B$1+44&lt;=$B129,12*($B$7-$B$10),-12*($B$6+$B$10)*(1+$B$4)^44))*IF(AT129+IF($B$1+44&lt;=$B129,12*($B$7-$B$10),-12*($B$6+$B$10)*(1+$B$4)^44)&gt;0,1+$B$3,1))</f>
        <v/>
      </c>
      <c r="AV129">
        <f>IF($B$1+45&gt;90,AU129,(AU129+IF($B$1+45&lt;=$B129,12*($B$7-$B$10),-12*($B$6+$B$10)*(1+$B$4)^45))*IF(AU129+IF($B$1+45&lt;=$B129,12*($B$7-$B$10),-12*($B$6+$B$10)*(1+$B$4)^45)&gt;0,1+$B$3,1))</f>
        <v/>
      </c>
      <c r="AW129">
        <f>IF($B$1+46&gt;90,AV129,(AV129+IF($B$1+46&lt;=$B129,12*($B$7-$B$10),-12*($B$6+$B$10)*(1+$B$4)^46))*IF(AV129+IF($B$1+46&lt;=$B129,12*($B$7-$B$10),-12*($B$6+$B$10)*(1+$B$4)^46)&gt;0,1+$B$3,1))</f>
        <v/>
      </c>
      <c r="AX129">
        <f>IF($B$1+47&gt;90,AW129,(AW129+IF($B$1+47&lt;=$B129,12*($B$7-$B$10),-12*($B$6+$B$10)*(1+$B$4)^47))*IF(AW129+IF($B$1+47&lt;=$B129,12*($B$7-$B$10),-12*($B$6+$B$10)*(1+$B$4)^47)&gt;0,1+$B$3,1))</f>
        <v/>
      </c>
      <c r="AY129">
        <f>IF($B$1+48&gt;90,AX129,(AX129+IF($B$1+48&lt;=$B129,12*($B$7-$B$10),-12*($B$6+$B$10)*(1+$B$4)^48))*IF(AX129+IF($B$1+48&lt;=$B129,12*($B$7-$B$10),-12*($B$6+$B$10)*(1+$B$4)^48)&gt;0,1+$B$3,1))</f>
        <v/>
      </c>
      <c r="AZ129">
        <f>IF($B$1+49&gt;90,AY129,(AY129+IF($B$1+49&lt;=$B129,12*($B$7-$B$10),-12*($B$6+$B$10)*(1+$B$4)^49))*IF(AY129+IF($B$1+49&lt;=$B129,12*($B$7-$B$10),-12*($B$6+$B$10)*(1+$B$4)^49)&gt;0,1+$B$3,1))</f>
        <v/>
      </c>
      <c r="BA129">
        <f>IF($B$1+50&gt;90,AZ129,(AZ129+IF($B$1+50&lt;=$B129,12*($B$7-$B$10),-12*($B$6+$B$10)*(1+$B$4)^50))*IF(AZ129+IF($B$1+50&lt;=$B129,12*($B$7-$B$10),-12*($B$6+$B$10)*(1+$B$4)^50)&gt;0,1+$B$3,1))</f>
        <v/>
      </c>
      <c r="BB129">
        <f>IF($B$1+51&gt;90,BA129,(BA129+IF($B$1+51&lt;=$B129,12*($B$7-$B$10),-12*($B$6+$B$10)*(1+$B$4)^51))*IF(BA129+IF($B$1+51&lt;=$B129,12*($B$7-$B$10),-12*($B$6+$B$10)*(1+$B$4)^51)&gt;0,1+$B$3,1))</f>
        <v/>
      </c>
      <c r="BC129">
        <f>IF($B$1+52&gt;90,BB129,(BB129+IF($B$1+52&lt;=$B129,12*($B$7-$B$10),-12*($B$6+$B$10)*(1+$B$4)^52))*IF(BB129+IF($B$1+52&lt;=$B129,12*($B$7-$B$10),-12*($B$6+$B$10)*(1+$B$4)^52)&gt;0,1+$B$3,1))</f>
        <v/>
      </c>
      <c r="BD129">
        <f>IF($B$1+53&gt;90,BC129,(BC129+IF($B$1+53&lt;=$B129,12*($B$7-$B$10),-12*($B$6+$B$10)*(1+$B$4)^53))*IF(BC129+IF($B$1+53&lt;=$B129,12*($B$7-$B$10),-12*($B$6+$B$10)*(1+$B$4)^53)&gt;0,1+$B$3,1))</f>
        <v/>
      </c>
      <c r="BE129">
        <f>IF($B$1+54&gt;90,BD129,(BD129+IF($B$1+54&lt;=$B129,12*($B$7-$B$10),-12*($B$6+$B$10)*(1+$B$4)^54))*IF(BD129+IF($B$1+54&lt;=$B129,12*($B$7-$B$10),-12*($B$6+$B$10)*(1+$B$4)^54)&gt;0,1+$B$3,1))</f>
        <v/>
      </c>
      <c r="BF129">
        <f>IF($B$1+55&gt;90,BE129,(BE129+IF($B$1+55&lt;=$B129,12*($B$7-$B$10),-12*($B$6+$B$10)*(1+$B$4)^55))*IF(BE129+IF($B$1+55&lt;=$B129,12*($B$7-$B$10),-12*($B$6+$B$10)*(1+$B$4)^55)&gt;0,1+$B$3,1))</f>
        <v/>
      </c>
      <c r="BG129">
        <f>IF($B$1+56&gt;90,BF129,(BF129+IF($B$1+56&lt;=$B129,12*($B$7-$B$10),-12*($B$6+$B$10)*(1+$B$4)^56))*IF(BF129+IF($B$1+56&lt;=$B129,12*($B$7-$B$10),-12*($B$6+$B$10)*(1+$B$4)^56)&gt;0,1+$B$3,1))</f>
        <v/>
      </c>
      <c r="BH129">
        <f>IF($B$1+57&gt;90,BG129,(BG129+IF($B$1+57&lt;=$B129,12*($B$7-$B$10),-12*($B$6+$B$10)*(1+$B$4)^57))*IF(BG129+IF($B$1+57&lt;=$B129,12*($B$7-$B$10),-12*($B$6+$B$10)*(1+$B$4)^57)&gt;0,1+$B$3,1))</f>
        <v/>
      </c>
      <c r="BI129">
        <f>IF($B$1+58&gt;90,BH129,(BH129+IF($B$1+58&lt;=$B129,12*($B$7-$B$10),-12*($B$6+$B$10)*(1+$B$4)^58))*IF(BH129+IF($B$1+58&lt;=$B129,12*($B$7-$B$10),-12*($B$6+$B$10)*(1+$B$4)^58)&gt;0,1+$B$3,1))</f>
        <v/>
      </c>
      <c r="BJ129">
        <f>IF($B$1+59&gt;90,BI129,(BI129+IF($B$1+59&lt;=$B129,12*($B$7-$B$10),-12*($B$6+$B$10)*(1+$B$4)^59))*IF(BI129+IF($B$1+59&lt;=$B129,12*($B$7-$B$10),-12*($B$6+$B$10)*(1+$B$4)^59)&gt;0,1+$B$3,1))</f>
        <v/>
      </c>
      <c r="BK129">
        <f>IF($B$1+60&gt;90,BJ129,(BJ129+IF($B$1+60&lt;=$B129,12*($B$7-$B$10),-12*($B$6+$B$10)*(1+$B$4)^60))*IF(BJ129+IF($B$1+60&lt;=$B129,12*($B$7-$B$10),-12*($B$6+$B$10)*(1+$B$4)^60)&gt;0,1+$B$3,1))</f>
        <v/>
      </c>
      <c r="BL129">
        <f>IF($B$1+61&gt;90,BK129,(BK129+IF($B$1+61&lt;=$B129,12*($B$7-$B$10),-12*($B$6+$B$10)*(1+$B$4)^61))*IF(BK129+IF($B$1+61&lt;=$B129,12*($B$7-$B$10),-12*($B$6+$B$10)*(1+$B$4)^61)&gt;0,1+$B$3,1))</f>
        <v/>
      </c>
      <c r="BM129">
        <f>IF($B$1+62&gt;90,BL129,(BL129+IF($B$1+62&lt;=$B129,12*($B$7-$B$10),-12*($B$6+$B$10)*(1+$B$4)^62))*IF(BL129+IF($B$1+62&lt;=$B129,12*($B$7-$B$10),-12*($B$6+$B$10)*(1+$B$4)^62)&gt;0,1+$B$3,1))</f>
        <v/>
      </c>
      <c r="BN129">
        <f>IF($B$1+63&gt;90,BM129,(BM129+IF($B$1+63&lt;=$B129,12*($B$7-$B$10),-12*($B$6+$B$10)*(1+$B$4)^63))*IF(BM129+IF($B$1+63&lt;=$B129,12*($B$7-$B$10),-12*($B$6+$B$10)*(1+$B$4)^63)&gt;0,1+$B$3,1))</f>
        <v/>
      </c>
      <c r="BO129">
        <f>IF($B$1+64&gt;90,BN129,(BN129+IF($B$1+64&lt;=$B129,12*($B$7-$B$10),-12*($B$6+$B$10)*(1+$B$4)^64))*IF(BN129+IF($B$1+64&lt;=$B129,12*($B$7-$B$10),-12*($B$6+$B$10)*(1+$B$4)^64)&gt;0,1+$B$3,1))</f>
        <v/>
      </c>
      <c r="BP129">
        <f>IF($B$1+65&gt;90,BO129,(BO129+IF($B$1+65&lt;=$B129,12*($B$7-$B$10),-12*($B$6+$B$10)*(1+$B$4)^65))*IF(BO129+IF($B$1+65&lt;=$B129,12*($B$7-$B$10),-12*($B$6+$B$10)*(1+$B$4)^65)&gt;0,1+$B$3,1))</f>
        <v/>
      </c>
      <c r="BQ129">
        <f>IF($B$1+66&gt;90,BP129,(BP129+IF($B$1+66&lt;=$B129,12*($B$7-$B$10),-12*($B$6+$B$10)*(1+$B$4)^66))*IF(BP129+IF($B$1+66&lt;=$B129,12*($B$7-$B$10),-12*($B$6+$B$10)*(1+$B$4)^66)&gt;0,1+$B$3,1))</f>
        <v/>
      </c>
      <c r="BR129">
        <f>IF($B$1+67&gt;90,BQ129,(BQ129+IF($B$1+67&lt;=$B129,12*($B$7-$B$10),-12*($B$6+$B$10)*(1+$B$4)^67))*IF(BQ129+IF($B$1+67&lt;=$B129,12*($B$7-$B$10),-12*($B$6+$B$10)*(1+$B$4)^67)&gt;0,1+$B$3,1))</f>
        <v/>
      </c>
      <c r="BS129">
        <f>IF($B$1+68&gt;90,BR129,(BR129+IF($B$1+68&lt;=$B129,12*($B$7-$B$10),-12*($B$6+$B$10)*(1+$B$4)^68))*IF(BR129+IF($B$1+68&lt;=$B129,12*($B$7-$B$10),-12*($B$6+$B$10)*(1+$B$4)^68)&gt;0,1+$B$3,1))</f>
        <v/>
      </c>
      <c r="BT129">
        <f>IF($B$1+69&gt;90,BS129,(BS129+IF($B$1+69&lt;=$B129,12*($B$7-$B$10),-12*($B$6+$B$10)*(1+$B$4)^69))*IF(BS129+IF($B$1+69&lt;=$B129,12*($B$7-$B$10),-12*($B$6+$B$10)*(1+$B$4)^69)&gt;0,1+$B$3,1))</f>
        <v/>
      </c>
      <c r="BU129">
        <f>IF($B$1+70&gt;90,BT129,(BT129+IF($B$1+70&lt;=$B129,12*($B$7-$B$10),-12*($B$6+$B$10)*(1+$B$4)^70))*IF(BT129+IF($B$1+70&lt;=$B129,12*($B$7-$B$10),-12*($B$6+$B$10)*(1+$B$4)^70)&gt;0,1+$B$3,1))</f>
        <v/>
      </c>
      <c r="BV129">
        <f>BU129</f>
        <v/>
      </c>
      <c r="BW129">
        <f>IF(AND($B129&lt;=70,BV129&gt;0),$B129,999)</f>
        <v/>
      </c>
    </row>
    <row r="130">
      <c r="A130" t="n">
        <v>34</v>
      </c>
      <c r="B130">
        <f>$B$1+34</f>
        <v/>
      </c>
      <c r="C130">
        <f>$B$2</f>
        <v/>
      </c>
      <c r="D130">
        <f>IF($B$1+1&gt;90,C130,(C130+IF($B$1+1&lt;=$B130,12*($B$7-$B$10),-12*($B$6+$B$10)*(1+$B$4)^1))*IF(C130+IF($B$1+1&lt;=$B130,12*($B$7-$B$10),-12*($B$6+$B$10)*(1+$B$4)^1)&gt;0,1+$B$3,1))</f>
        <v/>
      </c>
      <c r="E130">
        <f>IF($B$1+2&gt;90,D130,(D130+IF($B$1+2&lt;=$B130,12*($B$7-$B$10),-12*($B$6+$B$10)*(1+$B$4)^2))*IF(D130+IF($B$1+2&lt;=$B130,12*($B$7-$B$10),-12*($B$6+$B$10)*(1+$B$4)^2)&gt;0,1+$B$3,1))</f>
        <v/>
      </c>
      <c r="F130">
        <f>IF($B$1+3&gt;90,E130,(E130+IF($B$1+3&lt;=$B130,12*($B$7-$B$10),-12*($B$6+$B$10)*(1+$B$4)^3))*IF(E130+IF($B$1+3&lt;=$B130,12*($B$7-$B$10),-12*($B$6+$B$10)*(1+$B$4)^3)&gt;0,1+$B$3,1))</f>
        <v/>
      </c>
      <c r="G130">
        <f>IF($B$1+4&gt;90,F130,(F130+IF($B$1+4&lt;=$B130,12*($B$7-$B$10),-12*($B$6+$B$10)*(1+$B$4)^4))*IF(F130+IF($B$1+4&lt;=$B130,12*($B$7-$B$10),-12*($B$6+$B$10)*(1+$B$4)^4)&gt;0,1+$B$3,1))</f>
        <v/>
      </c>
      <c r="H130">
        <f>IF($B$1+5&gt;90,G130,(G130+IF($B$1+5&lt;=$B130,12*($B$7-$B$10),-12*($B$6+$B$10)*(1+$B$4)^5))*IF(G130+IF($B$1+5&lt;=$B130,12*($B$7-$B$10),-12*($B$6+$B$10)*(1+$B$4)^5)&gt;0,1+$B$3,1))</f>
        <v/>
      </c>
      <c r="I130">
        <f>IF($B$1+6&gt;90,H130,(H130+IF($B$1+6&lt;=$B130,12*($B$7-$B$10),-12*($B$6+$B$10)*(1+$B$4)^6))*IF(H130+IF($B$1+6&lt;=$B130,12*($B$7-$B$10),-12*($B$6+$B$10)*(1+$B$4)^6)&gt;0,1+$B$3,1))</f>
        <v/>
      </c>
      <c r="J130">
        <f>IF($B$1+7&gt;90,I130,(I130+IF($B$1+7&lt;=$B130,12*($B$7-$B$10),-12*($B$6+$B$10)*(1+$B$4)^7))*IF(I130+IF($B$1+7&lt;=$B130,12*($B$7-$B$10),-12*($B$6+$B$10)*(1+$B$4)^7)&gt;0,1+$B$3,1))</f>
        <v/>
      </c>
      <c r="K130">
        <f>IF($B$1+8&gt;90,J130,(J130+IF($B$1+8&lt;=$B130,12*($B$7-$B$10),-12*($B$6+$B$10)*(1+$B$4)^8))*IF(J130+IF($B$1+8&lt;=$B130,12*($B$7-$B$10),-12*($B$6+$B$10)*(1+$B$4)^8)&gt;0,1+$B$3,1))</f>
        <v/>
      </c>
      <c r="L130">
        <f>IF($B$1+9&gt;90,K130,(K130+IF($B$1+9&lt;=$B130,12*($B$7-$B$10),-12*($B$6+$B$10)*(1+$B$4)^9))*IF(K130+IF($B$1+9&lt;=$B130,12*($B$7-$B$10),-12*($B$6+$B$10)*(1+$B$4)^9)&gt;0,1+$B$3,1))</f>
        <v/>
      </c>
      <c r="M130">
        <f>IF($B$1+10&gt;90,L130,(L130+IF($B$1+10&lt;=$B130,12*($B$7-$B$10),-12*($B$6+$B$10)*(1+$B$4)^10))*IF(L130+IF($B$1+10&lt;=$B130,12*($B$7-$B$10),-12*($B$6+$B$10)*(1+$B$4)^10)&gt;0,1+$B$3,1))</f>
        <v/>
      </c>
      <c r="N130">
        <f>IF($B$1+11&gt;90,M130,(M130+IF($B$1+11&lt;=$B130,12*($B$7-$B$10),-12*($B$6+$B$10)*(1+$B$4)^11))*IF(M130+IF($B$1+11&lt;=$B130,12*($B$7-$B$10),-12*($B$6+$B$10)*(1+$B$4)^11)&gt;0,1+$B$3,1))</f>
        <v/>
      </c>
      <c r="O130">
        <f>IF($B$1+12&gt;90,N130,(N130+IF($B$1+12&lt;=$B130,12*($B$7-$B$10),-12*($B$6+$B$10)*(1+$B$4)^12))*IF(N130+IF($B$1+12&lt;=$B130,12*($B$7-$B$10),-12*($B$6+$B$10)*(1+$B$4)^12)&gt;0,1+$B$3,1))</f>
        <v/>
      </c>
      <c r="P130">
        <f>IF($B$1+13&gt;90,O130,(O130+IF($B$1+13&lt;=$B130,12*($B$7-$B$10),-12*($B$6+$B$10)*(1+$B$4)^13))*IF(O130+IF($B$1+13&lt;=$B130,12*($B$7-$B$10),-12*($B$6+$B$10)*(1+$B$4)^13)&gt;0,1+$B$3,1))</f>
        <v/>
      </c>
      <c r="Q130">
        <f>IF($B$1+14&gt;90,P130,(P130+IF($B$1+14&lt;=$B130,12*($B$7-$B$10),-12*($B$6+$B$10)*(1+$B$4)^14))*IF(P130+IF($B$1+14&lt;=$B130,12*($B$7-$B$10),-12*($B$6+$B$10)*(1+$B$4)^14)&gt;0,1+$B$3,1))</f>
        <v/>
      </c>
      <c r="R130">
        <f>IF($B$1+15&gt;90,Q130,(Q130+IF($B$1+15&lt;=$B130,12*($B$7-$B$10),-12*($B$6+$B$10)*(1+$B$4)^15))*IF(Q130+IF($B$1+15&lt;=$B130,12*($B$7-$B$10),-12*($B$6+$B$10)*(1+$B$4)^15)&gt;0,1+$B$3,1))</f>
        <v/>
      </c>
      <c r="S130">
        <f>IF($B$1+16&gt;90,R130,(R130+IF($B$1+16&lt;=$B130,12*($B$7-$B$10),-12*($B$6+$B$10)*(1+$B$4)^16))*IF(R130+IF($B$1+16&lt;=$B130,12*($B$7-$B$10),-12*($B$6+$B$10)*(1+$B$4)^16)&gt;0,1+$B$3,1))</f>
        <v/>
      </c>
      <c r="T130">
        <f>IF($B$1+17&gt;90,S130,(S130+IF($B$1+17&lt;=$B130,12*($B$7-$B$10),-12*($B$6+$B$10)*(1+$B$4)^17))*IF(S130+IF($B$1+17&lt;=$B130,12*($B$7-$B$10),-12*($B$6+$B$10)*(1+$B$4)^17)&gt;0,1+$B$3,1))</f>
        <v/>
      </c>
      <c r="U130">
        <f>IF($B$1+18&gt;90,T130,(T130+IF($B$1+18&lt;=$B130,12*($B$7-$B$10),-12*($B$6+$B$10)*(1+$B$4)^18))*IF(T130+IF($B$1+18&lt;=$B130,12*($B$7-$B$10),-12*($B$6+$B$10)*(1+$B$4)^18)&gt;0,1+$B$3,1))</f>
        <v/>
      </c>
      <c r="V130">
        <f>IF($B$1+19&gt;90,U130,(U130+IF($B$1+19&lt;=$B130,12*($B$7-$B$10),-12*($B$6+$B$10)*(1+$B$4)^19))*IF(U130+IF($B$1+19&lt;=$B130,12*($B$7-$B$10),-12*($B$6+$B$10)*(1+$B$4)^19)&gt;0,1+$B$3,1))</f>
        <v/>
      </c>
      <c r="W130">
        <f>IF($B$1+20&gt;90,V130,(V130+IF($B$1+20&lt;=$B130,12*($B$7-$B$10),-12*($B$6+$B$10)*(1+$B$4)^20))*IF(V130+IF($B$1+20&lt;=$B130,12*($B$7-$B$10),-12*($B$6+$B$10)*(1+$B$4)^20)&gt;0,1+$B$3,1))</f>
        <v/>
      </c>
      <c r="X130">
        <f>IF($B$1+21&gt;90,W130,(W130+IF($B$1+21&lt;=$B130,12*($B$7-$B$10),-12*($B$6+$B$10)*(1+$B$4)^21))*IF(W130+IF($B$1+21&lt;=$B130,12*($B$7-$B$10),-12*($B$6+$B$10)*(1+$B$4)^21)&gt;0,1+$B$3,1))</f>
        <v/>
      </c>
      <c r="Y130">
        <f>IF($B$1+22&gt;90,X130,(X130+IF($B$1+22&lt;=$B130,12*($B$7-$B$10),-12*($B$6+$B$10)*(1+$B$4)^22))*IF(X130+IF($B$1+22&lt;=$B130,12*($B$7-$B$10),-12*($B$6+$B$10)*(1+$B$4)^22)&gt;0,1+$B$3,1))</f>
        <v/>
      </c>
      <c r="Z130">
        <f>IF($B$1+23&gt;90,Y130,(Y130+IF($B$1+23&lt;=$B130,12*($B$7-$B$10),-12*($B$6+$B$10)*(1+$B$4)^23))*IF(Y130+IF($B$1+23&lt;=$B130,12*($B$7-$B$10),-12*($B$6+$B$10)*(1+$B$4)^23)&gt;0,1+$B$3,1))</f>
        <v/>
      </c>
      <c r="AA130">
        <f>IF($B$1+24&gt;90,Z130,(Z130+IF($B$1+24&lt;=$B130,12*($B$7-$B$10),-12*($B$6+$B$10)*(1+$B$4)^24))*IF(Z130+IF($B$1+24&lt;=$B130,12*($B$7-$B$10),-12*($B$6+$B$10)*(1+$B$4)^24)&gt;0,1+$B$3,1))</f>
        <v/>
      </c>
      <c r="AB130">
        <f>IF($B$1+25&gt;90,AA130,(AA130+IF($B$1+25&lt;=$B130,12*($B$7-$B$10),-12*($B$6+$B$10)*(1+$B$4)^25))*IF(AA130+IF($B$1+25&lt;=$B130,12*($B$7-$B$10),-12*($B$6+$B$10)*(1+$B$4)^25)&gt;0,1+$B$3,1))</f>
        <v/>
      </c>
      <c r="AC130">
        <f>IF($B$1+26&gt;90,AB130,(AB130+IF($B$1+26&lt;=$B130,12*($B$7-$B$10),-12*($B$6+$B$10)*(1+$B$4)^26))*IF(AB130+IF($B$1+26&lt;=$B130,12*($B$7-$B$10),-12*($B$6+$B$10)*(1+$B$4)^26)&gt;0,1+$B$3,1))</f>
        <v/>
      </c>
      <c r="AD130">
        <f>IF($B$1+27&gt;90,AC130,(AC130+IF($B$1+27&lt;=$B130,12*($B$7-$B$10),-12*($B$6+$B$10)*(1+$B$4)^27))*IF(AC130+IF($B$1+27&lt;=$B130,12*($B$7-$B$10),-12*($B$6+$B$10)*(1+$B$4)^27)&gt;0,1+$B$3,1))</f>
        <v/>
      </c>
      <c r="AE130">
        <f>IF($B$1+28&gt;90,AD130,(AD130+IF($B$1+28&lt;=$B130,12*($B$7-$B$10),-12*($B$6+$B$10)*(1+$B$4)^28))*IF(AD130+IF($B$1+28&lt;=$B130,12*($B$7-$B$10),-12*($B$6+$B$10)*(1+$B$4)^28)&gt;0,1+$B$3,1))</f>
        <v/>
      </c>
      <c r="AF130">
        <f>IF($B$1+29&gt;90,AE130,(AE130+IF($B$1+29&lt;=$B130,12*($B$7-$B$10),-12*($B$6+$B$10)*(1+$B$4)^29))*IF(AE130+IF($B$1+29&lt;=$B130,12*($B$7-$B$10),-12*($B$6+$B$10)*(1+$B$4)^29)&gt;0,1+$B$3,1))</f>
        <v/>
      </c>
      <c r="AG130">
        <f>IF($B$1+30&gt;90,AF130,(AF130+IF($B$1+30&lt;=$B130,12*($B$7-$B$10),-12*($B$6+$B$10)*(1+$B$4)^30))*IF(AF130+IF($B$1+30&lt;=$B130,12*($B$7-$B$10),-12*($B$6+$B$10)*(1+$B$4)^30)&gt;0,1+$B$3,1))</f>
        <v/>
      </c>
      <c r="AH130">
        <f>IF($B$1+31&gt;90,AG130,(AG130+IF($B$1+31&lt;=$B130,12*($B$7-$B$10),-12*($B$6+$B$10)*(1+$B$4)^31))*IF(AG130+IF($B$1+31&lt;=$B130,12*($B$7-$B$10),-12*($B$6+$B$10)*(1+$B$4)^31)&gt;0,1+$B$3,1))</f>
        <v/>
      </c>
      <c r="AI130">
        <f>IF($B$1+32&gt;90,AH130,(AH130+IF($B$1+32&lt;=$B130,12*($B$7-$B$10),-12*($B$6+$B$10)*(1+$B$4)^32))*IF(AH130+IF($B$1+32&lt;=$B130,12*($B$7-$B$10),-12*($B$6+$B$10)*(1+$B$4)^32)&gt;0,1+$B$3,1))</f>
        <v/>
      </c>
      <c r="AJ130">
        <f>IF($B$1+33&gt;90,AI130,(AI130+IF($B$1+33&lt;=$B130,12*($B$7-$B$10),-12*($B$6+$B$10)*(1+$B$4)^33))*IF(AI130+IF($B$1+33&lt;=$B130,12*($B$7-$B$10),-12*($B$6+$B$10)*(1+$B$4)^33)&gt;0,1+$B$3,1))</f>
        <v/>
      </c>
      <c r="AK130">
        <f>IF($B$1+34&gt;90,AJ130,(AJ130+IF($B$1+34&lt;=$B130,12*($B$7-$B$10),-12*($B$6+$B$10)*(1+$B$4)^34))*IF(AJ130+IF($B$1+34&lt;=$B130,12*($B$7-$B$10),-12*($B$6+$B$10)*(1+$B$4)^34)&gt;0,1+$B$3,1))</f>
        <v/>
      </c>
      <c r="AL130">
        <f>IF($B$1+35&gt;90,AK130,(AK130+IF($B$1+35&lt;=$B130,12*($B$7-$B$10),-12*($B$6+$B$10)*(1+$B$4)^35))*IF(AK130+IF($B$1+35&lt;=$B130,12*($B$7-$B$10),-12*($B$6+$B$10)*(1+$B$4)^35)&gt;0,1+$B$3,1))</f>
        <v/>
      </c>
      <c r="AM130">
        <f>IF($B$1+36&gt;90,AL130,(AL130+IF($B$1+36&lt;=$B130,12*($B$7-$B$10),-12*($B$6+$B$10)*(1+$B$4)^36))*IF(AL130+IF($B$1+36&lt;=$B130,12*($B$7-$B$10),-12*($B$6+$B$10)*(1+$B$4)^36)&gt;0,1+$B$3,1))</f>
        <v/>
      </c>
      <c r="AN130">
        <f>IF($B$1+37&gt;90,AM130,(AM130+IF($B$1+37&lt;=$B130,12*($B$7-$B$10),-12*($B$6+$B$10)*(1+$B$4)^37))*IF(AM130+IF($B$1+37&lt;=$B130,12*($B$7-$B$10),-12*($B$6+$B$10)*(1+$B$4)^37)&gt;0,1+$B$3,1))</f>
        <v/>
      </c>
      <c r="AO130">
        <f>IF($B$1+38&gt;90,AN130,(AN130+IF($B$1+38&lt;=$B130,12*($B$7-$B$10),-12*($B$6+$B$10)*(1+$B$4)^38))*IF(AN130+IF($B$1+38&lt;=$B130,12*($B$7-$B$10),-12*($B$6+$B$10)*(1+$B$4)^38)&gt;0,1+$B$3,1))</f>
        <v/>
      </c>
      <c r="AP130">
        <f>IF($B$1+39&gt;90,AO130,(AO130+IF($B$1+39&lt;=$B130,12*($B$7-$B$10),-12*($B$6+$B$10)*(1+$B$4)^39))*IF(AO130+IF($B$1+39&lt;=$B130,12*($B$7-$B$10),-12*($B$6+$B$10)*(1+$B$4)^39)&gt;0,1+$B$3,1))</f>
        <v/>
      </c>
      <c r="AQ130">
        <f>IF($B$1+40&gt;90,AP130,(AP130+IF($B$1+40&lt;=$B130,12*($B$7-$B$10),-12*($B$6+$B$10)*(1+$B$4)^40))*IF(AP130+IF($B$1+40&lt;=$B130,12*($B$7-$B$10),-12*($B$6+$B$10)*(1+$B$4)^40)&gt;0,1+$B$3,1))</f>
        <v/>
      </c>
      <c r="AR130">
        <f>IF($B$1+41&gt;90,AQ130,(AQ130+IF($B$1+41&lt;=$B130,12*($B$7-$B$10),-12*($B$6+$B$10)*(1+$B$4)^41))*IF(AQ130+IF($B$1+41&lt;=$B130,12*($B$7-$B$10),-12*($B$6+$B$10)*(1+$B$4)^41)&gt;0,1+$B$3,1))</f>
        <v/>
      </c>
      <c r="AS130">
        <f>IF($B$1+42&gt;90,AR130,(AR130+IF($B$1+42&lt;=$B130,12*($B$7-$B$10),-12*($B$6+$B$10)*(1+$B$4)^42))*IF(AR130+IF($B$1+42&lt;=$B130,12*($B$7-$B$10),-12*($B$6+$B$10)*(1+$B$4)^42)&gt;0,1+$B$3,1))</f>
        <v/>
      </c>
      <c r="AT130">
        <f>IF($B$1+43&gt;90,AS130,(AS130+IF($B$1+43&lt;=$B130,12*($B$7-$B$10),-12*($B$6+$B$10)*(1+$B$4)^43))*IF(AS130+IF($B$1+43&lt;=$B130,12*($B$7-$B$10),-12*($B$6+$B$10)*(1+$B$4)^43)&gt;0,1+$B$3,1))</f>
        <v/>
      </c>
      <c r="AU130">
        <f>IF($B$1+44&gt;90,AT130,(AT130+IF($B$1+44&lt;=$B130,12*($B$7-$B$10),-12*($B$6+$B$10)*(1+$B$4)^44))*IF(AT130+IF($B$1+44&lt;=$B130,12*($B$7-$B$10),-12*($B$6+$B$10)*(1+$B$4)^44)&gt;0,1+$B$3,1))</f>
        <v/>
      </c>
      <c r="AV130">
        <f>IF($B$1+45&gt;90,AU130,(AU130+IF($B$1+45&lt;=$B130,12*($B$7-$B$10),-12*($B$6+$B$10)*(1+$B$4)^45))*IF(AU130+IF($B$1+45&lt;=$B130,12*($B$7-$B$10),-12*($B$6+$B$10)*(1+$B$4)^45)&gt;0,1+$B$3,1))</f>
        <v/>
      </c>
      <c r="AW130">
        <f>IF($B$1+46&gt;90,AV130,(AV130+IF($B$1+46&lt;=$B130,12*($B$7-$B$10),-12*($B$6+$B$10)*(1+$B$4)^46))*IF(AV130+IF($B$1+46&lt;=$B130,12*($B$7-$B$10),-12*($B$6+$B$10)*(1+$B$4)^46)&gt;0,1+$B$3,1))</f>
        <v/>
      </c>
      <c r="AX130">
        <f>IF($B$1+47&gt;90,AW130,(AW130+IF($B$1+47&lt;=$B130,12*($B$7-$B$10),-12*($B$6+$B$10)*(1+$B$4)^47))*IF(AW130+IF($B$1+47&lt;=$B130,12*($B$7-$B$10),-12*($B$6+$B$10)*(1+$B$4)^47)&gt;0,1+$B$3,1))</f>
        <v/>
      </c>
      <c r="AY130">
        <f>IF($B$1+48&gt;90,AX130,(AX130+IF($B$1+48&lt;=$B130,12*($B$7-$B$10),-12*($B$6+$B$10)*(1+$B$4)^48))*IF(AX130+IF($B$1+48&lt;=$B130,12*($B$7-$B$10),-12*($B$6+$B$10)*(1+$B$4)^48)&gt;0,1+$B$3,1))</f>
        <v/>
      </c>
      <c r="AZ130">
        <f>IF($B$1+49&gt;90,AY130,(AY130+IF($B$1+49&lt;=$B130,12*($B$7-$B$10),-12*($B$6+$B$10)*(1+$B$4)^49))*IF(AY130+IF($B$1+49&lt;=$B130,12*($B$7-$B$10),-12*($B$6+$B$10)*(1+$B$4)^49)&gt;0,1+$B$3,1))</f>
        <v/>
      </c>
      <c r="BA130">
        <f>IF($B$1+50&gt;90,AZ130,(AZ130+IF($B$1+50&lt;=$B130,12*($B$7-$B$10),-12*($B$6+$B$10)*(1+$B$4)^50))*IF(AZ130+IF($B$1+50&lt;=$B130,12*($B$7-$B$10),-12*($B$6+$B$10)*(1+$B$4)^50)&gt;0,1+$B$3,1))</f>
        <v/>
      </c>
      <c r="BB130">
        <f>IF($B$1+51&gt;90,BA130,(BA130+IF($B$1+51&lt;=$B130,12*($B$7-$B$10),-12*($B$6+$B$10)*(1+$B$4)^51))*IF(BA130+IF($B$1+51&lt;=$B130,12*($B$7-$B$10),-12*($B$6+$B$10)*(1+$B$4)^51)&gt;0,1+$B$3,1))</f>
        <v/>
      </c>
      <c r="BC130">
        <f>IF($B$1+52&gt;90,BB130,(BB130+IF($B$1+52&lt;=$B130,12*($B$7-$B$10),-12*($B$6+$B$10)*(1+$B$4)^52))*IF(BB130+IF($B$1+52&lt;=$B130,12*($B$7-$B$10),-12*($B$6+$B$10)*(1+$B$4)^52)&gt;0,1+$B$3,1))</f>
        <v/>
      </c>
      <c r="BD130">
        <f>IF($B$1+53&gt;90,BC130,(BC130+IF($B$1+53&lt;=$B130,12*($B$7-$B$10),-12*($B$6+$B$10)*(1+$B$4)^53))*IF(BC130+IF($B$1+53&lt;=$B130,12*($B$7-$B$10),-12*($B$6+$B$10)*(1+$B$4)^53)&gt;0,1+$B$3,1))</f>
        <v/>
      </c>
      <c r="BE130">
        <f>IF($B$1+54&gt;90,BD130,(BD130+IF($B$1+54&lt;=$B130,12*($B$7-$B$10),-12*($B$6+$B$10)*(1+$B$4)^54))*IF(BD130+IF($B$1+54&lt;=$B130,12*($B$7-$B$10),-12*($B$6+$B$10)*(1+$B$4)^54)&gt;0,1+$B$3,1))</f>
        <v/>
      </c>
      <c r="BF130">
        <f>IF($B$1+55&gt;90,BE130,(BE130+IF($B$1+55&lt;=$B130,12*($B$7-$B$10),-12*($B$6+$B$10)*(1+$B$4)^55))*IF(BE130+IF($B$1+55&lt;=$B130,12*($B$7-$B$10),-12*($B$6+$B$10)*(1+$B$4)^55)&gt;0,1+$B$3,1))</f>
        <v/>
      </c>
      <c r="BG130">
        <f>IF($B$1+56&gt;90,BF130,(BF130+IF($B$1+56&lt;=$B130,12*($B$7-$B$10),-12*($B$6+$B$10)*(1+$B$4)^56))*IF(BF130+IF($B$1+56&lt;=$B130,12*($B$7-$B$10),-12*($B$6+$B$10)*(1+$B$4)^56)&gt;0,1+$B$3,1))</f>
        <v/>
      </c>
      <c r="BH130">
        <f>IF($B$1+57&gt;90,BG130,(BG130+IF($B$1+57&lt;=$B130,12*($B$7-$B$10),-12*($B$6+$B$10)*(1+$B$4)^57))*IF(BG130+IF($B$1+57&lt;=$B130,12*($B$7-$B$10),-12*($B$6+$B$10)*(1+$B$4)^57)&gt;0,1+$B$3,1))</f>
        <v/>
      </c>
      <c r="BI130">
        <f>IF($B$1+58&gt;90,BH130,(BH130+IF($B$1+58&lt;=$B130,12*($B$7-$B$10),-12*($B$6+$B$10)*(1+$B$4)^58))*IF(BH130+IF($B$1+58&lt;=$B130,12*($B$7-$B$10),-12*($B$6+$B$10)*(1+$B$4)^58)&gt;0,1+$B$3,1))</f>
        <v/>
      </c>
      <c r="BJ130">
        <f>IF($B$1+59&gt;90,BI130,(BI130+IF($B$1+59&lt;=$B130,12*($B$7-$B$10),-12*($B$6+$B$10)*(1+$B$4)^59))*IF(BI130+IF($B$1+59&lt;=$B130,12*($B$7-$B$10),-12*($B$6+$B$10)*(1+$B$4)^59)&gt;0,1+$B$3,1))</f>
        <v/>
      </c>
      <c r="BK130">
        <f>IF($B$1+60&gt;90,BJ130,(BJ130+IF($B$1+60&lt;=$B130,12*($B$7-$B$10),-12*($B$6+$B$10)*(1+$B$4)^60))*IF(BJ130+IF($B$1+60&lt;=$B130,12*($B$7-$B$10),-12*($B$6+$B$10)*(1+$B$4)^60)&gt;0,1+$B$3,1))</f>
        <v/>
      </c>
      <c r="BL130">
        <f>IF($B$1+61&gt;90,BK130,(BK130+IF($B$1+61&lt;=$B130,12*($B$7-$B$10),-12*($B$6+$B$10)*(1+$B$4)^61))*IF(BK130+IF($B$1+61&lt;=$B130,12*($B$7-$B$10),-12*($B$6+$B$10)*(1+$B$4)^61)&gt;0,1+$B$3,1))</f>
        <v/>
      </c>
      <c r="BM130">
        <f>IF($B$1+62&gt;90,BL130,(BL130+IF($B$1+62&lt;=$B130,12*($B$7-$B$10),-12*($B$6+$B$10)*(1+$B$4)^62))*IF(BL130+IF($B$1+62&lt;=$B130,12*($B$7-$B$10),-12*($B$6+$B$10)*(1+$B$4)^62)&gt;0,1+$B$3,1))</f>
        <v/>
      </c>
      <c r="BN130">
        <f>IF($B$1+63&gt;90,BM130,(BM130+IF($B$1+63&lt;=$B130,12*($B$7-$B$10),-12*($B$6+$B$10)*(1+$B$4)^63))*IF(BM130+IF($B$1+63&lt;=$B130,12*($B$7-$B$10),-12*($B$6+$B$10)*(1+$B$4)^63)&gt;0,1+$B$3,1))</f>
        <v/>
      </c>
      <c r="BO130">
        <f>IF($B$1+64&gt;90,BN130,(BN130+IF($B$1+64&lt;=$B130,12*($B$7-$B$10),-12*($B$6+$B$10)*(1+$B$4)^64))*IF(BN130+IF($B$1+64&lt;=$B130,12*($B$7-$B$10),-12*($B$6+$B$10)*(1+$B$4)^64)&gt;0,1+$B$3,1))</f>
        <v/>
      </c>
      <c r="BP130">
        <f>IF($B$1+65&gt;90,BO130,(BO130+IF($B$1+65&lt;=$B130,12*($B$7-$B$10),-12*($B$6+$B$10)*(1+$B$4)^65))*IF(BO130+IF($B$1+65&lt;=$B130,12*($B$7-$B$10),-12*($B$6+$B$10)*(1+$B$4)^65)&gt;0,1+$B$3,1))</f>
        <v/>
      </c>
      <c r="BQ130">
        <f>IF($B$1+66&gt;90,BP130,(BP130+IF($B$1+66&lt;=$B130,12*($B$7-$B$10),-12*($B$6+$B$10)*(1+$B$4)^66))*IF(BP130+IF($B$1+66&lt;=$B130,12*($B$7-$B$10),-12*($B$6+$B$10)*(1+$B$4)^66)&gt;0,1+$B$3,1))</f>
        <v/>
      </c>
      <c r="BR130">
        <f>IF($B$1+67&gt;90,BQ130,(BQ130+IF($B$1+67&lt;=$B130,12*($B$7-$B$10),-12*($B$6+$B$10)*(1+$B$4)^67))*IF(BQ130+IF($B$1+67&lt;=$B130,12*($B$7-$B$10),-12*($B$6+$B$10)*(1+$B$4)^67)&gt;0,1+$B$3,1))</f>
        <v/>
      </c>
      <c r="BS130">
        <f>IF($B$1+68&gt;90,BR130,(BR130+IF($B$1+68&lt;=$B130,12*($B$7-$B$10),-12*($B$6+$B$10)*(1+$B$4)^68))*IF(BR130+IF($B$1+68&lt;=$B130,12*($B$7-$B$10),-12*($B$6+$B$10)*(1+$B$4)^68)&gt;0,1+$B$3,1))</f>
        <v/>
      </c>
      <c r="BT130">
        <f>IF($B$1+69&gt;90,BS130,(BS130+IF($B$1+69&lt;=$B130,12*($B$7-$B$10),-12*($B$6+$B$10)*(1+$B$4)^69))*IF(BS130+IF($B$1+69&lt;=$B130,12*($B$7-$B$10),-12*($B$6+$B$10)*(1+$B$4)^69)&gt;0,1+$B$3,1))</f>
        <v/>
      </c>
      <c r="BU130">
        <f>IF($B$1+70&gt;90,BT130,(BT130+IF($B$1+70&lt;=$B130,12*($B$7-$B$10),-12*($B$6+$B$10)*(1+$B$4)^70))*IF(BT130+IF($B$1+70&lt;=$B130,12*($B$7-$B$10),-12*($B$6+$B$10)*(1+$B$4)^70)&gt;0,1+$B$3,1))</f>
        <v/>
      </c>
      <c r="BV130">
        <f>BU130</f>
        <v/>
      </c>
      <c r="BW130">
        <f>IF(AND($B130&lt;=70,BV130&gt;0),$B130,999)</f>
        <v/>
      </c>
    </row>
    <row r="131">
      <c r="A131" t="n">
        <v>35</v>
      </c>
      <c r="B131">
        <f>$B$1+35</f>
        <v/>
      </c>
      <c r="C131">
        <f>$B$2</f>
        <v/>
      </c>
      <c r="D131">
        <f>IF($B$1+1&gt;90,C131,(C131+IF($B$1+1&lt;=$B131,12*($B$7-$B$10),-12*($B$6+$B$10)*(1+$B$4)^1))*IF(C131+IF($B$1+1&lt;=$B131,12*($B$7-$B$10),-12*($B$6+$B$10)*(1+$B$4)^1)&gt;0,1+$B$3,1))</f>
        <v/>
      </c>
      <c r="E131">
        <f>IF($B$1+2&gt;90,D131,(D131+IF($B$1+2&lt;=$B131,12*($B$7-$B$10),-12*($B$6+$B$10)*(1+$B$4)^2))*IF(D131+IF($B$1+2&lt;=$B131,12*($B$7-$B$10),-12*($B$6+$B$10)*(1+$B$4)^2)&gt;0,1+$B$3,1))</f>
        <v/>
      </c>
      <c r="F131">
        <f>IF($B$1+3&gt;90,E131,(E131+IF($B$1+3&lt;=$B131,12*($B$7-$B$10),-12*($B$6+$B$10)*(1+$B$4)^3))*IF(E131+IF($B$1+3&lt;=$B131,12*($B$7-$B$10),-12*($B$6+$B$10)*(1+$B$4)^3)&gt;0,1+$B$3,1))</f>
        <v/>
      </c>
      <c r="G131">
        <f>IF($B$1+4&gt;90,F131,(F131+IF($B$1+4&lt;=$B131,12*($B$7-$B$10),-12*($B$6+$B$10)*(1+$B$4)^4))*IF(F131+IF($B$1+4&lt;=$B131,12*($B$7-$B$10),-12*($B$6+$B$10)*(1+$B$4)^4)&gt;0,1+$B$3,1))</f>
        <v/>
      </c>
      <c r="H131">
        <f>IF($B$1+5&gt;90,G131,(G131+IF($B$1+5&lt;=$B131,12*($B$7-$B$10),-12*($B$6+$B$10)*(1+$B$4)^5))*IF(G131+IF($B$1+5&lt;=$B131,12*($B$7-$B$10),-12*($B$6+$B$10)*(1+$B$4)^5)&gt;0,1+$B$3,1))</f>
        <v/>
      </c>
      <c r="I131">
        <f>IF($B$1+6&gt;90,H131,(H131+IF($B$1+6&lt;=$B131,12*($B$7-$B$10),-12*($B$6+$B$10)*(1+$B$4)^6))*IF(H131+IF($B$1+6&lt;=$B131,12*($B$7-$B$10),-12*($B$6+$B$10)*(1+$B$4)^6)&gt;0,1+$B$3,1))</f>
        <v/>
      </c>
      <c r="J131">
        <f>IF($B$1+7&gt;90,I131,(I131+IF($B$1+7&lt;=$B131,12*($B$7-$B$10),-12*($B$6+$B$10)*(1+$B$4)^7))*IF(I131+IF($B$1+7&lt;=$B131,12*($B$7-$B$10),-12*($B$6+$B$10)*(1+$B$4)^7)&gt;0,1+$B$3,1))</f>
        <v/>
      </c>
      <c r="K131">
        <f>IF($B$1+8&gt;90,J131,(J131+IF($B$1+8&lt;=$B131,12*($B$7-$B$10),-12*($B$6+$B$10)*(1+$B$4)^8))*IF(J131+IF($B$1+8&lt;=$B131,12*($B$7-$B$10),-12*($B$6+$B$10)*(1+$B$4)^8)&gt;0,1+$B$3,1))</f>
        <v/>
      </c>
      <c r="L131">
        <f>IF($B$1+9&gt;90,K131,(K131+IF($B$1+9&lt;=$B131,12*($B$7-$B$10),-12*($B$6+$B$10)*(1+$B$4)^9))*IF(K131+IF($B$1+9&lt;=$B131,12*($B$7-$B$10),-12*($B$6+$B$10)*(1+$B$4)^9)&gt;0,1+$B$3,1))</f>
        <v/>
      </c>
      <c r="M131">
        <f>IF($B$1+10&gt;90,L131,(L131+IF($B$1+10&lt;=$B131,12*($B$7-$B$10),-12*($B$6+$B$10)*(1+$B$4)^10))*IF(L131+IF($B$1+10&lt;=$B131,12*($B$7-$B$10),-12*($B$6+$B$10)*(1+$B$4)^10)&gt;0,1+$B$3,1))</f>
        <v/>
      </c>
      <c r="N131">
        <f>IF($B$1+11&gt;90,M131,(M131+IF($B$1+11&lt;=$B131,12*($B$7-$B$10),-12*($B$6+$B$10)*(1+$B$4)^11))*IF(M131+IF($B$1+11&lt;=$B131,12*($B$7-$B$10),-12*($B$6+$B$10)*(1+$B$4)^11)&gt;0,1+$B$3,1))</f>
        <v/>
      </c>
      <c r="O131">
        <f>IF($B$1+12&gt;90,N131,(N131+IF($B$1+12&lt;=$B131,12*($B$7-$B$10),-12*($B$6+$B$10)*(1+$B$4)^12))*IF(N131+IF($B$1+12&lt;=$B131,12*($B$7-$B$10),-12*($B$6+$B$10)*(1+$B$4)^12)&gt;0,1+$B$3,1))</f>
        <v/>
      </c>
      <c r="P131">
        <f>IF($B$1+13&gt;90,O131,(O131+IF($B$1+13&lt;=$B131,12*($B$7-$B$10),-12*($B$6+$B$10)*(1+$B$4)^13))*IF(O131+IF($B$1+13&lt;=$B131,12*($B$7-$B$10),-12*($B$6+$B$10)*(1+$B$4)^13)&gt;0,1+$B$3,1))</f>
        <v/>
      </c>
      <c r="Q131">
        <f>IF($B$1+14&gt;90,P131,(P131+IF($B$1+14&lt;=$B131,12*($B$7-$B$10),-12*($B$6+$B$10)*(1+$B$4)^14))*IF(P131+IF($B$1+14&lt;=$B131,12*($B$7-$B$10),-12*($B$6+$B$10)*(1+$B$4)^14)&gt;0,1+$B$3,1))</f>
        <v/>
      </c>
      <c r="R131">
        <f>IF($B$1+15&gt;90,Q131,(Q131+IF($B$1+15&lt;=$B131,12*($B$7-$B$10),-12*($B$6+$B$10)*(1+$B$4)^15))*IF(Q131+IF($B$1+15&lt;=$B131,12*($B$7-$B$10),-12*($B$6+$B$10)*(1+$B$4)^15)&gt;0,1+$B$3,1))</f>
        <v/>
      </c>
      <c r="S131">
        <f>IF($B$1+16&gt;90,R131,(R131+IF($B$1+16&lt;=$B131,12*($B$7-$B$10),-12*($B$6+$B$10)*(1+$B$4)^16))*IF(R131+IF($B$1+16&lt;=$B131,12*($B$7-$B$10),-12*($B$6+$B$10)*(1+$B$4)^16)&gt;0,1+$B$3,1))</f>
        <v/>
      </c>
      <c r="T131">
        <f>IF($B$1+17&gt;90,S131,(S131+IF($B$1+17&lt;=$B131,12*($B$7-$B$10),-12*($B$6+$B$10)*(1+$B$4)^17))*IF(S131+IF($B$1+17&lt;=$B131,12*($B$7-$B$10),-12*($B$6+$B$10)*(1+$B$4)^17)&gt;0,1+$B$3,1))</f>
        <v/>
      </c>
      <c r="U131">
        <f>IF($B$1+18&gt;90,T131,(T131+IF($B$1+18&lt;=$B131,12*($B$7-$B$10),-12*($B$6+$B$10)*(1+$B$4)^18))*IF(T131+IF($B$1+18&lt;=$B131,12*($B$7-$B$10),-12*($B$6+$B$10)*(1+$B$4)^18)&gt;0,1+$B$3,1))</f>
        <v/>
      </c>
      <c r="V131">
        <f>IF($B$1+19&gt;90,U131,(U131+IF($B$1+19&lt;=$B131,12*($B$7-$B$10),-12*($B$6+$B$10)*(1+$B$4)^19))*IF(U131+IF($B$1+19&lt;=$B131,12*($B$7-$B$10),-12*($B$6+$B$10)*(1+$B$4)^19)&gt;0,1+$B$3,1))</f>
        <v/>
      </c>
      <c r="W131">
        <f>IF($B$1+20&gt;90,V131,(V131+IF($B$1+20&lt;=$B131,12*($B$7-$B$10),-12*($B$6+$B$10)*(1+$B$4)^20))*IF(V131+IF($B$1+20&lt;=$B131,12*($B$7-$B$10),-12*($B$6+$B$10)*(1+$B$4)^20)&gt;0,1+$B$3,1))</f>
        <v/>
      </c>
      <c r="X131">
        <f>IF($B$1+21&gt;90,W131,(W131+IF($B$1+21&lt;=$B131,12*($B$7-$B$10),-12*($B$6+$B$10)*(1+$B$4)^21))*IF(W131+IF($B$1+21&lt;=$B131,12*($B$7-$B$10),-12*($B$6+$B$10)*(1+$B$4)^21)&gt;0,1+$B$3,1))</f>
        <v/>
      </c>
      <c r="Y131">
        <f>IF($B$1+22&gt;90,X131,(X131+IF($B$1+22&lt;=$B131,12*($B$7-$B$10),-12*($B$6+$B$10)*(1+$B$4)^22))*IF(X131+IF($B$1+22&lt;=$B131,12*($B$7-$B$10),-12*($B$6+$B$10)*(1+$B$4)^22)&gt;0,1+$B$3,1))</f>
        <v/>
      </c>
      <c r="Z131">
        <f>IF($B$1+23&gt;90,Y131,(Y131+IF($B$1+23&lt;=$B131,12*($B$7-$B$10),-12*($B$6+$B$10)*(1+$B$4)^23))*IF(Y131+IF($B$1+23&lt;=$B131,12*($B$7-$B$10),-12*($B$6+$B$10)*(1+$B$4)^23)&gt;0,1+$B$3,1))</f>
        <v/>
      </c>
      <c r="AA131">
        <f>IF($B$1+24&gt;90,Z131,(Z131+IF($B$1+24&lt;=$B131,12*($B$7-$B$10),-12*($B$6+$B$10)*(1+$B$4)^24))*IF(Z131+IF($B$1+24&lt;=$B131,12*($B$7-$B$10),-12*($B$6+$B$10)*(1+$B$4)^24)&gt;0,1+$B$3,1))</f>
        <v/>
      </c>
      <c r="AB131">
        <f>IF($B$1+25&gt;90,AA131,(AA131+IF($B$1+25&lt;=$B131,12*($B$7-$B$10),-12*($B$6+$B$10)*(1+$B$4)^25))*IF(AA131+IF($B$1+25&lt;=$B131,12*($B$7-$B$10),-12*($B$6+$B$10)*(1+$B$4)^25)&gt;0,1+$B$3,1))</f>
        <v/>
      </c>
      <c r="AC131">
        <f>IF($B$1+26&gt;90,AB131,(AB131+IF($B$1+26&lt;=$B131,12*($B$7-$B$10),-12*($B$6+$B$10)*(1+$B$4)^26))*IF(AB131+IF($B$1+26&lt;=$B131,12*($B$7-$B$10),-12*($B$6+$B$10)*(1+$B$4)^26)&gt;0,1+$B$3,1))</f>
        <v/>
      </c>
      <c r="AD131">
        <f>IF($B$1+27&gt;90,AC131,(AC131+IF($B$1+27&lt;=$B131,12*($B$7-$B$10),-12*($B$6+$B$10)*(1+$B$4)^27))*IF(AC131+IF($B$1+27&lt;=$B131,12*($B$7-$B$10),-12*($B$6+$B$10)*(1+$B$4)^27)&gt;0,1+$B$3,1))</f>
        <v/>
      </c>
      <c r="AE131">
        <f>IF($B$1+28&gt;90,AD131,(AD131+IF($B$1+28&lt;=$B131,12*($B$7-$B$10),-12*($B$6+$B$10)*(1+$B$4)^28))*IF(AD131+IF($B$1+28&lt;=$B131,12*($B$7-$B$10),-12*($B$6+$B$10)*(1+$B$4)^28)&gt;0,1+$B$3,1))</f>
        <v/>
      </c>
      <c r="AF131">
        <f>IF($B$1+29&gt;90,AE131,(AE131+IF($B$1+29&lt;=$B131,12*($B$7-$B$10),-12*($B$6+$B$10)*(1+$B$4)^29))*IF(AE131+IF($B$1+29&lt;=$B131,12*($B$7-$B$10),-12*($B$6+$B$10)*(1+$B$4)^29)&gt;0,1+$B$3,1))</f>
        <v/>
      </c>
      <c r="AG131">
        <f>IF($B$1+30&gt;90,AF131,(AF131+IF($B$1+30&lt;=$B131,12*($B$7-$B$10),-12*($B$6+$B$10)*(1+$B$4)^30))*IF(AF131+IF($B$1+30&lt;=$B131,12*($B$7-$B$10),-12*($B$6+$B$10)*(1+$B$4)^30)&gt;0,1+$B$3,1))</f>
        <v/>
      </c>
      <c r="AH131">
        <f>IF($B$1+31&gt;90,AG131,(AG131+IF($B$1+31&lt;=$B131,12*($B$7-$B$10),-12*($B$6+$B$10)*(1+$B$4)^31))*IF(AG131+IF($B$1+31&lt;=$B131,12*($B$7-$B$10),-12*($B$6+$B$10)*(1+$B$4)^31)&gt;0,1+$B$3,1))</f>
        <v/>
      </c>
      <c r="AI131">
        <f>IF($B$1+32&gt;90,AH131,(AH131+IF($B$1+32&lt;=$B131,12*($B$7-$B$10),-12*($B$6+$B$10)*(1+$B$4)^32))*IF(AH131+IF($B$1+32&lt;=$B131,12*($B$7-$B$10),-12*($B$6+$B$10)*(1+$B$4)^32)&gt;0,1+$B$3,1))</f>
        <v/>
      </c>
      <c r="AJ131">
        <f>IF($B$1+33&gt;90,AI131,(AI131+IF($B$1+33&lt;=$B131,12*($B$7-$B$10),-12*($B$6+$B$10)*(1+$B$4)^33))*IF(AI131+IF($B$1+33&lt;=$B131,12*($B$7-$B$10),-12*($B$6+$B$10)*(1+$B$4)^33)&gt;0,1+$B$3,1))</f>
        <v/>
      </c>
      <c r="AK131">
        <f>IF($B$1+34&gt;90,AJ131,(AJ131+IF($B$1+34&lt;=$B131,12*($B$7-$B$10),-12*($B$6+$B$10)*(1+$B$4)^34))*IF(AJ131+IF($B$1+34&lt;=$B131,12*($B$7-$B$10),-12*($B$6+$B$10)*(1+$B$4)^34)&gt;0,1+$B$3,1))</f>
        <v/>
      </c>
      <c r="AL131">
        <f>IF($B$1+35&gt;90,AK131,(AK131+IF($B$1+35&lt;=$B131,12*($B$7-$B$10),-12*($B$6+$B$10)*(1+$B$4)^35))*IF(AK131+IF($B$1+35&lt;=$B131,12*($B$7-$B$10),-12*($B$6+$B$10)*(1+$B$4)^35)&gt;0,1+$B$3,1))</f>
        <v/>
      </c>
      <c r="AM131">
        <f>IF($B$1+36&gt;90,AL131,(AL131+IF($B$1+36&lt;=$B131,12*($B$7-$B$10),-12*($B$6+$B$10)*(1+$B$4)^36))*IF(AL131+IF($B$1+36&lt;=$B131,12*($B$7-$B$10),-12*($B$6+$B$10)*(1+$B$4)^36)&gt;0,1+$B$3,1))</f>
        <v/>
      </c>
      <c r="AN131">
        <f>IF($B$1+37&gt;90,AM131,(AM131+IF($B$1+37&lt;=$B131,12*($B$7-$B$10),-12*($B$6+$B$10)*(1+$B$4)^37))*IF(AM131+IF($B$1+37&lt;=$B131,12*($B$7-$B$10),-12*($B$6+$B$10)*(1+$B$4)^37)&gt;0,1+$B$3,1))</f>
        <v/>
      </c>
      <c r="AO131">
        <f>IF($B$1+38&gt;90,AN131,(AN131+IF($B$1+38&lt;=$B131,12*($B$7-$B$10),-12*($B$6+$B$10)*(1+$B$4)^38))*IF(AN131+IF($B$1+38&lt;=$B131,12*($B$7-$B$10),-12*($B$6+$B$10)*(1+$B$4)^38)&gt;0,1+$B$3,1))</f>
        <v/>
      </c>
      <c r="AP131">
        <f>IF($B$1+39&gt;90,AO131,(AO131+IF($B$1+39&lt;=$B131,12*($B$7-$B$10),-12*($B$6+$B$10)*(1+$B$4)^39))*IF(AO131+IF($B$1+39&lt;=$B131,12*($B$7-$B$10),-12*($B$6+$B$10)*(1+$B$4)^39)&gt;0,1+$B$3,1))</f>
        <v/>
      </c>
      <c r="AQ131">
        <f>IF($B$1+40&gt;90,AP131,(AP131+IF($B$1+40&lt;=$B131,12*($B$7-$B$10),-12*($B$6+$B$10)*(1+$B$4)^40))*IF(AP131+IF($B$1+40&lt;=$B131,12*($B$7-$B$10),-12*($B$6+$B$10)*(1+$B$4)^40)&gt;0,1+$B$3,1))</f>
        <v/>
      </c>
      <c r="AR131">
        <f>IF($B$1+41&gt;90,AQ131,(AQ131+IF($B$1+41&lt;=$B131,12*($B$7-$B$10),-12*($B$6+$B$10)*(1+$B$4)^41))*IF(AQ131+IF($B$1+41&lt;=$B131,12*($B$7-$B$10),-12*($B$6+$B$10)*(1+$B$4)^41)&gt;0,1+$B$3,1))</f>
        <v/>
      </c>
      <c r="AS131">
        <f>IF($B$1+42&gt;90,AR131,(AR131+IF($B$1+42&lt;=$B131,12*($B$7-$B$10),-12*($B$6+$B$10)*(1+$B$4)^42))*IF(AR131+IF($B$1+42&lt;=$B131,12*($B$7-$B$10),-12*($B$6+$B$10)*(1+$B$4)^42)&gt;0,1+$B$3,1))</f>
        <v/>
      </c>
      <c r="AT131">
        <f>IF($B$1+43&gt;90,AS131,(AS131+IF($B$1+43&lt;=$B131,12*($B$7-$B$10),-12*($B$6+$B$10)*(1+$B$4)^43))*IF(AS131+IF($B$1+43&lt;=$B131,12*($B$7-$B$10),-12*($B$6+$B$10)*(1+$B$4)^43)&gt;0,1+$B$3,1))</f>
        <v/>
      </c>
      <c r="AU131">
        <f>IF($B$1+44&gt;90,AT131,(AT131+IF($B$1+44&lt;=$B131,12*($B$7-$B$10),-12*($B$6+$B$10)*(1+$B$4)^44))*IF(AT131+IF($B$1+44&lt;=$B131,12*($B$7-$B$10),-12*($B$6+$B$10)*(1+$B$4)^44)&gt;0,1+$B$3,1))</f>
        <v/>
      </c>
      <c r="AV131">
        <f>IF($B$1+45&gt;90,AU131,(AU131+IF($B$1+45&lt;=$B131,12*($B$7-$B$10),-12*($B$6+$B$10)*(1+$B$4)^45))*IF(AU131+IF($B$1+45&lt;=$B131,12*($B$7-$B$10),-12*($B$6+$B$10)*(1+$B$4)^45)&gt;0,1+$B$3,1))</f>
        <v/>
      </c>
      <c r="AW131">
        <f>IF($B$1+46&gt;90,AV131,(AV131+IF($B$1+46&lt;=$B131,12*($B$7-$B$10),-12*($B$6+$B$10)*(1+$B$4)^46))*IF(AV131+IF($B$1+46&lt;=$B131,12*($B$7-$B$10),-12*($B$6+$B$10)*(1+$B$4)^46)&gt;0,1+$B$3,1))</f>
        <v/>
      </c>
      <c r="AX131">
        <f>IF($B$1+47&gt;90,AW131,(AW131+IF($B$1+47&lt;=$B131,12*($B$7-$B$10),-12*($B$6+$B$10)*(1+$B$4)^47))*IF(AW131+IF($B$1+47&lt;=$B131,12*($B$7-$B$10),-12*($B$6+$B$10)*(1+$B$4)^47)&gt;0,1+$B$3,1))</f>
        <v/>
      </c>
      <c r="AY131">
        <f>IF($B$1+48&gt;90,AX131,(AX131+IF($B$1+48&lt;=$B131,12*($B$7-$B$10),-12*($B$6+$B$10)*(1+$B$4)^48))*IF(AX131+IF($B$1+48&lt;=$B131,12*($B$7-$B$10),-12*($B$6+$B$10)*(1+$B$4)^48)&gt;0,1+$B$3,1))</f>
        <v/>
      </c>
      <c r="AZ131">
        <f>IF($B$1+49&gt;90,AY131,(AY131+IF($B$1+49&lt;=$B131,12*($B$7-$B$10),-12*($B$6+$B$10)*(1+$B$4)^49))*IF(AY131+IF($B$1+49&lt;=$B131,12*($B$7-$B$10),-12*($B$6+$B$10)*(1+$B$4)^49)&gt;0,1+$B$3,1))</f>
        <v/>
      </c>
      <c r="BA131">
        <f>IF($B$1+50&gt;90,AZ131,(AZ131+IF($B$1+50&lt;=$B131,12*($B$7-$B$10),-12*($B$6+$B$10)*(1+$B$4)^50))*IF(AZ131+IF($B$1+50&lt;=$B131,12*($B$7-$B$10),-12*($B$6+$B$10)*(1+$B$4)^50)&gt;0,1+$B$3,1))</f>
        <v/>
      </c>
      <c r="BB131">
        <f>IF($B$1+51&gt;90,BA131,(BA131+IF($B$1+51&lt;=$B131,12*($B$7-$B$10),-12*($B$6+$B$10)*(1+$B$4)^51))*IF(BA131+IF($B$1+51&lt;=$B131,12*($B$7-$B$10),-12*($B$6+$B$10)*(1+$B$4)^51)&gt;0,1+$B$3,1))</f>
        <v/>
      </c>
      <c r="BC131">
        <f>IF($B$1+52&gt;90,BB131,(BB131+IF($B$1+52&lt;=$B131,12*($B$7-$B$10),-12*($B$6+$B$10)*(1+$B$4)^52))*IF(BB131+IF($B$1+52&lt;=$B131,12*($B$7-$B$10),-12*($B$6+$B$10)*(1+$B$4)^52)&gt;0,1+$B$3,1))</f>
        <v/>
      </c>
      <c r="BD131">
        <f>IF($B$1+53&gt;90,BC131,(BC131+IF($B$1+53&lt;=$B131,12*($B$7-$B$10),-12*($B$6+$B$10)*(1+$B$4)^53))*IF(BC131+IF($B$1+53&lt;=$B131,12*($B$7-$B$10),-12*($B$6+$B$10)*(1+$B$4)^53)&gt;0,1+$B$3,1))</f>
        <v/>
      </c>
      <c r="BE131">
        <f>IF($B$1+54&gt;90,BD131,(BD131+IF($B$1+54&lt;=$B131,12*($B$7-$B$10),-12*($B$6+$B$10)*(1+$B$4)^54))*IF(BD131+IF($B$1+54&lt;=$B131,12*($B$7-$B$10),-12*($B$6+$B$10)*(1+$B$4)^54)&gt;0,1+$B$3,1))</f>
        <v/>
      </c>
      <c r="BF131">
        <f>IF($B$1+55&gt;90,BE131,(BE131+IF($B$1+55&lt;=$B131,12*($B$7-$B$10),-12*($B$6+$B$10)*(1+$B$4)^55))*IF(BE131+IF($B$1+55&lt;=$B131,12*($B$7-$B$10),-12*($B$6+$B$10)*(1+$B$4)^55)&gt;0,1+$B$3,1))</f>
        <v/>
      </c>
      <c r="BG131">
        <f>IF($B$1+56&gt;90,BF131,(BF131+IF($B$1+56&lt;=$B131,12*($B$7-$B$10),-12*($B$6+$B$10)*(1+$B$4)^56))*IF(BF131+IF($B$1+56&lt;=$B131,12*($B$7-$B$10),-12*($B$6+$B$10)*(1+$B$4)^56)&gt;0,1+$B$3,1))</f>
        <v/>
      </c>
      <c r="BH131">
        <f>IF($B$1+57&gt;90,BG131,(BG131+IF($B$1+57&lt;=$B131,12*($B$7-$B$10),-12*($B$6+$B$10)*(1+$B$4)^57))*IF(BG131+IF($B$1+57&lt;=$B131,12*($B$7-$B$10),-12*($B$6+$B$10)*(1+$B$4)^57)&gt;0,1+$B$3,1))</f>
        <v/>
      </c>
      <c r="BI131">
        <f>IF($B$1+58&gt;90,BH131,(BH131+IF($B$1+58&lt;=$B131,12*($B$7-$B$10),-12*($B$6+$B$10)*(1+$B$4)^58))*IF(BH131+IF($B$1+58&lt;=$B131,12*($B$7-$B$10),-12*($B$6+$B$10)*(1+$B$4)^58)&gt;0,1+$B$3,1))</f>
        <v/>
      </c>
      <c r="BJ131">
        <f>IF($B$1+59&gt;90,BI131,(BI131+IF($B$1+59&lt;=$B131,12*($B$7-$B$10),-12*($B$6+$B$10)*(1+$B$4)^59))*IF(BI131+IF($B$1+59&lt;=$B131,12*($B$7-$B$10),-12*($B$6+$B$10)*(1+$B$4)^59)&gt;0,1+$B$3,1))</f>
        <v/>
      </c>
      <c r="BK131">
        <f>IF($B$1+60&gt;90,BJ131,(BJ131+IF($B$1+60&lt;=$B131,12*($B$7-$B$10),-12*($B$6+$B$10)*(1+$B$4)^60))*IF(BJ131+IF($B$1+60&lt;=$B131,12*($B$7-$B$10),-12*($B$6+$B$10)*(1+$B$4)^60)&gt;0,1+$B$3,1))</f>
        <v/>
      </c>
      <c r="BL131">
        <f>IF($B$1+61&gt;90,BK131,(BK131+IF($B$1+61&lt;=$B131,12*($B$7-$B$10),-12*($B$6+$B$10)*(1+$B$4)^61))*IF(BK131+IF($B$1+61&lt;=$B131,12*($B$7-$B$10),-12*($B$6+$B$10)*(1+$B$4)^61)&gt;0,1+$B$3,1))</f>
        <v/>
      </c>
      <c r="BM131">
        <f>IF($B$1+62&gt;90,BL131,(BL131+IF($B$1+62&lt;=$B131,12*($B$7-$B$10),-12*($B$6+$B$10)*(1+$B$4)^62))*IF(BL131+IF($B$1+62&lt;=$B131,12*($B$7-$B$10),-12*($B$6+$B$10)*(1+$B$4)^62)&gt;0,1+$B$3,1))</f>
        <v/>
      </c>
      <c r="BN131">
        <f>IF($B$1+63&gt;90,BM131,(BM131+IF($B$1+63&lt;=$B131,12*($B$7-$B$10),-12*($B$6+$B$10)*(1+$B$4)^63))*IF(BM131+IF($B$1+63&lt;=$B131,12*($B$7-$B$10),-12*($B$6+$B$10)*(1+$B$4)^63)&gt;0,1+$B$3,1))</f>
        <v/>
      </c>
      <c r="BO131">
        <f>IF($B$1+64&gt;90,BN131,(BN131+IF($B$1+64&lt;=$B131,12*($B$7-$B$10),-12*($B$6+$B$10)*(1+$B$4)^64))*IF(BN131+IF($B$1+64&lt;=$B131,12*($B$7-$B$10),-12*($B$6+$B$10)*(1+$B$4)^64)&gt;0,1+$B$3,1))</f>
        <v/>
      </c>
      <c r="BP131">
        <f>IF($B$1+65&gt;90,BO131,(BO131+IF($B$1+65&lt;=$B131,12*($B$7-$B$10),-12*($B$6+$B$10)*(1+$B$4)^65))*IF(BO131+IF($B$1+65&lt;=$B131,12*($B$7-$B$10),-12*($B$6+$B$10)*(1+$B$4)^65)&gt;0,1+$B$3,1))</f>
        <v/>
      </c>
      <c r="BQ131">
        <f>IF($B$1+66&gt;90,BP131,(BP131+IF($B$1+66&lt;=$B131,12*($B$7-$B$10),-12*($B$6+$B$10)*(1+$B$4)^66))*IF(BP131+IF($B$1+66&lt;=$B131,12*($B$7-$B$10),-12*($B$6+$B$10)*(1+$B$4)^66)&gt;0,1+$B$3,1))</f>
        <v/>
      </c>
      <c r="BR131">
        <f>IF($B$1+67&gt;90,BQ131,(BQ131+IF($B$1+67&lt;=$B131,12*($B$7-$B$10),-12*($B$6+$B$10)*(1+$B$4)^67))*IF(BQ131+IF($B$1+67&lt;=$B131,12*($B$7-$B$10),-12*($B$6+$B$10)*(1+$B$4)^67)&gt;0,1+$B$3,1))</f>
        <v/>
      </c>
      <c r="BS131">
        <f>IF($B$1+68&gt;90,BR131,(BR131+IF($B$1+68&lt;=$B131,12*($B$7-$B$10),-12*($B$6+$B$10)*(1+$B$4)^68))*IF(BR131+IF($B$1+68&lt;=$B131,12*($B$7-$B$10),-12*($B$6+$B$10)*(1+$B$4)^68)&gt;0,1+$B$3,1))</f>
        <v/>
      </c>
      <c r="BT131">
        <f>IF($B$1+69&gt;90,BS131,(BS131+IF($B$1+69&lt;=$B131,12*($B$7-$B$10),-12*($B$6+$B$10)*(1+$B$4)^69))*IF(BS131+IF($B$1+69&lt;=$B131,12*($B$7-$B$10),-12*($B$6+$B$10)*(1+$B$4)^69)&gt;0,1+$B$3,1))</f>
        <v/>
      </c>
      <c r="BU131">
        <f>IF($B$1+70&gt;90,BT131,(BT131+IF($B$1+70&lt;=$B131,12*($B$7-$B$10),-12*($B$6+$B$10)*(1+$B$4)^70))*IF(BT131+IF($B$1+70&lt;=$B131,12*($B$7-$B$10),-12*($B$6+$B$10)*(1+$B$4)^70)&gt;0,1+$B$3,1))</f>
        <v/>
      </c>
      <c r="BV131">
        <f>BU131</f>
        <v/>
      </c>
      <c r="BW131">
        <f>IF(AND($B131&lt;=70,BV131&gt;0),$B131,999)</f>
        <v/>
      </c>
    </row>
    <row r="132">
      <c r="A132" t="n">
        <v>36</v>
      </c>
      <c r="B132">
        <f>$B$1+36</f>
        <v/>
      </c>
      <c r="C132">
        <f>$B$2</f>
        <v/>
      </c>
      <c r="D132">
        <f>IF($B$1+1&gt;90,C132,(C132+IF($B$1+1&lt;=$B132,12*($B$7-$B$10),-12*($B$6+$B$10)*(1+$B$4)^1))*IF(C132+IF($B$1+1&lt;=$B132,12*($B$7-$B$10),-12*($B$6+$B$10)*(1+$B$4)^1)&gt;0,1+$B$3,1))</f>
        <v/>
      </c>
      <c r="E132">
        <f>IF($B$1+2&gt;90,D132,(D132+IF($B$1+2&lt;=$B132,12*($B$7-$B$10),-12*($B$6+$B$10)*(1+$B$4)^2))*IF(D132+IF($B$1+2&lt;=$B132,12*($B$7-$B$10),-12*($B$6+$B$10)*(1+$B$4)^2)&gt;0,1+$B$3,1))</f>
        <v/>
      </c>
      <c r="F132">
        <f>IF($B$1+3&gt;90,E132,(E132+IF($B$1+3&lt;=$B132,12*($B$7-$B$10),-12*($B$6+$B$10)*(1+$B$4)^3))*IF(E132+IF($B$1+3&lt;=$B132,12*($B$7-$B$10),-12*($B$6+$B$10)*(1+$B$4)^3)&gt;0,1+$B$3,1))</f>
        <v/>
      </c>
      <c r="G132">
        <f>IF($B$1+4&gt;90,F132,(F132+IF($B$1+4&lt;=$B132,12*($B$7-$B$10),-12*($B$6+$B$10)*(1+$B$4)^4))*IF(F132+IF($B$1+4&lt;=$B132,12*($B$7-$B$10),-12*($B$6+$B$10)*(1+$B$4)^4)&gt;0,1+$B$3,1))</f>
        <v/>
      </c>
      <c r="H132">
        <f>IF($B$1+5&gt;90,G132,(G132+IF($B$1+5&lt;=$B132,12*($B$7-$B$10),-12*($B$6+$B$10)*(1+$B$4)^5))*IF(G132+IF($B$1+5&lt;=$B132,12*($B$7-$B$10),-12*($B$6+$B$10)*(1+$B$4)^5)&gt;0,1+$B$3,1))</f>
        <v/>
      </c>
      <c r="I132">
        <f>IF($B$1+6&gt;90,H132,(H132+IF($B$1+6&lt;=$B132,12*($B$7-$B$10),-12*($B$6+$B$10)*(1+$B$4)^6))*IF(H132+IF($B$1+6&lt;=$B132,12*($B$7-$B$10),-12*($B$6+$B$10)*(1+$B$4)^6)&gt;0,1+$B$3,1))</f>
        <v/>
      </c>
      <c r="J132">
        <f>IF($B$1+7&gt;90,I132,(I132+IF($B$1+7&lt;=$B132,12*($B$7-$B$10),-12*($B$6+$B$10)*(1+$B$4)^7))*IF(I132+IF($B$1+7&lt;=$B132,12*($B$7-$B$10),-12*($B$6+$B$10)*(1+$B$4)^7)&gt;0,1+$B$3,1))</f>
        <v/>
      </c>
      <c r="K132">
        <f>IF($B$1+8&gt;90,J132,(J132+IF($B$1+8&lt;=$B132,12*($B$7-$B$10),-12*($B$6+$B$10)*(1+$B$4)^8))*IF(J132+IF($B$1+8&lt;=$B132,12*($B$7-$B$10),-12*($B$6+$B$10)*(1+$B$4)^8)&gt;0,1+$B$3,1))</f>
        <v/>
      </c>
      <c r="L132">
        <f>IF($B$1+9&gt;90,K132,(K132+IF($B$1+9&lt;=$B132,12*($B$7-$B$10),-12*($B$6+$B$10)*(1+$B$4)^9))*IF(K132+IF($B$1+9&lt;=$B132,12*($B$7-$B$10),-12*($B$6+$B$10)*(1+$B$4)^9)&gt;0,1+$B$3,1))</f>
        <v/>
      </c>
      <c r="M132">
        <f>IF($B$1+10&gt;90,L132,(L132+IF($B$1+10&lt;=$B132,12*($B$7-$B$10),-12*($B$6+$B$10)*(1+$B$4)^10))*IF(L132+IF($B$1+10&lt;=$B132,12*($B$7-$B$10),-12*($B$6+$B$10)*(1+$B$4)^10)&gt;0,1+$B$3,1))</f>
        <v/>
      </c>
      <c r="N132">
        <f>IF($B$1+11&gt;90,M132,(M132+IF($B$1+11&lt;=$B132,12*($B$7-$B$10),-12*($B$6+$B$10)*(1+$B$4)^11))*IF(M132+IF($B$1+11&lt;=$B132,12*($B$7-$B$10),-12*($B$6+$B$10)*(1+$B$4)^11)&gt;0,1+$B$3,1))</f>
        <v/>
      </c>
      <c r="O132">
        <f>IF($B$1+12&gt;90,N132,(N132+IF($B$1+12&lt;=$B132,12*($B$7-$B$10),-12*($B$6+$B$10)*(1+$B$4)^12))*IF(N132+IF($B$1+12&lt;=$B132,12*($B$7-$B$10),-12*($B$6+$B$10)*(1+$B$4)^12)&gt;0,1+$B$3,1))</f>
        <v/>
      </c>
      <c r="P132">
        <f>IF($B$1+13&gt;90,O132,(O132+IF($B$1+13&lt;=$B132,12*($B$7-$B$10),-12*($B$6+$B$10)*(1+$B$4)^13))*IF(O132+IF($B$1+13&lt;=$B132,12*($B$7-$B$10),-12*($B$6+$B$10)*(1+$B$4)^13)&gt;0,1+$B$3,1))</f>
        <v/>
      </c>
      <c r="Q132">
        <f>IF($B$1+14&gt;90,P132,(P132+IF($B$1+14&lt;=$B132,12*($B$7-$B$10),-12*($B$6+$B$10)*(1+$B$4)^14))*IF(P132+IF($B$1+14&lt;=$B132,12*($B$7-$B$10),-12*($B$6+$B$10)*(1+$B$4)^14)&gt;0,1+$B$3,1))</f>
        <v/>
      </c>
      <c r="R132">
        <f>IF($B$1+15&gt;90,Q132,(Q132+IF($B$1+15&lt;=$B132,12*($B$7-$B$10),-12*($B$6+$B$10)*(1+$B$4)^15))*IF(Q132+IF($B$1+15&lt;=$B132,12*($B$7-$B$10),-12*($B$6+$B$10)*(1+$B$4)^15)&gt;0,1+$B$3,1))</f>
        <v/>
      </c>
      <c r="S132">
        <f>IF($B$1+16&gt;90,R132,(R132+IF($B$1+16&lt;=$B132,12*($B$7-$B$10),-12*($B$6+$B$10)*(1+$B$4)^16))*IF(R132+IF($B$1+16&lt;=$B132,12*($B$7-$B$10),-12*($B$6+$B$10)*(1+$B$4)^16)&gt;0,1+$B$3,1))</f>
        <v/>
      </c>
      <c r="T132">
        <f>IF($B$1+17&gt;90,S132,(S132+IF($B$1+17&lt;=$B132,12*($B$7-$B$10),-12*($B$6+$B$10)*(1+$B$4)^17))*IF(S132+IF($B$1+17&lt;=$B132,12*($B$7-$B$10),-12*($B$6+$B$10)*(1+$B$4)^17)&gt;0,1+$B$3,1))</f>
        <v/>
      </c>
      <c r="U132">
        <f>IF($B$1+18&gt;90,T132,(T132+IF($B$1+18&lt;=$B132,12*($B$7-$B$10),-12*($B$6+$B$10)*(1+$B$4)^18))*IF(T132+IF($B$1+18&lt;=$B132,12*($B$7-$B$10),-12*($B$6+$B$10)*(1+$B$4)^18)&gt;0,1+$B$3,1))</f>
        <v/>
      </c>
      <c r="V132">
        <f>IF($B$1+19&gt;90,U132,(U132+IF($B$1+19&lt;=$B132,12*($B$7-$B$10),-12*($B$6+$B$10)*(1+$B$4)^19))*IF(U132+IF($B$1+19&lt;=$B132,12*($B$7-$B$10),-12*($B$6+$B$10)*(1+$B$4)^19)&gt;0,1+$B$3,1))</f>
        <v/>
      </c>
      <c r="W132">
        <f>IF($B$1+20&gt;90,V132,(V132+IF($B$1+20&lt;=$B132,12*($B$7-$B$10),-12*($B$6+$B$10)*(1+$B$4)^20))*IF(V132+IF($B$1+20&lt;=$B132,12*($B$7-$B$10),-12*($B$6+$B$10)*(1+$B$4)^20)&gt;0,1+$B$3,1))</f>
        <v/>
      </c>
      <c r="X132">
        <f>IF($B$1+21&gt;90,W132,(W132+IF($B$1+21&lt;=$B132,12*($B$7-$B$10),-12*($B$6+$B$10)*(1+$B$4)^21))*IF(W132+IF($B$1+21&lt;=$B132,12*($B$7-$B$10),-12*($B$6+$B$10)*(1+$B$4)^21)&gt;0,1+$B$3,1))</f>
        <v/>
      </c>
      <c r="Y132">
        <f>IF($B$1+22&gt;90,X132,(X132+IF($B$1+22&lt;=$B132,12*($B$7-$B$10),-12*($B$6+$B$10)*(1+$B$4)^22))*IF(X132+IF($B$1+22&lt;=$B132,12*($B$7-$B$10),-12*($B$6+$B$10)*(1+$B$4)^22)&gt;0,1+$B$3,1))</f>
        <v/>
      </c>
      <c r="Z132">
        <f>IF($B$1+23&gt;90,Y132,(Y132+IF($B$1+23&lt;=$B132,12*($B$7-$B$10),-12*($B$6+$B$10)*(1+$B$4)^23))*IF(Y132+IF($B$1+23&lt;=$B132,12*($B$7-$B$10),-12*($B$6+$B$10)*(1+$B$4)^23)&gt;0,1+$B$3,1))</f>
        <v/>
      </c>
      <c r="AA132">
        <f>IF($B$1+24&gt;90,Z132,(Z132+IF($B$1+24&lt;=$B132,12*($B$7-$B$10),-12*($B$6+$B$10)*(1+$B$4)^24))*IF(Z132+IF($B$1+24&lt;=$B132,12*($B$7-$B$10),-12*($B$6+$B$10)*(1+$B$4)^24)&gt;0,1+$B$3,1))</f>
        <v/>
      </c>
      <c r="AB132">
        <f>IF($B$1+25&gt;90,AA132,(AA132+IF($B$1+25&lt;=$B132,12*($B$7-$B$10),-12*($B$6+$B$10)*(1+$B$4)^25))*IF(AA132+IF($B$1+25&lt;=$B132,12*($B$7-$B$10),-12*($B$6+$B$10)*(1+$B$4)^25)&gt;0,1+$B$3,1))</f>
        <v/>
      </c>
      <c r="AC132">
        <f>IF($B$1+26&gt;90,AB132,(AB132+IF($B$1+26&lt;=$B132,12*($B$7-$B$10),-12*($B$6+$B$10)*(1+$B$4)^26))*IF(AB132+IF($B$1+26&lt;=$B132,12*($B$7-$B$10),-12*($B$6+$B$10)*(1+$B$4)^26)&gt;0,1+$B$3,1))</f>
        <v/>
      </c>
      <c r="AD132">
        <f>IF($B$1+27&gt;90,AC132,(AC132+IF($B$1+27&lt;=$B132,12*($B$7-$B$10),-12*($B$6+$B$10)*(1+$B$4)^27))*IF(AC132+IF($B$1+27&lt;=$B132,12*($B$7-$B$10),-12*($B$6+$B$10)*(1+$B$4)^27)&gt;0,1+$B$3,1))</f>
        <v/>
      </c>
      <c r="AE132">
        <f>IF($B$1+28&gt;90,AD132,(AD132+IF($B$1+28&lt;=$B132,12*($B$7-$B$10),-12*($B$6+$B$10)*(1+$B$4)^28))*IF(AD132+IF($B$1+28&lt;=$B132,12*($B$7-$B$10),-12*($B$6+$B$10)*(1+$B$4)^28)&gt;0,1+$B$3,1))</f>
        <v/>
      </c>
      <c r="AF132">
        <f>IF($B$1+29&gt;90,AE132,(AE132+IF($B$1+29&lt;=$B132,12*($B$7-$B$10),-12*($B$6+$B$10)*(1+$B$4)^29))*IF(AE132+IF($B$1+29&lt;=$B132,12*($B$7-$B$10),-12*($B$6+$B$10)*(1+$B$4)^29)&gt;0,1+$B$3,1))</f>
        <v/>
      </c>
      <c r="AG132">
        <f>IF($B$1+30&gt;90,AF132,(AF132+IF($B$1+30&lt;=$B132,12*($B$7-$B$10),-12*($B$6+$B$10)*(1+$B$4)^30))*IF(AF132+IF($B$1+30&lt;=$B132,12*($B$7-$B$10),-12*($B$6+$B$10)*(1+$B$4)^30)&gt;0,1+$B$3,1))</f>
        <v/>
      </c>
      <c r="AH132">
        <f>IF($B$1+31&gt;90,AG132,(AG132+IF($B$1+31&lt;=$B132,12*($B$7-$B$10),-12*($B$6+$B$10)*(1+$B$4)^31))*IF(AG132+IF($B$1+31&lt;=$B132,12*($B$7-$B$10),-12*($B$6+$B$10)*(1+$B$4)^31)&gt;0,1+$B$3,1))</f>
        <v/>
      </c>
      <c r="AI132">
        <f>IF($B$1+32&gt;90,AH132,(AH132+IF($B$1+32&lt;=$B132,12*($B$7-$B$10),-12*($B$6+$B$10)*(1+$B$4)^32))*IF(AH132+IF($B$1+32&lt;=$B132,12*($B$7-$B$10),-12*($B$6+$B$10)*(1+$B$4)^32)&gt;0,1+$B$3,1))</f>
        <v/>
      </c>
      <c r="AJ132">
        <f>IF($B$1+33&gt;90,AI132,(AI132+IF($B$1+33&lt;=$B132,12*($B$7-$B$10),-12*($B$6+$B$10)*(1+$B$4)^33))*IF(AI132+IF($B$1+33&lt;=$B132,12*($B$7-$B$10),-12*($B$6+$B$10)*(1+$B$4)^33)&gt;0,1+$B$3,1))</f>
        <v/>
      </c>
      <c r="AK132">
        <f>IF($B$1+34&gt;90,AJ132,(AJ132+IF($B$1+34&lt;=$B132,12*($B$7-$B$10),-12*($B$6+$B$10)*(1+$B$4)^34))*IF(AJ132+IF($B$1+34&lt;=$B132,12*($B$7-$B$10),-12*($B$6+$B$10)*(1+$B$4)^34)&gt;0,1+$B$3,1))</f>
        <v/>
      </c>
      <c r="AL132">
        <f>IF($B$1+35&gt;90,AK132,(AK132+IF($B$1+35&lt;=$B132,12*($B$7-$B$10),-12*($B$6+$B$10)*(1+$B$4)^35))*IF(AK132+IF($B$1+35&lt;=$B132,12*($B$7-$B$10),-12*($B$6+$B$10)*(1+$B$4)^35)&gt;0,1+$B$3,1))</f>
        <v/>
      </c>
      <c r="AM132">
        <f>IF($B$1+36&gt;90,AL132,(AL132+IF($B$1+36&lt;=$B132,12*($B$7-$B$10),-12*($B$6+$B$10)*(1+$B$4)^36))*IF(AL132+IF($B$1+36&lt;=$B132,12*($B$7-$B$10),-12*($B$6+$B$10)*(1+$B$4)^36)&gt;0,1+$B$3,1))</f>
        <v/>
      </c>
      <c r="AN132">
        <f>IF($B$1+37&gt;90,AM132,(AM132+IF($B$1+37&lt;=$B132,12*($B$7-$B$10),-12*($B$6+$B$10)*(1+$B$4)^37))*IF(AM132+IF($B$1+37&lt;=$B132,12*($B$7-$B$10),-12*($B$6+$B$10)*(1+$B$4)^37)&gt;0,1+$B$3,1))</f>
        <v/>
      </c>
      <c r="AO132">
        <f>IF($B$1+38&gt;90,AN132,(AN132+IF($B$1+38&lt;=$B132,12*($B$7-$B$10),-12*($B$6+$B$10)*(1+$B$4)^38))*IF(AN132+IF($B$1+38&lt;=$B132,12*($B$7-$B$10),-12*($B$6+$B$10)*(1+$B$4)^38)&gt;0,1+$B$3,1))</f>
        <v/>
      </c>
      <c r="AP132">
        <f>IF($B$1+39&gt;90,AO132,(AO132+IF($B$1+39&lt;=$B132,12*($B$7-$B$10),-12*($B$6+$B$10)*(1+$B$4)^39))*IF(AO132+IF($B$1+39&lt;=$B132,12*($B$7-$B$10),-12*($B$6+$B$10)*(1+$B$4)^39)&gt;0,1+$B$3,1))</f>
        <v/>
      </c>
      <c r="AQ132">
        <f>IF($B$1+40&gt;90,AP132,(AP132+IF($B$1+40&lt;=$B132,12*($B$7-$B$10),-12*($B$6+$B$10)*(1+$B$4)^40))*IF(AP132+IF($B$1+40&lt;=$B132,12*($B$7-$B$10),-12*($B$6+$B$10)*(1+$B$4)^40)&gt;0,1+$B$3,1))</f>
        <v/>
      </c>
      <c r="AR132">
        <f>IF($B$1+41&gt;90,AQ132,(AQ132+IF($B$1+41&lt;=$B132,12*($B$7-$B$10),-12*($B$6+$B$10)*(1+$B$4)^41))*IF(AQ132+IF($B$1+41&lt;=$B132,12*($B$7-$B$10),-12*($B$6+$B$10)*(1+$B$4)^41)&gt;0,1+$B$3,1))</f>
        <v/>
      </c>
      <c r="AS132">
        <f>IF($B$1+42&gt;90,AR132,(AR132+IF($B$1+42&lt;=$B132,12*($B$7-$B$10),-12*($B$6+$B$10)*(1+$B$4)^42))*IF(AR132+IF($B$1+42&lt;=$B132,12*($B$7-$B$10),-12*($B$6+$B$10)*(1+$B$4)^42)&gt;0,1+$B$3,1))</f>
        <v/>
      </c>
      <c r="AT132">
        <f>IF($B$1+43&gt;90,AS132,(AS132+IF($B$1+43&lt;=$B132,12*($B$7-$B$10),-12*($B$6+$B$10)*(1+$B$4)^43))*IF(AS132+IF($B$1+43&lt;=$B132,12*($B$7-$B$10),-12*($B$6+$B$10)*(1+$B$4)^43)&gt;0,1+$B$3,1))</f>
        <v/>
      </c>
      <c r="AU132">
        <f>IF($B$1+44&gt;90,AT132,(AT132+IF($B$1+44&lt;=$B132,12*($B$7-$B$10),-12*($B$6+$B$10)*(1+$B$4)^44))*IF(AT132+IF($B$1+44&lt;=$B132,12*($B$7-$B$10),-12*($B$6+$B$10)*(1+$B$4)^44)&gt;0,1+$B$3,1))</f>
        <v/>
      </c>
      <c r="AV132">
        <f>IF($B$1+45&gt;90,AU132,(AU132+IF($B$1+45&lt;=$B132,12*($B$7-$B$10),-12*($B$6+$B$10)*(1+$B$4)^45))*IF(AU132+IF($B$1+45&lt;=$B132,12*($B$7-$B$10),-12*($B$6+$B$10)*(1+$B$4)^45)&gt;0,1+$B$3,1))</f>
        <v/>
      </c>
      <c r="AW132">
        <f>IF($B$1+46&gt;90,AV132,(AV132+IF($B$1+46&lt;=$B132,12*($B$7-$B$10),-12*($B$6+$B$10)*(1+$B$4)^46))*IF(AV132+IF($B$1+46&lt;=$B132,12*($B$7-$B$10),-12*($B$6+$B$10)*(1+$B$4)^46)&gt;0,1+$B$3,1))</f>
        <v/>
      </c>
      <c r="AX132">
        <f>IF($B$1+47&gt;90,AW132,(AW132+IF($B$1+47&lt;=$B132,12*($B$7-$B$10),-12*($B$6+$B$10)*(1+$B$4)^47))*IF(AW132+IF($B$1+47&lt;=$B132,12*($B$7-$B$10),-12*($B$6+$B$10)*(1+$B$4)^47)&gt;0,1+$B$3,1))</f>
        <v/>
      </c>
      <c r="AY132">
        <f>IF($B$1+48&gt;90,AX132,(AX132+IF($B$1+48&lt;=$B132,12*($B$7-$B$10),-12*($B$6+$B$10)*(1+$B$4)^48))*IF(AX132+IF($B$1+48&lt;=$B132,12*($B$7-$B$10),-12*($B$6+$B$10)*(1+$B$4)^48)&gt;0,1+$B$3,1))</f>
        <v/>
      </c>
      <c r="AZ132">
        <f>IF($B$1+49&gt;90,AY132,(AY132+IF($B$1+49&lt;=$B132,12*($B$7-$B$10),-12*($B$6+$B$10)*(1+$B$4)^49))*IF(AY132+IF($B$1+49&lt;=$B132,12*($B$7-$B$10),-12*($B$6+$B$10)*(1+$B$4)^49)&gt;0,1+$B$3,1))</f>
        <v/>
      </c>
      <c r="BA132">
        <f>IF($B$1+50&gt;90,AZ132,(AZ132+IF($B$1+50&lt;=$B132,12*($B$7-$B$10),-12*($B$6+$B$10)*(1+$B$4)^50))*IF(AZ132+IF($B$1+50&lt;=$B132,12*($B$7-$B$10),-12*($B$6+$B$10)*(1+$B$4)^50)&gt;0,1+$B$3,1))</f>
        <v/>
      </c>
      <c r="BB132">
        <f>IF($B$1+51&gt;90,BA132,(BA132+IF($B$1+51&lt;=$B132,12*($B$7-$B$10),-12*($B$6+$B$10)*(1+$B$4)^51))*IF(BA132+IF($B$1+51&lt;=$B132,12*($B$7-$B$10),-12*($B$6+$B$10)*(1+$B$4)^51)&gt;0,1+$B$3,1))</f>
        <v/>
      </c>
      <c r="BC132">
        <f>IF($B$1+52&gt;90,BB132,(BB132+IF($B$1+52&lt;=$B132,12*($B$7-$B$10),-12*($B$6+$B$10)*(1+$B$4)^52))*IF(BB132+IF($B$1+52&lt;=$B132,12*($B$7-$B$10),-12*($B$6+$B$10)*(1+$B$4)^52)&gt;0,1+$B$3,1))</f>
        <v/>
      </c>
      <c r="BD132">
        <f>IF($B$1+53&gt;90,BC132,(BC132+IF($B$1+53&lt;=$B132,12*($B$7-$B$10),-12*($B$6+$B$10)*(1+$B$4)^53))*IF(BC132+IF($B$1+53&lt;=$B132,12*($B$7-$B$10),-12*($B$6+$B$10)*(1+$B$4)^53)&gt;0,1+$B$3,1))</f>
        <v/>
      </c>
      <c r="BE132">
        <f>IF($B$1+54&gt;90,BD132,(BD132+IF($B$1+54&lt;=$B132,12*($B$7-$B$10),-12*($B$6+$B$10)*(1+$B$4)^54))*IF(BD132+IF($B$1+54&lt;=$B132,12*($B$7-$B$10),-12*($B$6+$B$10)*(1+$B$4)^54)&gt;0,1+$B$3,1))</f>
        <v/>
      </c>
      <c r="BF132">
        <f>IF($B$1+55&gt;90,BE132,(BE132+IF($B$1+55&lt;=$B132,12*($B$7-$B$10),-12*($B$6+$B$10)*(1+$B$4)^55))*IF(BE132+IF($B$1+55&lt;=$B132,12*($B$7-$B$10),-12*($B$6+$B$10)*(1+$B$4)^55)&gt;0,1+$B$3,1))</f>
        <v/>
      </c>
      <c r="BG132">
        <f>IF($B$1+56&gt;90,BF132,(BF132+IF($B$1+56&lt;=$B132,12*($B$7-$B$10),-12*($B$6+$B$10)*(1+$B$4)^56))*IF(BF132+IF($B$1+56&lt;=$B132,12*($B$7-$B$10),-12*($B$6+$B$10)*(1+$B$4)^56)&gt;0,1+$B$3,1))</f>
        <v/>
      </c>
      <c r="BH132">
        <f>IF($B$1+57&gt;90,BG132,(BG132+IF($B$1+57&lt;=$B132,12*($B$7-$B$10),-12*($B$6+$B$10)*(1+$B$4)^57))*IF(BG132+IF($B$1+57&lt;=$B132,12*($B$7-$B$10),-12*($B$6+$B$10)*(1+$B$4)^57)&gt;0,1+$B$3,1))</f>
        <v/>
      </c>
      <c r="BI132">
        <f>IF($B$1+58&gt;90,BH132,(BH132+IF($B$1+58&lt;=$B132,12*($B$7-$B$10),-12*($B$6+$B$10)*(1+$B$4)^58))*IF(BH132+IF($B$1+58&lt;=$B132,12*($B$7-$B$10),-12*($B$6+$B$10)*(1+$B$4)^58)&gt;0,1+$B$3,1))</f>
        <v/>
      </c>
      <c r="BJ132">
        <f>IF($B$1+59&gt;90,BI132,(BI132+IF($B$1+59&lt;=$B132,12*($B$7-$B$10),-12*($B$6+$B$10)*(1+$B$4)^59))*IF(BI132+IF($B$1+59&lt;=$B132,12*($B$7-$B$10),-12*($B$6+$B$10)*(1+$B$4)^59)&gt;0,1+$B$3,1))</f>
        <v/>
      </c>
      <c r="BK132">
        <f>IF($B$1+60&gt;90,BJ132,(BJ132+IF($B$1+60&lt;=$B132,12*($B$7-$B$10),-12*($B$6+$B$10)*(1+$B$4)^60))*IF(BJ132+IF($B$1+60&lt;=$B132,12*($B$7-$B$10),-12*($B$6+$B$10)*(1+$B$4)^60)&gt;0,1+$B$3,1))</f>
        <v/>
      </c>
      <c r="BL132">
        <f>IF($B$1+61&gt;90,BK132,(BK132+IF($B$1+61&lt;=$B132,12*($B$7-$B$10),-12*($B$6+$B$10)*(1+$B$4)^61))*IF(BK132+IF($B$1+61&lt;=$B132,12*($B$7-$B$10),-12*($B$6+$B$10)*(1+$B$4)^61)&gt;0,1+$B$3,1))</f>
        <v/>
      </c>
      <c r="BM132">
        <f>IF($B$1+62&gt;90,BL132,(BL132+IF($B$1+62&lt;=$B132,12*($B$7-$B$10),-12*($B$6+$B$10)*(1+$B$4)^62))*IF(BL132+IF($B$1+62&lt;=$B132,12*($B$7-$B$10),-12*($B$6+$B$10)*(1+$B$4)^62)&gt;0,1+$B$3,1))</f>
        <v/>
      </c>
      <c r="BN132">
        <f>IF($B$1+63&gt;90,BM132,(BM132+IF($B$1+63&lt;=$B132,12*($B$7-$B$10),-12*($B$6+$B$10)*(1+$B$4)^63))*IF(BM132+IF($B$1+63&lt;=$B132,12*($B$7-$B$10),-12*($B$6+$B$10)*(1+$B$4)^63)&gt;0,1+$B$3,1))</f>
        <v/>
      </c>
      <c r="BO132">
        <f>IF($B$1+64&gt;90,BN132,(BN132+IF($B$1+64&lt;=$B132,12*($B$7-$B$10),-12*($B$6+$B$10)*(1+$B$4)^64))*IF(BN132+IF($B$1+64&lt;=$B132,12*($B$7-$B$10),-12*($B$6+$B$10)*(1+$B$4)^64)&gt;0,1+$B$3,1))</f>
        <v/>
      </c>
      <c r="BP132">
        <f>IF($B$1+65&gt;90,BO132,(BO132+IF($B$1+65&lt;=$B132,12*($B$7-$B$10),-12*($B$6+$B$10)*(1+$B$4)^65))*IF(BO132+IF($B$1+65&lt;=$B132,12*($B$7-$B$10),-12*($B$6+$B$10)*(1+$B$4)^65)&gt;0,1+$B$3,1))</f>
        <v/>
      </c>
      <c r="BQ132">
        <f>IF($B$1+66&gt;90,BP132,(BP132+IF($B$1+66&lt;=$B132,12*($B$7-$B$10),-12*($B$6+$B$10)*(1+$B$4)^66))*IF(BP132+IF($B$1+66&lt;=$B132,12*($B$7-$B$10),-12*($B$6+$B$10)*(1+$B$4)^66)&gt;0,1+$B$3,1))</f>
        <v/>
      </c>
      <c r="BR132">
        <f>IF($B$1+67&gt;90,BQ132,(BQ132+IF($B$1+67&lt;=$B132,12*($B$7-$B$10),-12*($B$6+$B$10)*(1+$B$4)^67))*IF(BQ132+IF($B$1+67&lt;=$B132,12*($B$7-$B$10),-12*($B$6+$B$10)*(1+$B$4)^67)&gt;0,1+$B$3,1))</f>
        <v/>
      </c>
      <c r="BS132">
        <f>IF($B$1+68&gt;90,BR132,(BR132+IF($B$1+68&lt;=$B132,12*($B$7-$B$10),-12*($B$6+$B$10)*(1+$B$4)^68))*IF(BR132+IF($B$1+68&lt;=$B132,12*($B$7-$B$10),-12*($B$6+$B$10)*(1+$B$4)^68)&gt;0,1+$B$3,1))</f>
        <v/>
      </c>
      <c r="BT132">
        <f>IF($B$1+69&gt;90,BS132,(BS132+IF($B$1+69&lt;=$B132,12*($B$7-$B$10),-12*($B$6+$B$10)*(1+$B$4)^69))*IF(BS132+IF($B$1+69&lt;=$B132,12*($B$7-$B$10),-12*($B$6+$B$10)*(1+$B$4)^69)&gt;0,1+$B$3,1))</f>
        <v/>
      </c>
      <c r="BU132">
        <f>IF($B$1+70&gt;90,BT132,(BT132+IF($B$1+70&lt;=$B132,12*($B$7-$B$10),-12*($B$6+$B$10)*(1+$B$4)^70))*IF(BT132+IF($B$1+70&lt;=$B132,12*($B$7-$B$10),-12*($B$6+$B$10)*(1+$B$4)^70)&gt;0,1+$B$3,1))</f>
        <v/>
      </c>
      <c r="BV132">
        <f>BU132</f>
        <v/>
      </c>
      <c r="BW132">
        <f>IF(AND($B132&lt;=70,BV132&gt;0),$B132,999)</f>
        <v/>
      </c>
    </row>
    <row r="133">
      <c r="A133" t="n">
        <v>37</v>
      </c>
      <c r="B133">
        <f>$B$1+37</f>
        <v/>
      </c>
      <c r="C133">
        <f>$B$2</f>
        <v/>
      </c>
      <c r="D133">
        <f>IF($B$1+1&gt;90,C133,(C133+IF($B$1+1&lt;=$B133,12*($B$7-$B$10),-12*($B$6+$B$10)*(1+$B$4)^1))*IF(C133+IF($B$1+1&lt;=$B133,12*($B$7-$B$10),-12*($B$6+$B$10)*(1+$B$4)^1)&gt;0,1+$B$3,1))</f>
        <v/>
      </c>
      <c r="E133">
        <f>IF($B$1+2&gt;90,D133,(D133+IF($B$1+2&lt;=$B133,12*($B$7-$B$10),-12*($B$6+$B$10)*(1+$B$4)^2))*IF(D133+IF($B$1+2&lt;=$B133,12*($B$7-$B$10),-12*($B$6+$B$10)*(1+$B$4)^2)&gt;0,1+$B$3,1))</f>
        <v/>
      </c>
      <c r="F133">
        <f>IF($B$1+3&gt;90,E133,(E133+IF($B$1+3&lt;=$B133,12*($B$7-$B$10),-12*($B$6+$B$10)*(1+$B$4)^3))*IF(E133+IF($B$1+3&lt;=$B133,12*($B$7-$B$10),-12*($B$6+$B$10)*(1+$B$4)^3)&gt;0,1+$B$3,1))</f>
        <v/>
      </c>
      <c r="G133">
        <f>IF($B$1+4&gt;90,F133,(F133+IF($B$1+4&lt;=$B133,12*($B$7-$B$10),-12*($B$6+$B$10)*(1+$B$4)^4))*IF(F133+IF($B$1+4&lt;=$B133,12*($B$7-$B$10),-12*($B$6+$B$10)*(1+$B$4)^4)&gt;0,1+$B$3,1))</f>
        <v/>
      </c>
      <c r="H133">
        <f>IF($B$1+5&gt;90,G133,(G133+IF($B$1+5&lt;=$B133,12*($B$7-$B$10),-12*($B$6+$B$10)*(1+$B$4)^5))*IF(G133+IF($B$1+5&lt;=$B133,12*($B$7-$B$10),-12*($B$6+$B$10)*(1+$B$4)^5)&gt;0,1+$B$3,1))</f>
        <v/>
      </c>
      <c r="I133">
        <f>IF($B$1+6&gt;90,H133,(H133+IF($B$1+6&lt;=$B133,12*($B$7-$B$10),-12*($B$6+$B$10)*(1+$B$4)^6))*IF(H133+IF($B$1+6&lt;=$B133,12*($B$7-$B$10),-12*($B$6+$B$10)*(1+$B$4)^6)&gt;0,1+$B$3,1))</f>
        <v/>
      </c>
      <c r="J133">
        <f>IF($B$1+7&gt;90,I133,(I133+IF($B$1+7&lt;=$B133,12*($B$7-$B$10),-12*($B$6+$B$10)*(1+$B$4)^7))*IF(I133+IF($B$1+7&lt;=$B133,12*($B$7-$B$10),-12*($B$6+$B$10)*(1+$B$4)^7)&gt;0,1+$B$3,1))</f>
        <v/>
      </c>
      <c r="K133">
        <f>IF($B$1+8&gt;90,J133,(J133+IF($B$1+8&lt;=$B133,12*($B$7-$B$10),-12*($B$6+$B$10)*(1+$B$4)^8))*IF(J133+IF($B$1+8&lt;=$B133,12*($B$7-$B$10),-12*($B$6+$B$10)*(1+$B$4)^8)&gt;0,1+$B$3,1))</f>
        <v/>
      </c>
      <c r="L133">
        <f>IF($B$1+9&gt;90,K133,(K133+IF($B$1+9&lt;=$B133,12*($B$7-$B$10),-12*($B$6+$B$10)*(1+$B$4)^9))*IF(K133+IF($B$1+9&lt;=$B133,12*($B$7-$B$10),-12*($B$6+$B$10)*(1+$B$4)^9)&gt;0,1+$B$3,1))</f>
        <v/>
      </c>
      <c r="M133">
        <f>IF($B$1+10&gt;90,L133,(L133+IF($B$1+10&lt;=$B133,12*($B$7-$B$10),-12*($B$6+$B$10)*(1+$B$4)^10))*IF(L133+IF($B$1+10&lt;=$B133,12*($B$7-$B$10),-12*($B$6+$B$10)*(1+$B$4)^10)&gt;0,1+$B$3,1))</f>
        <v/>
      </c>
      <c r="N133">
        <f>IF($B$1+11&gt;90,M133,(M133+IF($B$1+11&lt;=$B133,12*($B$7-$B$10),-12*($B$6+$B$10)*(1+$B$4)^11))*IF(M133+IF($B$1+11&lt;=$B133,12*($B$7-$B$10),-12*($B$6+$B$10)*(1+$B$4)^11)&gt;0,1+$B$3,1))</f>
        <v/>
      </c>
      <c r="O133">
        <f>IF($B$1+12&gt;90,N133,(N133+IF($B$1+12&lt;=$B133,12*($B$7-$B$10),-12*($B$6+$B$10)*(1+$B$4)^12))*IF(N133+IF($B$1+12&lt;=$B133,12*($B$7-$B$10),-12*($B$6+$B$10)*(1+$B$4)^12)&gt;0,1+$B$3,1))</f>
        <v/>
      </c>
      <c r="P133">
        <f>IF($B$1+13&gt;90,O133,(O133+IF($B$1+13&lt;=$B133,12*($B$7-$B$10),-12*($B$6+$B$10)*(1+$B$4)^13))*IF(O133+IF($B$1+13&lt;=$B133,12*($B$7-$B$10),-12*($B$6+$B$10)*(1+$B$4)^13)&gt;0,1+$B$3,1))</f>
        <v/>
      </c>
      <c r="Q133">
        <f>IF($B$1+14&gt;90,P133,(P133+IF($B$1+14&lt;=$B133,12*($B$7-$B$10),-12*($B$6+$B$10)*(1+$B$4)^14))*IF(P133+IF($B$1+14&lt;=$B133,12*($B$7-$B$10),-12*($B$6+$B$10)*(1+$B$4)^14)&gt;0,1+$B$3,1))</f>
        <v/>
      </c>
      <c r="R133">
        <f>IF($B$1+15&gt;90,Q133,(Q133+IF($B$1+15&lt;=$B133,12*($B$7-$B$10),-12*($B$6+$B$10)*(1+$B$4)^15))*IF(Q133+IF($B$1+15&lt;=$B133,12*($B$7-$B$10),-12*($B$6+$B$10)*(1+$B$4)^15)&gt;0,1+$B$3,1))</f>
        <v/>
      </c>
      <c r="S133">
        <f>IF($B$1+16&gt;90,R133,(R133+IF($B$1+16&lt;=$B133,12*($B$7-$B$10),-12*($B$6+$B$10)*(1+$B$4)^16))*IF(R133+IF($B$1+16&lt;=$B133,12*($B$7-$B$10),-12*($B$6+$B$10)*(1+$B$4)^16)&gt;0,1+$B$3,1))</f>
        <v/>
      </c>
      <c r="T133">
        <f>IF($B$1+17&gt;90,S133,(S133+IF($B$1+17&lt;=$B133,12*($B$7-$B$10),-12*($B$6+$B$10)*(1+$B$4)^17))*IF(S133+IF($B$1+17&lt;=$B133,12*($B$7-$B$10),-12*($B$6+$B$10)*(1+$B$4)^17)&gt;0,1+$B$3,1))</f>
        <v/>
      </c>
      <c r="U133">
        <f>IF($B$1+18&gt;90,T133,(T133+IF($B$1+18&lt;=$B133,12*($B$7-$B$10),-12*($B$6+$B$10)*(1+$B$4)^18))*IF(T133+IF($B$1+18&lt;=$B133,12*($B$7-$B$10),-12*($B$6+$B$10)*(1+$B$4)^18)&gt;0,1+$B$3,1))</f>
        <v/>
      </c>
      <c r="V133">
        <f>IF($B$1+19&gt;90,U133,(U133+IF($B$1+19&lt;=$B133,12*($B$7-$B$10),-12*($B$6+$B$10)*(1+$B$4)^19))*IF(U133+IF($B$1+19&lt;=$B133,12*($B$7-$B$10),-12*($B$6+$B$10)*(1+$B$4)^19)&gt;0,1+$B$3,1))</f>
        <v/>
      </c>
      <c r="W133">
        <f>IF($B$1+20&gt;90,V133,(V133+IF($B$1+20&lt;=$B133,12*($B$7-$B$10),-12*($B$6+$B$10)*(1+$B$4)^20))*IF(V133+IF($B$1+20&lt;=$B133,12*($B$7-$B$10),-12*($B$6+$B$10)*(1+$B$4)^20)&gt;0,1+$B$3,1))</f>
        <v/>
      </c>
      <c r="X133">
        <f>IF($B$1+21&gt;90,W133,(W133+IF($B$1+21&lt;=$B133,12*($B$7-$B$10),-12*($B$6+$B$10)*(1+$B$4)^21))*IF(W133+IF($B$1+21&lt;=$B133,12*($B$7-$B$10),-12*($B$6+$B$10)*(1+$B$4)^21)&gt;0,1+$B$3,1))</f>
        <v/>
      </c>
      <c r="Y133">
        <f>IF($B$1+22&gt;90,X133,(X133+IF($B$1+22&lt;=$B133,12*($B$7-$B$10),-12*($B$6+$B$10)*(1+$B$4)^22))*IF(X133+IF($B$1+22&lt;=$B133,12*($B$7-$B$10),-12*($B$6+$B$10)*(1+$B$4)^22)&gt;0,1+$B$3,1))</f>
        <v/>
      </c>
      <c r="Z133">
        <f>IF($B$1+23&gt;90,Y133,(Y133+IF($B$1+23&lt;=$B133,12*($B$7-$B$10),-12*($B$6+$B$10)*(1+$B$4)^23))*IF(Y133+IF($B$1+23&lt;=$B133,12*($B$7-$B$10),-12*($B$6+$B$10)*(1+$B$4)^23)&gt;0,1+$B$3,1))</f>
        <v/>
      </c>
      <c r="AA133">
        <f>IF($B$1+24&gt;90,Z133,(Z133+IF($B$1+24&lt;=$B133,12*($B$7-$B$10),-12*($B$6+$B$10)*(1+$B$4)^24))*IF(Z133+IF($B$1+24&lt;=$B133,12*($B$7-$B$10),-12*($B$6+$B$10)*(1+$B$4)^24)&gt;0,1+$B$3,1))</f>
        <v/>
      </c>
      <c r="AB133">
        <f>IF($B$1+25&gt;90,AA133,(AA133+IF($B$1+25&lt;=$B133,12*($B$7-$B$10),-12*($B$6+$B$10)*(1+$B$4)^25))*IF(AA133+IF($B$1+25&lt;=$B133,12*($B$7-$B$10),-12*($B$6+$B$10)*(1+$B$4)^25)&gt;0,1+$B$3,1))</f>
        <v/>
      </c>
      <c r="AC133">
        <f>IF($B$1+26&gt;90,AB133,(AB133+IF($B$1+26&lt;=$B133,12*($B$7-$B$10),-12*($B$6+$B$10)*(1+$B$4)^26))*IF(AB133+IF($B$1+26&lt;=$B133,12*($B$7-$B$10),-12*($B$6+$B$10)*(1+$B$4)^26)&gt;0,1+$B$3,1))</f>
        <v/>
      </c>
      <c r="AD133">
        <f>IF($B$1+27&gt;90,AC133,(AC133+IF($B$1+27&lt;=$B133,12*($B$7-$B$10),-12*($B$6+$B$10)*(1+$B$4)^27))*IF(AC133+IF($B$1+27&lt;=$B133,12*($B$7-$B$10),-12*($B$6+$B$10)*(1+$B$4)^27)&gt;0,1+$B$3,1))</f>
        <v/>
      </c>
      <c r="AE133">
        <f>IF($B$1+28&gt;90,AD133,(AD133+IF($B$1+28&lt;=$B133,12*($B$7-$B$10),-12*($B$6+$B$10)*(1+$B$4)^28))*IF(AD133+IF($B$1+28&lt;=$B133,12*($B$7-$B$10),-12*($B$6+$B$10)*(1+$B$4)^28)&gt;0,1+$B$3,1))</f>
        <v/>
      </c>
      <c r="AF133">
        <f>IF($B$1+29&gt;90,AE133,(AE133+IF($B$1+29&lt;=$B133,12*($B$7-$B$10),-12*($B$6+$B$10)*(1+$B$4)^29))*IF(AE133+IF($B$1+29&lt;=$B133,12*($B$7-$B$10),-12*($B$6+$B$10)*(1+$B$4)^29)&gt;0,1+$B$3,1))</f>
        <v/>
      </c>
      <c r="AG133">
        <f>IF($B$1+30&gt;90,AF133,(AF133+IF($B$1+30&lt;=$B133,12*($B$7-$B$10),-12*($B$6+$B$10)*(1+$B$4)^30))*IF(AF133+IF($B$1+30&lt;=$B133,12*($B$7-$B$10),-12*($B$6+$B$10)*(1+$B$4)^30)&gt;0,1+$B$3,1))</f>
        <v/>
      </c>
      <c r="AH133">
        <f>IF($B$1+31&gt;90,AG133,(AG133+IF($B$1+31&lt;=$B133,12*($B$7-$B$10),-12*($B$6+$B$10)*(1+$B$4)^31))*IF(AG133+IF($B$1+31&lt;=$B133,12*($B$7-$B$10),-12*($B$6+$B$10)*(1+$B$4)^31)&gt;0,1+$B$3,1))</f>
        <v/>
      </c>
      <c r="AI133">
        <f>IF($B$1+32&gt;90,AH133,(AH133+IF($B$1+32&lt;=$B133,12*($B$7-$B$10),-12*($B$6+$B$10)*(1+$B$4)^32))*IF(AH133+IF($B$1+32&lt;=$B133,12*($B$7-$B$10),-12*($B$6+$B$10)*(1+$B$4)^32)&gt;0,1+$B$3,1))</f>
        <v/>
      </c>
      <c r="AJ133">
        <f>IF($B$1+33&gt;90,AI133,(AI133+IF($B$1+33&lt;=$B133,12*($B$7-$B$10),-12*($B$6+$B$10)*(1+$B$4)^33))*IF(AI133+IF($B$1+33&lt;=$B133,12*($B$7-$B$10),-12*($B$6+$B$10)*(1+$B$4)^33)&gt;0,1+$B$3,1))</f>
        <v/>
      </c>
      <c r="AK133">
        <f>IF($B$1+34&gt;90,AJ133,(AJ133+IF($B$1+34&lt;=$B133,12*($B$7-$B$10),-12*($B$6+$B$10)*(1+$B$4)^34))*IF(AJ133+IF($B$1+34&lt;=$B133,12*($B$7-$B$10),-12*($B$6+$B$10)*(1+$B$4)^34)&gt;0,1+$B$3,1))</f>
        <v/>
      </c>
      <c r="AL133">
        <f>IF($B$1+35&gt;90,AK133,(AK133+IF($B$1+35&lt;=$B133,12*($B$7-$B$10),-12*($B$6+$B$10)*(1+$B$4)^35))*IF(AK133+IF($B$1+35&lt;=$B133,12*($B$7-$B$10),-12*($B$6+$B$10)*(1+$B$4)^35)&gt;0,1+$B$3,1))</f>
        <v/>
      </c>
      <c r="AM133">
        <f>IF($B$1+36&gt;90,AL133,(AL133+IF($B$1+36&lt;=$B133,12*($B$7-$B$10),-12*($B$6+$B$10)*(1+$B$4)^36))*IF(AL133+IF($B$1+36&lt;=$B133,12*($B$7-$B$10),-12*($B$6+$B$10)*(1+$B$4)^36)&gt;0,1+$B$3,1))</f>
        <v/>
      </c>
      <c r="AN133">
        <f>IF($B$1+37&gt;90,AM133,(AM133+IF($B$1+37&lt;=$B133,12*($B$7-$B$10),-12*($B$6+$B$10)*(1+$B$4)^37))*IF(AM133+IF($B$1+37&lt;=$B133,12*($B$7-$B$10),-12*($B$6+$B$10)*(1+$B$4)^37)&gt;0,1+$B$3,1))</f>
        <v/>
      </c>
      <c r="AO133">
        <f>IF($B$1+38&gt;90,AN133,(AN133+IF($B$1+38&lt;=$B133,12*($B$7-$B$10),-12*($B$6+$B$10)*(1+$B$4)^38))*IF(AN133+IF($B$1+38&lt;=$B133,12*($B$7-$B$10),-12*($B$6+$B$10)*(1+$B$4)^38)&gt;0,1+$B$3,1))</f>
        <v/>
      </c>
      <c r="AP133">
        <f>IF($B$1+39&gt;90,AO133,(AO133+IF($B$1+39&lt;=$B133,12*($B$7-$B$10),-12*($B$6+$B$10)*(1+$B$4)^39))*IF(AO133+IF($B$1+39&lt;=$B133,12*($B$7-$B$10),-12*($B$6+$B$10)*(1+$B$4)^39)&gt;0,1+$B$3,1))</f>
        <v/>
      </c>
      <c r="AQ133">
        <f>IF($B$1+40&gt;90,AP133,(AP133+IF($B$1+40&lt;=$B133,12*($B$7-$B$10),-12*($B$6+$B$10)*(1+$B$4)^40))*IF(AP133+IF($B$1+40&lt;=$B133,12*($B$7-$B$10),-12*($B$6+$B$10)*(1+$B$4)^40)&gt;0,1+$B$3,1))</f>
        <v/>
      </c>
      <c r="AR133">
        <f>IF($B$1+41&gt;90,AQ133,(AQ133+IF($B$1+41&lt;=$B133,12*($B$7-$B$10),-12*($B$6+$B$10)*(1+$B$4)^41))*IF(AQ133+IF($B$1+41&lt;=$B133,12*($B$7-$B$10),-12*($B$6+$B$10)*(1+$B$4)^41)&gt;0,1+$B$3,1))</f>
        <v/>
      </c>
      <c r="AS133">
        <f>IF($B$1+42&gt;90,AR133,(AR133+IF($B$1+42&lt;=$B133,12*($B$7-$B$10),-12*($B$6+$B$10)*(1+$B$4)^42))*IF(AR133+IF($B$1+42&lt;=$B133,12*($B$7-$B$10),-12*($B$6+$B$10)*(1+$B$4)^42)&gt;0,1+$B$3,1))</f>
        <v/>
      </c>
      <c r="AT133">
        <f>IF($B$1+43&gt;90,AS133,(AS133+IF($B$1+43&lt;=$B133,12*($B$7-$B$10),-12*($B$6+$B$10)*(1+$B$4)^43))*IF(AS133+IF($B$1+43&lt;=$B133,12*($B$7-$B$10),-12*($B$6+$B$10)*(1+$B$4)^43)&gt;0,1+$B$3,1))</f>
        <v/>
      </c>
      <c r="AU133">
        <f>IF($B$1+44&gt;90,AT133,(AT133+IF($B$1+44&lt;=$B133,12*($B$7-$B$10),-12*($B$6+$B$10)*(1+$B$4)^44))*IF(AT133+IF($B$1+44&lt;=$B133,12*($B$7-$B$10),-12*($B$6+$B$10)*(1+$B$4)^44)&gt;0,1+$B$3,1))</f>
        <v/>
      </c>
      <c r="AV133">
        <f>IF($B$1+45&gt;90,AU133,(AU133+IF($B$1+45&lt;=$B133,12*($B$7-$B$10),-12*($B$6+$B$10)*(1+$B$4)^45))*IF(AU133+IF($B$1+45&lt;=$B133,12*($B$7-$B$10),-12*($B$6+$B$10)*(1+$B$4)^45)&gt;0,1+$B$3,1))</f>
        <v/>
      </c>
      <c r="AW133">
        <f>IF($B$1+46&gt;90,AV133,(AV133+IF($B$1+46&lt;=$B133,12*($B$7-$B$10),-12*($B$6+$B$10)*(1+$B$4)^46))*IF(AV133+IF($B$1+46&lt;=$B133,12*($B$7-$B$10),-12*($B$6+$B$10)*(1+$B$4)^46)&gt;0,1+$B$3,1))</f>
        <v/>
      </c>
      <c r="AX133">
        <f>IF($B$1+47&gt;90,AW133,(AW133+IF($B$1+47&lt;=$B133,12*($B$7-$B$10),-12*($B$6+$B$10)*(1+$B$4)^47))*IF(AW133+IF($B$1+47&lt;=$B133,12*($B$7-$B$10),-12*($B$6+$B$10)*(1+$B$4)^47)&gt;0,1+$B$3,1))</f>
        <v/>
      </c>
      <c r="AY133">
        <f>IF($B$1+48&gt;90,AX133,(AX133+IF($B$1+48&lt;=$B133,12*($B$7-$B$10),-12*($B$6+$B$10)*(1+$B$4)^48))*IF(AX133+IF($B$1+48&lt;=$B133,12*($B$7-$B$10),-12*($B$6+$B$10)*(1+$B$4)^48)&gt;0,1+$B$3,1))</f>
        <v/>
      </c>
      <c r="AZ133">
        <f>IF($B$1+49&gt;90,AY133,(AY133+IF($B$1+49&lt;=$B133,12*($B$7-$B$10),-12*($B$6+$B$10)*(1+$B$4)^49))*IF(AY133+IF($B$1+49&lt;=$B133,12*($B$7-$B$10),-12*($B$6+$B$10)*(1+$B$4)^49)&gt;0,1+$B$3,1))</f>
        <v/>
      </c>
      <c r="BA133">
        <f>IF($B$1+50&gt;90,AZ133,(AZ133+IF($B$1+50&lt;=$B133,12*($B$7-$B$10),-12*($B$6+$B$10)*(1+$B$4)^50))*IF(AZ133+IF($B$1+50&lt;=$B133,12*($B$7-$B$10),-12*($B$6+$B$10)*(1+$B$4)^50)&gt;0,1+$B$3,1))</f>
        <v/>
      </c>
      <c r="BB133">
        <f>IF($B$1+51&gt;90,BA133,(BA133+IF($B$1+51&lt;=$B133,12*($B$7-$B$10),-12*($B$6+$B$10)*(1+$B$4)^51))*IF(BA133+IF($B$1+51&lt;=$B133,12*($B$7-$B$10),-12*($B$6+$B$10)*(1+$B$4)^51)&gt;0,1+$B$3,1))</f>
        <v/>
      </c>
      <c r="BC133">
        <f>IF($B$1+52&gt;90,BB133,(BB133+IF($B$1+52&lt;=$B133,12*($B$7-$B$10),-12*($B$6+$B$10)*(1+$B$4)^52))*IF(BB133+IF($B$1+52&lt;=$B133,12*($B$7-$B$10),-12*($B$6+$B$10)*(1+$B$4)^52)&gt;0,1+$B$3,1))</f>
        <v/>
      </c>
      <c r="BD133">
        <f>IF($B$1+53&gt;90,BC133,(BC133+IF($B$1+53&lt;=$B133,12*($B$7-$B$10),-12*($B$6+$B$10)*(1+$B$4)^53))*IF(BC133+IF($B$1+53&lt;=$B133,12*($B$7-$B$10),-12*($B$6+$B$10)*(1+$B$4)^53)&gt;0,1+$B$3,1))</f>
        <v/>
      </c>
      <c r="BE133">
        <f>IF($B$1+54&gt;90,BD133,(BD133+IF($B$1+54&lt;=$B133,12*($B$7-$B$10),-12*($B$6+$B$10)*(1+$B$4)^54))*IF(BD133+IF($B$1+54&lt;=$B133,12*($B$7-$B$10),-12*($B$6+$B$10)*(1+$B$4)^54)&gt;0,1+$B$3,1))</f>
        <v/>
      </c>
      <c r="BF133">
        <f>IF($B$1+55&gt;90,BE133,(BE133+IF($B$1+55&lt;=$B133,12*($B$7-$B$10),-12*($B$6+$B$10)*(1+$B$4)^55))*IF(BE133+IF($B$1+55&lt;=$B133,12*($B$7-$B$10),-12*($B$6+$B$10)*(1+$B$4)^55)&gt;0,1+$B$3,1))</f>
        <v/>
      </c>
      <c r="BG133">
        <f>IF($B$1+56&gt;90,BF133,(BF133+IF($B$1+56&lt;=$B133,12*($B$7-$B$10),-12*($B$6+$B$10)*(1+$B$4)^56))*IF(BF133+IF($B$1+56&lt;=$B133,12*($B$7-$B$10),-12*($B$6+$B$10)*(1+$B$4)^56)&gt;0,1+$B$3,1))</f>
        <v/>
      </c>
      <c r="BH133">
        <f>IF($B$1+57&gt;90,BG133,(BG133+IF($B$1+57&lt;=$B133,12*($B$7-$B$10),-12*($B$6+$B$10)*(1+$B$4)^57))*IF(BG133+IF($B$1+57&lt;=$B133,12*($B$7-$B$10),-12*($B$6+$B$10)*(1+$B$4)^57)&gt;0,1+$B$3,1))</f>
        <v/>
      </c>
      <c r="BI133">
        <f>IF($B$1+58&gt;90,BH133,(BH133+IF($B$1+58&lt;=$B133,12*($B$7-$B$10),-12*($B$6+$B$10)*(1+$B$4)^58))*IF(BH133+IF($B$1+58&lt;=$B133,12*($B$7-$B$10),-12*($B$6+$B$10)*(1+$B$4)^58)&gt;0,1+$B$3,1))</f>
        <v/>
      </c>
      <c r="BJ133">
        <f>IF($B$1+59&gt;90,BI133,(BI133+IF($B$1+59&lt;=$B133,12*($B$7-$B$10),-12*($B$6+$B$10)*(1+$B$4)^59))*IF(BI133+IF($B$1+59&lt;=$B133,12*($B$7-$B$10),-12*($B$6+$B$10)*(1+$B$4)^59)&gt;0,1+$B$3,1))</f>
        <v/>
      </c>
      <c r="BK133">
        <f>IF($B$1+60&gt;90,BJ133,(BJ133+IF($B$1+60&lt;=$B133,12*($B$7-$B$10),-12*($B$6+$B$10)*(1+$B$4)^60))*IF(BJ133+IF($B$1+60&lt;=$B133,12*($B$7-$B$10),-12*($B$6+$B$10)*(1+$B$4)^60)&gt;0,1+$B$3,1))</f>
        <v/>
      </c>
      <c r="BL133">
        <f>IF($B$1+61&gt;90,BK133,(BK133+IF($B$1+61&lt;=$B133,12*($B$7-$B$10),-12*($B$6+$B$10)*(1+$B$4)^61))*IF(BK133+IF($B$1+61&lt;=$B133,12*($B$7-$B$10),-12*($B$6+$B$10)*(1+$B$4)^61)&gt;0,1+$B$3,1))</f>
        <v/>
      </c>
      <c r="BM133">
        <f>IF($B$1+62&gt;90,BL133,(BL133+IF($B$1+62&lt;=$B133,12*($B$7-$B$10),-12*($B$6+$B$10)*(1+$B$4)^62))*IF(BL133+IF($B$1+62&lt;=$B133,12*($B$7-$B$10),-12*($B$6+$B$10)*(1+$B$4)^62)&gt;0,1+$B$3,1))</f>
        <v/>
      </c>
      <c r="BN133">
        <f>IF($B$1+63&gt;90,BM133,(BM133+IF($B$1+63&lt;=$B133,12*($B$7-$B$10),-12*($B$6+$B$10)*(1+$B$4)^63))*IF(BM133+IF($B$1+63&lt;=$B133,12*($B$7-$B$10),-12*($B$6+$B$10)*(1+$B$4)^63)&gt;0,1+$B$3,1))</f>
        <v/>
      </c>
      <c r="BO133">
        <f>IF($B$1+64&gt;90,BN133,(BN133+IF($B$1+64&lt;=$B133,12*($B$7-$B$10),-12*($B$6+$B$10)*(1+$B$4)^64))*IF(BN133+IF($B$1+64&lt;=$B133,12*($B$7-$B$10),-12*($B$6+$B$10)*(1+$B$4)^64)&gt;0,1+$B$3,1))</f>
        <v/>
      </c>
      <c r="BP133">
        <f>IF($B$1+65&gt;90,BO133,(BO133+IF($B$1+65&lt;=$B133,12*($B$7-$B$10),-12*($B$6+$B$10)*(1+$B$4)^65))*IF(BO133+IF($B$1+65&lt;=$B133,12*($B$7-$B$10),-12*($B$6+$B$10)*(1+$B$4)^65)&gt;0,1+$B$3,1))</f>
        <v/>
      </c>
      <c r="BQ133">
        <f>IF($B$1+66&gt;90,BP133,(BP133+IF($B$1+66&lt;=$B133,12*($B$7-$B$10),-12*($B$6+$B$10)*(1+$B$4)^66))*IF(BP133+IF($B$1+66&lt;=$B133,12*($B$7-$B$10),-12*($B$6+$B$10)*(1+$B$4)^66)&gt;0,1+$B$3,1))</f>
        <v/>
      </c>
      <c r="BR133">
        <f>IF($B$1+67&gt;90,BQ133,(BQ133+IF($B$1+67&lt;=$B133,12*($B$7-$B$10),-12*($B$6+$B$10)*(1+$B$4)^67))*IF(BQ133+IF($B$1+67&lt;=$B133,12*($B$7-$B$10),-12*($B$6+$B$10)*(1+$B$4)^67)&gt;0,1+$B$3,1))</f>
        <v/>
      </c>
      <c r="BS133">
        <f>IF($B$1+68&gt;90,BR133,(BR133+IF($B$1+68&lt;=$B133,12*($B$7-$B$10),-12*($B$6+$B$10)*(1+$B$4)^68))*IF(BR133+IF($B$1+68&lt;=$B133,12*($B$7-$B$10),-12*($B$6+$B$10)*(1+$B$4)^68)&gt;0,1+$B$3,1))</f>
        <v/>
      </c>
      <c r="BT133">
        <f>IF($B$1+69&gt;90,BS133,(BS133+IF($B$1+69&lt;=$B133,12*($B$7-$B$10),-12*($B$6+$B$10)*(1+$B$4)^69))*IF(BS133+IF($B$1+69&lt;=$B133,12*($B$7-$B$10),-12*($B$6+$B$10)*(1+$B$4)^69)&gt;0,1+$B$3,1))</f>
        <v/>
      </c>
      <c r="BU133">
        <f>IF($B$1+70&gt;90,BT133,(BT133+IF($B$1+70&lt;=$B133,12*($B$7-$B$10),-12*($B$6+$B$10)*(1+$B$4)^70))*IF(BT133+IF($B$1+70&lt;=$B133,12*($B$7-$B$10),-12*($B$6+$B$10)*(1+$B$4)^70)&gt;0,1+$B$3,1))</f>
        <v/>
      </c>
      <c r="BV133">
        <f>BU133</f>
        <v/>
      </c>
      <c r="BW133">
        <f>IF(AND($B133&lt;=70,BV133&gt;0),$B133,999)</f>
        <v/>
      </c>
    </row>
    <row r="134">
      <c r="A134" t="n">
        <v>38</v>
      </c>
      <c r="B134">
        <f>$B$1+38</f>
        <v/>
      </c>
      <c r="C134">
        <f>$B$2</f>
        <v/>
      </c>
      <c r="D134">
        <f>IF($B$1+1&gt;90,C134,(C134+IF($B$1+1&lt;=$B134,12*($B$7-$B$10),-12*($B$6+$B$10)*(1+$B$4)^1))*IF(C134+IF($B$1+1&lt;=$B134,12*($B$7-$B$10),-12*($B$6+$B$10)*(1+$B$4)^1)&gt;0,1+$B$3,1))</f>
        <v/>
      </c>
      <c r="E134">
        <f>IF($B$1+2&gt;90,D134,(D134+IF($B$1+2&lt;=$B134,12*($B$7-$B$10),-12*($B$6+$B$10)*(1+$B$4)^2))*IF(D134+IF($B$1+2&lt;=$B134,12*($B$7-$B$10),-12*($B$6+$B$10)*(1+$B$4)^2)&gt;0,1+$B$3,1))</f>
        <v/>
      </c>
      <c r="F134">
        <f>IF($B$1+3&gt;90,E134,(E134+IF($B$1+3&lt;=$B134,12*($B$7-$B$10),-12*($B$6+$B$10)*(1+$B$4)^3))*IF(E134+IF($B$1+3&lt;=$B134,12*($B$7-$B$10),-12*($B$6+$B$10)*(1+$B$4)^3)&gt;0,1+$B$3,1))</f>
        <v/>
      </c>
      <c r="G134">
        <f>IF($B$1+4&gt;90,F134,(F134+IF($B$1+4&lt;=$B134,12*($B$7-$B$10),-12*($B$6+$B$10)*(1+$B$4)^4))*IF(F134+IF($B$1+4&lt;=$B134,12*($B$7-$B$10),-12*($B$6+$B$10)*(1+$B$4)^4)&gt;0,1+$B$3,1))</f>
        <v/>
      </c>
      <c r="H134">
        <f>IF($B$1+5&gt;90,G134,(G134+IF($B$1+5&lt;=$B134,12*($B$7-$B$10),-12*($B$6+$B$10)*(1+$B$4)^5))*IF(G134+IF($B$1+5&lt;=$B134,12*($B$7-$B$10),-12*($B$6+$B$10)*(1+$B$4)^5)&gt;0,1+$B$3,1))</f>
        <v/>
      </c>
      <c r="I134">
        <f>IF($B$1+6&gt;90,H134,(H134+IF($B$1+6&lt;=$B134,12*($B$7-$B$10),-12*($B$6+$B$10)*(1+$B$4)^6))*IF(H134+IF($B$1+6&lt;=$B134,12*($B$7-$B$10),-12*($B$6+$B$10)*(1+$B$4)^6)&gt;0,1+$B$3,1))</f>
        <v/>
      </c>
      <c r="J134">
        <f>IF($B$1+7&gt;90,I134,(I134+IF($B$1+7&lt;=$B134,12*($B$7-$B$10),-12*($B$6+$B$10)*(1+$B$4)^7))*IF(I134+IF($B$1+7&lt;=$B134,12*($B$7-$B$10),-12*($B$6+$B$10)*(1+$B$4)^7)&gt;0,1+$B$3,1))</f>
        <v/>
      </c>
      <c r="K134">
        <f>IF($B$1+8&gt;90,J134,(J134+IF($B$1+8&lt;=$B134,12*($B$7-$B$10),-12*($B$6+$B$10)*(1+$B$4)^8))*IF(J134+IF($B$1+8&lt;=$B134,12*($B$7-$B$10),-12*($B$6+$B$10)*(1+$B$4)^8)&gt;0,1+$B$3,1))</f>
        <v/>
      </c>
      <c r="L134">
        <f>IF($B$1+9&gt;90,K134,(K134+IF($B$1+9&lt;=$B134,12*($B$7-$B$10),-12*($B$6+$B$10)*(1+$B$4)^9))*IF(K134+IF($B$1+9&lt;=$B134,12*($B$7-$B$10),-12*($B$6+$B$10)*(1+$B$4)^9)&gt;0,1+$B$3,1))</f>
        <v/>
      </c>
      <c r="M134">
        <f>IF($B$1+10&gt;90,L134,(L134+IF($B$1+10&lt;=$B134,12*($B$7-$B$10),-12*($B$6+$B$10)*(1+$B$4)^10))*IF(L134+IF($B$1+10&lt;=$B134,12*($B$7-$B$10),-12*($B$6+$B$10)*(1+$B$4)^10)&gt;0,1+$B$3,1))</f>
        <v/>
      </c>
      <c r="N134">
        <f>IF($B$1+11&gt;90,M134,(M134+IF($B$1+11&lt;=$B134,12*($B$7-$B$10),-12*($B$6+$B$10)*(1+$B$4)^11))*IF(M134+IF($B$1+11&lt;=$B134,12*($B$7-$B$10),-12*($B$6+$B$10)*(1+$B$4)^11)&gt;0,1+$B$3,1))</f>
        <v/>
      </c>
      <c r="O134">
        <f>IF($B$1+12&gt;90,N134,(N134+IF($B$1+12&lt;=$B134,12*($B$7-$B$10),-12*($B$6+$B$10)*(1+$B$4)^12))*IF(N134+IF($B$1+12&lt;=$B134,12*($B$7-$B$10),-12*($B$6+$B$10)*(1+$B$4)^12)&gt;0,1+$B$3,1))</f>
        <v/>
      </c>
      <c r="P134">
        <f>IF($B$1+13&gt;90,O134,(O134+IF($B$1+13&lt;=$B134,12*($B$7-$B$10),-12*($B$6+$B$10)*(1+$B$4)^13))*IF(O134+IF($B$1+13&lt;=$B134,12*($B$7-$B$10),-12*($B$6+$B$10)*(1+$B$4)^13)&gt;0,1+$B$3,1))</f>
        <v/>
      </c>
      <c r="Q134">
        <f>IF($B$1+14&gt;90,P134,(P134+IF($B$1+14&lt;=$B134,12*($B$7-$B$10),-12*($B$6+$B$10)*(1+$B$4)^14))*IF(P134+IF($B$1+14&lt;=$B134,12*($B$7-$B$10),-12*($B$6+$B$10)*(1+$B$4)^14)&gt;0,1+$B$3,1))</f>
        <v/>
      </c>
      <c r="R134">
        <f>IF($B$1+15&gt;90,Q134,(Q134+IF($B$1+15&lt;=$B134,12*($B$7-$B$10),-12*($B$6+$B$10)*(1+$B$4)^15))*IF(Q134+IF($B$1+15&lt;=$B134,12*($B$7-$B$10),-12*($B$6+$B$10)*(1+$B$4)^15)&gt;0,1+$B$3,1))</f>
        <v/>
      </c>
      <c r="S134">
        <f>IF($B$1+16&gt;90,R134,(R134+IF($B$1+16&lt;=$B134,12*($B$7-$B$10),-12*($B$6+$B$10)*(1+$B$4)^16))*IF(R134+IF($B$1+16&lt;=$B134,12*($B$7-$B$10),-12*($B$6+$B$10)*(1+$B$4)^16)&gt;0,1+$B$3,1))</f>
        <v/>
      </c>
      <c r="T134">
        <f>IF($B$1+17&gt;90,S134,(S134+IF($B$1+17&lt;=$B134,12*($B$7-$B$10),-12*($B$6+$B$10)*(1+$B$4)^17))*IF(S134+IF($B$1+17&lt;=$B134,12*($B$7-$B$10),-12*($B$6+$B$10)*(1+$B$4)^17)&gt;0,1+$B$3,1))</f>
        <v/>
      </c>
      <c r="U134">
        <f>IF($B$1+18&gt;90,T134,(T134+IF($B$1+18&lt;=$B134,12*($B$7-$B$10),-12*($B$6+$B$10)*(1+$B$4)^18))*IF(T134+IF($B$1+18&lt;=$B134,12*($B$7-$B$10),-12*($B$6+$B$10)*(1+$B$4)^18)&gt;0,1+$B$3,1))</f>
        <v/>
      </c>
      <c r="V134">
        <f>IF($B$1+19&gt;90,U134,(U134+IF($B$1+19&lt;=$B134,12*($B$7-$B$10),-12*($B$6+$B$10)*(1+$B$4)^19))*IF(U134+IF($B$1+19&lt;=$B134,12*($B$7-$B$10),-12*($B$6+$B$10)*(1+$B$4)^19)&gt;0,1+$B$3,1))</f>
        <v/>
      </c>
      <c r="W134">
        <f>IF($B$1+20&gt;90,V134,(V134+IF($B$1+20&lt;=$B134,12*($B$7-$B$10),-12*($B$6+$B$10)*(1+$B$4)^20))*IF(V134+IF($B$1+20&lt;=$B134,12*($B$7-$B$10),-12*($B$6+$B$10)*(1+$B$4)^20)&gt;0,1+$B$3,1))</f>
        <v/>
      </c>
      <c r="X134">
        <f>IF($B$1+21&gt;90,W134,(W134+IF($B$1+21&lt;=$B134,12*($B$7-$B$10),-12*($B$6+$B$10)*(1+$B$4)^21))*IF(W134+IF($B$1+21&lt;=$B134,12*($B$7-$B$10),-12*($B$6+$B$10)*(1+$B$4)^21)&gt;0,1+$B$3,1))</f>
        <v/>
      </c>
      <c r="Y134">
        <f>IF($B$1+22&gt;90,X134,(X134+IF($B$1+22&lt;=$B134,12*($B$7-$B$10),-12*($B$6+$B$10)*(1+$B$4)^22))*IF(X134+IF($B$1+22&lt;=$B134,12*($B$7-$B$10),-12*($B$6+$B$10)*(1+$B$4)^22)&gt;0,1+$B$3,1))</f>
        <v/>
      </c>
      <c r="Z134">
        <f>IF($B$1+23&gt;90,Y134,(Y134+IF($B$1+23&lt;=$B134,12*($B$7-$B$10),-12*($B$6+$B$10)*(1+$B$4)^23))*IF(Y134+IF($B$1+23&lt;=$B134,12*($B$7-$B$10),-12*($B$6+$B$10)*(1+$B$4)^23)&gt;0,1+$B$3,1))</f>
        <v/>
      </c>
      <c r="AA134">
        <f>IF($B$1+24&gt;90,Z134,(Z134+IF($B$1+24&lt;=$B134,12*($B$7-$B$10),-12*($B$6+$B$10)*(1+$B$4)^24))*IF(Z134+IF($B$1+24&lt;=$B134,12*($B$7-$B$10),-12*($B$6+$B$10)*(1+$B$4)^24)&gt;0,1+$B$3,1))</f>
        <v/>
      </c>
      <c r="AB134">
        <f>IF($B$1+25&gt;90,AA134,(AA134+IF($B$1+25&lt;=$B134,12*($B$7-$B$10),-12*($B$6+$B$10)*(1+$B$4)^25))*IF(AA134+IF($B$1+25&lt;=$B134,12*($B$7-$B$10),-12*($B$6+$B$10)*(1+$B$4)^25)&gt;0,1+$B$3,1))</f>
        <v/>
      </c>
      <c r="AC134">
        <f>IF($B$1+26&gt;90,AB134,(AB134+IF($B$1+26&lt;=$B134,12*($B$7-$B$10),-12*($B$6+$B$10)*(1+$B$4)^26))*IF(AB134+IF($B$1+26&lt;=$B134,12*($B$7-$B$10),-12*($B$6+$B$10)*(1+$B$4)^26)&gt;0,1+$B$3,1))</f>
        <v/>
      </c>
      <c r="AD134">
        <f>IF($B$1+27&gt;90,AC134,(AC134+IF($B$1+27&lt;=$B134,12*($B$7-$B$10),-12*($B$6+$B$10)*(1+$B$4)^27))*IF(AC134+IF($B$1+27&lt;=$B134,12*($B$7-$B$10),-12*($B$6+$B$10)*(1+$B$4)^27)&gt;0,1+$B$3,1))</f>
        <v/>
      </c>
      <c r="AE134">
        <f>IF($B$1+28&gt;90,AD134,(AD134+IF($B$1+28&lt;=$B134,12*($B$7-$B$10),-12*($B$6+$B$10)*(1+$B$4)^28))*IF(AD134+IF($B$1+28&lt;=$B134,12*($B$7-$B$10),-12*($B$6+$B$10)*(1+$B$4)^28)&gt;0,1+$B$3,1))</f>
        <v/>
      </c>
      <c r="AF134">
        <f>IF($B$1+29&gt;90,AE134,(AE134+IF($B$1+29&lt;=$B134,12*($B$7-$B$10),-12*($B$6+$B$10)*(1+$B$4)^29))*IF(AE134+IF($B$1+29&lt;=$B134,12*($B$7-$B$10),-12*($B$6+$B$10)*(1+$B$4)^29)&gt;0,1+$B$3,1))</f>
        <v/>
      </c>
      <c r="AG134">
        <f>IF($B$1+30&gt;90,AF134,(AF134+IF($B$1+30&lt;=$B134,12*($B$7-$B$10),-12*($B$6+$B$10)*(1+$B$4)^30))*IF(AF134+IF($B$1+30&lt;=$B134,12*($B$7-$B$10),-12*($B$6+$B$10)*(1+$B$4)^30)&gt;0,1+$B$3,1))</f>
        <v/>
      </c>
      <c r="AH134">
        <f>IF($B$1+31&gt;90,AG134,(AG134+IF($B$1+31&lt;=$B134,12*($B$7-$B$10),-12*($B$6+$B$10)*(1+$B$4)^31))*IF(AG134+IF($B$1+31&lt;=$B134,12*($B$7-$B$10),-12*($B$6+$B$10)*(1+$B$4)^31)&gt;0,1+$B$3,1))</f>
        <v/>
      </c>
      <c r="AI134">
        <f>IF($B$1+32&gt;90,AH134,(AH134+IF($B$1+32&lt;=$B134,12*($B$7-$B$10),-12*($B$6+$B$10)*(1+$B$4)^32))*IF(AH134+IF($B$1+32&lt;=$B134,12*($B$7-$B$10),-12*($B$6+$B$10)*(1+$B$4)^32)&gt;0,1+$B$3,1))</f>
        <v/>
      </c>
      <c r="AJ134">
        <f>IF($B$1+33&gt;90,AI134,(AI134+IF($B$1+33&lt;=$B134,12*($B$7-$B$10),-12*($B$6+$B$10)*(1+$B$4)^33))*IF(AI134+IF($B$1+33&lt;=$B134,12*($B$7-$B$10),-12*($B$6+$B$10)*(1+$B$4)^33)&gt;0,1+$B$3,1))</f>
        <v/>
      </c>
      <c r="AK134">
        <f>IF($B$1+34&gt;90,AJ134,(AJ134+IF($B$1+34&lt;=$B134,12*($B$7-$B$10),-12*($B$6+$B$10)*(1+$B$4)^34))*IF(AJ134+IF($B$1+34&lt;=$B134,12*($B$7-$B$10),-12*($B$6+$B$10)*(1+$B$4)^34)&gt;0,1+$B$3,1))</f>
        <v/>
      </c>
      <c r="AL134">
        <f>IF($B$1+35&gt;90,AK134,(AK134+IF($B$1+35&lt;=$B134,12*($B$7-$B$10),-12*($B$6+$B$10)*(1+$B$4)^35))*IF(AK134+IF($B$1+35&lt;=$B134,12*($B$7-$B$10),-12*($B$6+$B$10)*(1+$B$4)^35)&gt;0,1+$B$3,1))</f>
        <v/>
      </c>
      <c r="AM134">
        <f>IF($B$1+36&gt;90,AL134,(AL134+IF($B$1+36&lt;=$B134,12*($B$7-$B$10),-12*($B$6+$B$10)*(1+$B$4)^36))*IF(AL134+IF($B$1+36&lt;=$B134,12*($B$7-$B$10),-12*($B$6+$B$10)*(1+$B$4)^36)&gt;0,1+$B$3,1))</f>
        <v/>
      </c>
      <c r="AN134">
        <f>IF($B$1+37&gt;90,AM134,(AM134+IF($B$1+37&lt;=$B134,12*($B$7-$B$10),-12*($B$6+$B$10)*(1+$B$4)^37))*IF(AM134+IF($B$1+37&lt;=$B134,12*($B$7-$B$10),-12*($B$6+$B$10)*(1+$B$4)^37)&gt;0,1+$B$3,1))</f>
        <v/>
      </c>
      <c r="AO134">
        <f>IF($B$1+38&gt;90,AN134,(AN134+IF($B$1+38&lt;=$B134,12*($B$7-$B$10),-12*($B$6+$B$10)*(1+$B$4)^38))*IF(AN134+IF($B$1+38&lt;=$B134,12*($B$7-$B$10),-12*($B$6+$B$10)*(1+$B$4)^38)&gt;0,1+$B$3,1))</f>
        <v/>
      </c>
      <c r="AP134">
        <f>IF($B$1+39&gt;90,AO134,(AO134+IF($B$1+39&lt;=$B134,12*($B$7-$B$10),-12*($B$6+$B$10)*(1+$B$4)^39))*IF(AO134+IF($B$1+39&lt;=$B134,12*($B$7-$B$10),-12*($B$6+$B$10)*(1+$B$4)^39)&gt;0,1+$B$3,1))</f>
        <v/>
      </c>
      <c r="AQ134">
        <f>IF($B$1+40&gt;90,AP134,(AP134+IF($B$1+40&lt;=$B134,12*($B$7-$B$10),-12*($B$6+$B$10)*(1+$B$4)^40))*IF(AP134+IF($B$1+40&lt;=$B134,12*($B$7-$B$10),-12*($B$6+$B$10)*(1+$B$4)^40)&gt;0,1+$B$3,1))</f>
        <v/>
      </c>
      <c r="AR134">
        <f>IF($B$1+41&gt;90,AQ134,(AQ134+IF($B$1+41&lt;=$B134,12*($B$7-$B$10),-12*($B$6+$B$10)*(1+$B$4)^41))*IF(AQ134+IF($B$1+41&lt;=$B134,12*($B$7-$B$10),-12*($B$6+$B$10)*(1+$B$4)^41)&gt;0,1+$B$3,1))</f>
        <v/>
      </c>
      <c r="AS134">
        <f>IF($B$1+42&gt;90,AR134,(AR134+IF($B$1+42&lt;=$B134,12*($B$7-$B$10),-12*($B$6+$B$10)*(1+$B$4)^42))*IF(AR134+IF($B$1+42&lt;=$B134,12*($B$7-$B$10),-12*($B$6+$B$10)*(1+$B$4)^42)&gt;0,1+$B$3,1))</f>
        <v/>
      </c>
      <c r="AT134">
        <f>IF($B$1+43&gt;90,AS134,(AS134+IF($B$1+43&lt;=$B134,12*($B$7-$B$10),-12*($B$6+$B$10)*(1+$B$4)^43))*IF(AS134+IF($B$1+43&lt;=$B134,12*($B$7-$B$10),-12*($B$6+$B$10)*(1+$B$4)^43)&gt;0,1+$B$3,1))</f>
        <v/>
      </c>
      <c r="AU134">
        <f>IF($B$1+44&gt;90,AT134,(AT134+IF($B$1+44&lt;=$B134,12*($B$7-$B$10),-12*($B$6+$B$10)*(1+$B$4)^44))*IF(AT134+IF($B$1+44&lt;=$B134,12*($B$7-$B$10),-12*($B$6+$B$10)*(1+$B$4)^44)&gt;0,1+$B$3,1))</f>
        <v/>
      </c>
      <c r="AV134">
        <f>IF($B$1+45&gt;90,AU134,(AU134+IF($B$1+45&lt;=$B134,12*($B$7-$B$10),-12*($B$6+$B$10)*(1+$B$4)^45))*IF(AU134+IF($B$1+45&lt;=$B134,12*($B$7-$B$10),-12*($B$6+$B$10)*(1+$B$4)^45)&gt;0,1+$B$3,1))</f>
        <v/>
      </c>
      <c r="AW134">
        <f>IF($B$1+46&gt;90,AV134,(AV134+IF($B$1+46&lt;=$B134,12*($B$7-$B$10),-12*($B$6+$B$10)*(1+$B$4)^46))*IF(AV134+IF($B$1+46&lt;=$B134,12*($B$7-$B$10),-12*($B$6+$B$10)*(1+$B$4)^46)&gt;0,1+$B$3,1))</f>
        <v/>
      </c>
      <c r="AX134">
        <f>IF($B$1+47&gt;90,AW134,(AW134+IF($B$1+47&lt;=$B134,12*($B$7-$B$10),-12*($B$6+$B$10)*(1+$B$4)^47))*IF(AW134+IF($B$1+47&lt;=$B134,12*($B$7-$B$10),-12*($B$6+$B$10)*(1+$B$4)^47)&gt;0,1+$B$3,1))</f>
        <v/>
      </c>
      <c r="AY134">
        <f>IF($B$1+48&gt;90,AX134,(AX134+IF($B$1+48&lt;=$B134,12*($B$7-$B$10),-12*($B$6+$B$10)*(1+$B$4)^48))*IF(AX134+IF($B$1+48&lt;=$B134,12*($B$7-$B$10),-12*($B$6+$B$10)*(1+$B$4)^48)&gt;0,1+$B$3,1))</f>
        <v/>
      </c>
      <c r="AZ134">
        <f>IF($B$1+49&gt;90,AY134,(AY134+IF($B$1+49&lt;=$B134,12*($B$7-$B$10),-12*($B$6+$B$10)*(1+$B$4)^49))*IF(AY134+IF($B$1+49&lt;=$B134,12*($B$7-$B$10),-12*($B$6+$B$10)*(1+$B$4)^49)&gt;0,1+$B$3,1))</f>
        <v/>
      </c>
      <c r="BA134">
        <f>IF($B$1+50&gt;90,AZ134,(AZ134+IF($B$1+50&lt;=$B134,12*($B$7-$B$10),-12*($B$6+$B$10)*(1+$B$4)^50))*IF(AZ134+IF($B$1+50&lt;=$B134,12*($B$7-$B$10),-12*($B$6+$B$10)*(1+$B$4)^50)&gt;0,1+$B$3,1))</f>
        <v/>
      </c>
      <c r="BB134">
        <f>IF($B$1+51&gt;90,BA134,(BA134+IF($B$1+51&lt;=$B134,12*($B$7-$B$10),-12*($B$6+$B$10)*(1+$B$4)^51))*IF(BA134+IF($B$1+51&lt;=$B134,12*($B$7-$B$10),-12*($B$6+$B$10)*(1+$B$4)^51)&gt;0,1+$B$3,1))</f>
        <v/>
      </c>
      <c r="BC134">
        <f>IF($B$1+52&gt;90,BB134,(BB134+IF($B$1+52&lt;=$B134,12*($B$7-$B$10),-12*($B$6+$B$10)*(1+$B$4)^52))*IF(BB134+IF($B$1+52&lt;=$B134,12*($B$7-$B$10),-12*($B$6+$B$10)*(1+$B$4)^52)&gt;0,1+$B$3,1))</f>
        <v/>
      </c>
      <c r="BD134">
        <f>IF($B$1+53&gt;90,BC134,(BC134+IF($B$1+53&lt;=$B134,12*($B$7-$B$10),-12*($B$6+$B$10)*(1+$B$4)^53))*IF(BC134+IF($B$1+53&lt;=$B134,12*($B$7-$B$10),-12*($B$6+$B$10)*(1+$B$4)^53)&gt;0,1+$B$3,1))</f>
        <v/>
      </c>
      <c r="BE134">
        <f>IF($B$1+54&gt;90,BD134,(BD134+IF($B$1+54&lt;=$B134,12*($B$7-$B$10),-12*($B$6+$B$10)*(1+$B$4)^54))*IF(BD134+IF($B$1+54&lt;=$B134,12*($B$7-$B$10),-12*($B$6+$B$10)*(1+$B$4)^54)&gt;0,1+$B$3,1))</f>
        <v/>
      </c>
      <c r="BF134">
        <f>IF($B$1+55&gt;90,BE134,(BE134+IF($B$1+55&lt;=$B134,12*($B$7-$B$10),-12*($B$6+$B$10)*(1+$B$4)^55))*IF(BE134+IF($B$1+55&lt;=$B134,12*($B$7-$B$10),-12*($B$6+$B$10)*(1+$B$4)^55)&gt;0,1+$B$3,1))</f>
        <v/>
      </c>
      <c r="BG134">
        <f>IF($B$1+56&gt;90,BF134,(BF134+IF($B$1+56&lt;=$B134,12*($B$7-$B$10),-12*($B$6+$B$10)*(1+$B$4)^56))*IF(BF134+IF($B$1+56&lt;=$B134,12*($B$7-$B$10),-12*($B$6+$B$10)*(1+$B$4)^56)&gt;0,1+$B$3,1))</f>
        <v/>
      </c>
      <c r="BH134">
        <f>IF($B$1+57&gt;90,BG134,(BG134+IF($B$1+57&lt;=$B134,12*($B$7-$B$10),-12*($B$6+$B$10)*(1+$B$4)^57))*IF(BG134+IF($B$1+57&lt;=$B134,12*($B$7-$B$10),-12*($B$6+$B$10)*(1+$B$4)^57)&gt;0,1+$B$3,1))</f>
        <v/>
      </c>
      <c r="BI134">
        <f>IF($B$1+58&gt;90,BH134,(BH134+IF($B$1+58&lt;=$B134,12*($B$7-$B$10),-12*($B$6+$B$10)*(1+$B$4)^58))*IF(BH134+IF($B$1+58&lt;=$B134,12*($B$7-$B$10),-12*($B$6+$B$10)*(1+$B$4)^58)&gt;0,1+$B$3,1))</f>
        <v/>
      </c>
      <c r="BJ134">
        <f>IF($B$1+59&gt;90,BI134,(BI134+IF($B$1+59&lt;=$B134,12*($B$7-$B$10),-12*($B$6+$B$10)*(1+$B$4)^59))*IF(BI134+IF($B$1+59&lt;=$B134,12*($B$7-$B$10),-12*($B$6+$B$10)*(1+$B$4)^59)&gt;0,1+$B$3,1))</f>
        <v/>
      </c>
      <c r="BK134">
        <f>IF($B$1+60&gt;90,BJ134,(BJ134+IF($B$1+60&lt;=$B134,12*($B$7-$B$10),-12*($B$6+$B$10)*(1+$B$4)^60))*IF(BJ134+IF($B$1+60&lt;=$B134,12*($B$7-$B$10),-12*($B$6+$B$10)*(1+$B$4)^60)&gt;0,1+$B$3,1))</f>
        <v/>
      </c>
      <c r="BL134">
        <f>IF($B$1+61&gt;90,BK134,(BK134+IF($B$1+61&lt;=$B134,12*($B$7-$B$10),-12*($B$6+$B$10)*(1+$B$4)^61))*IF(BK134+IF($B$1+61&lt;=$B134,12*($B$7-$B$10),-12*($B$6+$B$10)*(1+$B$4)^61)&gt;0,1+$B$3,1))</f>
        <v/>
      </c>
      <c r="BM134">
        <f>IF($B$1+62&gt;90,BL134,(BL134+IF($B$1+62&lt;=$B134,12*($B$7-$B$10),-12*($B$6+$B$10)*(1+$B$4)^62))*IF(BL134+IF($B$1+62&lt;=$B134,12*($B$7-$B$10),-12*($B$6+$B$10)*(1+$B$4)^62)&gt;0,1+$B$3,1))</f>
        <v/>
      </c>
      <c r="BN134">
        <f>IF($B$1+63&gt;90,BM134,(BM134+IF($B$1+63&lt;=$B134,12*($B$7-$B$10),-12*($B$6+$B$10)*(1+$B$4)^63))*IF(BM134+IF($B$1+63&lt;=$B134,12*($B$7-$B$10),-12*($B$6+$B$10)*(1+$B$4)^63)&gt;0,1+$B$3,1))</f>
        <v/>
      </c>
      <c r="BO134">
        <f>IF($B$1+64&gt;90,BN134,(BN134+IF($B$1+64&lt;=$B134,12*($B$7-$B$10),-12*($B$6+$B$10)*(1+$B$4)^64))*IF(BN134+IF($B$1+64&lt;=$B134,12*($B$7-$B$10),-12*($B$6+$B$10)*(1+$B$4)^64)&gt;0,1+$B$3,1))</f>
        <v/>
      </c>
      <c r="BP134">
        <f>IF($B$1+65&gt;90,BO134,(BO134+IF($B$1+65&lt;=$B134,12*($B$7-$B$10),-12*($B$6+$B$10)*(1+$B$4)^65))*IF(BO134+IF($B$1+65&lt;=$B134,12*($B$7-$B$10),-12*($B$6+$B$10)*(1+$B$4)^65)&gt;0,1+$B$3,1))</f>
        <v/>
      </c>
      <c r="BQ134">
        <f>IF($B$1+66&gt;90,BP134,(BP134+IF($B$1+66&lt;=$B134,12*($B$7-$B$10),-12*($B$6+$B$10)*(1+$B$4)^66))*IF(BP134+IF($B$1+66&lt;=$B134,12*($B$7-$B$10),-12*($B$6+$B$10)*(1+$B$4)^66)&gt;0,1+$B$3,1))</f>
        <v/>
      </c>
      <c r="BR134">
        <f>IF($B$1+67&gt;90,BQ134,(BQ134+IF($B$1+67&lt;=$B134,12*($B$7-$B$10),-12*($B$6+$B$10)*(1+$B$4)^67))*IF(BQ134+IF($B$1+67&lt;=$B134,12*($B$7-$B$10),-12*($B$6+$B$10)*(1+$B$4)^67)&gt;0,1+$B$3,1))</f>
        <v/>
      </c>
      <c r="BS134">
        <f>IF($B$1+68&gt;90,BR134,(BR134+IF($B$1+68&lt;=$B134,12*($B$7-$B$10),-12*($B$6+$B$10)*(1+$B$4)^68))*IF(BR134+IF($B$1+68&lt;=$B134,12*($B$7-$B$10),-12*($B$6+$B$10)*(1+$B$4)^68)&gt;0,1+$B$3,1))</f>
        <v/>
      </c>
      <c r="BT134">
        <f>IF($B$1+69&gt;90,BS134,(BS134+IF($B$1+69&lt;=$B134,12*($B$7-$B$10),-12*($B$6+$B$10)*(1+$B$4)^69))*IF(BS134+IF($B$1+69&lt;=$B134,12*($B$7-$B$10),-12*($B$6+$B$10)*(1+$B$4)^69)&gt;0,1+$B$3,1))</f>
        <v/>
      </c>
      <c r="BU134">
        <f>IF($B$1+70&gt;90,BT134,(BT134+IF($B$1+70&lt;=$B134,12*($B$7-$B$10),-12*($B$6+$B$10)*(1+$B$4)^70))*IF(BT134+IF($B$1+70&lt;=$B134,12*($B$7-$B$10),-12*($B$6+$B$10)*(1+$B$4)^70)&gt;0,1+$B$3,1))</f>
        <v/>
      </c>
      <c r="BV134">
        <f>BU134</f>
        <v/>
      </c>
      <c r="BW134">
        <f>IF(AND($B134&lt;=70,BV134&gt;0),$B134,999)</f>
        <v/>
      </c>
    </row>
    <row r="135">
      <c r="A135" t="n">
        <v>39</v>
      </c>
      <c r="B135">
        <f>$B$1+39</f>
        <v/>
      </c>
      <c r="C135">
        <f>$B$2</f>
        <v/>
      </c>
      <c r="D135">
        <f>IF($B$1+1&gt;90,C135,(C135+IF($B$1+1&lt;=$B135,12*($B$7-$B$10),-12*($B$6+$B$10)*(1+$B$4)^1))*IF(C135+IF($B$1+1&lt;=$B135,12*($B$7-$B$10),-12*($B$6+$B$10)*(1+$B$4)^1)&gt;0,1+$B$3,1))</f>
        <v/>
      </c>
      <c r="E135">
        <f>IF($B$1+2&gt;90,D135,(D135+IF($B$1+2&lt;=$B135,12*($B$7-$B$10),-12*($B$6+$B$10)*(1+$B$4)^2))*IF(D135+IF($B$1+2&lt;=$B135,12*($B$7-$B$10),-12*($B$6+$B$10)*(1+$B$4)^2)&gt;0,1+$B$3,1))</f>
        <v/>
      </c>
      <c r="F135">
        <f>IF($B$1+3&gt;90,E135,(E135+IF($B$1+3&lt;=$B135,12*($B$7-$B$10),-12*($B$6+$B$10)*(1+$B$4)^3))*IF(E135+IF($B$1+3&lt;=$B135,12*($B$7-$B$10),-12*($B$6+$B$10)*(1+$B$4)^3)&gt;0,1+$B$3,1))</f>
        <v/>
      </c>
      <c r="G135">
        <f>IF($B$1+4&gt;90,F135,(F135+IF($B$1+4&lt;=$B135,12*($B$7-$B$10),-12*($B$6+$B$10)*(1+$B$4)^4))*IF(F135+IF($B$1+4&lt;=$B135,12*($B$7-$B$10),-12*($B$6+$B$10)*(1+$B$4)^4)&gt;0,1+$B$3,1))</f>
        <v/>
      </c>
      <c r="H135">
        <f>IF($B$1+5&gt;90,G135,(G135+IF($B$1+5&lt;=$B135,12*($B$7-$B$10),-12*($B$6+$B$10)*(1+$B$4)^5))*IF(G135+IF($B$1+5&lt;=$B135,12*($B$7-$B$10),-12*($B$6+$B$10)*(1+$B$4)^5)&gt;0,1+$B$3,1))</f>
        <v/>
      </c>
      <c r="I135">
        <f>IF($B$1+6&gt;90,H135,(H135+IF($B$1+6&lt;=$B135,12*($B$7-$B$10),-12*($B$6+$B$10)*(1+$B$4)^6))*IF(H135+IF($B$1+6&lt;=$B135,12*($B$7-$B$10),-12*($B$6+$B$10)*(1+$B$4)^6)&gt;0,1+$B$3,1))</f>
        <v/>
      </c>
      <c r="J135">
        <f>IF($B$1+7&gt;90,I135,(I135+IF($B$1+7&lt;=$B135,12*($B$7-$B$10),-12*($B$6+$B$10)*(1+$B$4)^7))*IF(I135+IF($B$1+7&lt;=$B135,12*($B$7-$B$10),-12*($B$6+$B$10)*(1+$B$4)^7)&gt;0,1+$B$3,1))</f>
        <v/>
      </c>
      <c r="K135">
        <f>IF($B$1+8&gt;90,J135,(J135+IF($B$1+8&lt;=$B135,12*($B$7-$B$10),-12*($B$6+$B$10)*(1+$B$4)^8))*IF(J135+IF($B$1+8&lt;=$B135,12*($B$7-$B$10),-12*($B$6+$B$10)*(1+$B$4)^8)&gt;0,1+$B$3,1))</f>
        <v/>
      </c>
      <c r="L135">
        <f>IF($B$1+9&gt;90,K135,(K135+IF($B$1+9&lt;=$B135,12*($B$7-$B$10),-12*($B$6+$B$10)*(1+$B$4)^9))*IF(K135+IF($B$1+9&lt;=$B135,12*($B$7-$B$10),-12*($B$6+$B$10)*(1+$B$4)^9)&gt;0,1+$B$3,1))</f>
        <v/>
      </c>
      <c r="M135">
        <f>IF($B$1+10&gt;90,L135,(L135+IF($B$1+10&lt;=$B135,12*($B$7-$B$10),-12*($B$6+$B$10)*(1+$B$4)^10))*IF(L135+IF($B$1+10&lt;=$B135,12*($B$7-$B$10),-12*($B$6+$B$10)*(1+$B$4)^10)&gt;0,1+$B$3,1))</f>
        <v/>
      </c>
      <c r="N135">
        <f>IF($B$1+11&gt;90,M135,(M135+IF($B$1+11&lt;=$B135,12*($B$7-$B$10),-12*($B$6+$B$10)*(1+$B$4)^11))*IF(M135+IF($B$1+11&lt;=$B135,12*($B$7-$B$10),-12*($B$6+$B$10)*(1+$B$4)^11)&gt;0,1+$B$3,1))</f>
        <v/>
      </c>
      <c r="O135">
        <f>IF($B$1+12&gt;90,N135,(N135+IF($B$1+12&lt;=$B135,12*($B$7-$B$10),-12*($B$6+$B$10)*(1+$B$4)^12))*IF(N135+IF($B$1+12&lt;=$B135,12*($B$7-$B$10),-12*($B$6+$B$10)*(1+$B$4)^12)&gt;0,1+$B$3,1))</f>
        <v/>
      </c>
      <c r="P135">
        <f>IF($B$1+13&gt;90,O135,(O135+IF($B$1+13&lt;=$B135,12*($B$7-$B$10),-12*($B$6+$B$10)*(1+$B$4)^13))*IF(O135+IF($B$1+13&lt;=$B135,12*($B$7-$B$10),-12*($B$6+$B$10)*(1+$B$4)^13)&gt;0,1+$B$3,1))</f>
        <v/>
      </c>
      <c r="Q135">
        <f>IF($B$1+14&gt;90,P135,(P135+IF($B$1+14&lt;=$B135,12*($B$7-$B$10),-12*($B$6+$B$10)*(1+$B$4)^14))*IF(P135+IF($B$1+14&lt;=$B135,12*($B$7-$B$10),-12*($B$6+$B$10)*(1+$B$4)^14)&gt;0,1+$B$3,1))</f>
        <v/>
      </c>
      <c r="R135">
        <f>IF($B$1+15&gt;90,Q135,(Q135+IF($B$1+15&lt;=$B135,12*($B$7-$B$10),-12*($B$6+$B$10)*(1+$B$4)^15))*IF(Q135+IF($B$1+15&lt;=$B135,12*($B$7-$B$10),-12*($B$6+$B$10)*(1+$B$4)^15)&gt;0,1+$B$3,1))</f>
        <v/>
      </c>
      <c r="S135">
        <f>IF($B$1+16&gt;90,R135,(R135+IF($B$1+16&lt;=$B135,12*($B$7-$B$10),-12*($B$6+$B$10)*(1+$B$4)^16))*IF(R135+IF($B$1+16&lt;=$B135,12*($B$7-$B$10),-12*($B$6+$B$10)*(1+$B$4)^16)&gt;0,1+$B$3,1))</f>
        <v/>
      </c>
      <c r="T135">
        <f>IF($B$1+17&gt;90,S135,(S135+IF($B$1+17&lt;=$B135,12*($B$7-$B$10),-12*($B$6+$B$10)*(1+$B$4)^17))*IF(S135+IF($B$1+17&lt;=$B135,12*($B$7-$B$10),-12*($B$6+$B$10)*(1+$B$4)^17)&gt;0,1+$B$3,1))</f>
        <v/>
      </c>
      <c r="U135">
        <f>IF($B$1+18&gt;90,T135,(T135+IF($B$1+18&lt;=$B135,12*($B$7-$B$10),-12*($B$6+$B$10)*(1+$B$4)^18))*IF(T135+IF($B$1+18&lt;=$B135,12*($B$7-$B$10),-12*($B$6+$B$10)*(1+$B$4)^18)&gt;0,1+$B$3,1))</f>
        <v/>
      </c>
      <c r="V135">
        <f>IF($B$1+19&gt;90,U135,(U135+IF($B$1+19&lt;=$B135,12*($B$7-$B$10),-12*($B$6+$B$10)*(1+$B$4)^19))*IF(U135+IF($B$1+19&lt;=$B135,12*($B$7-$B$10),-12*($B$6+$B$10)*(1+$B$4)^19)&gt;0,1+$B$3,1))</f>
        <v/>
      </c>
      <c r="W135">
        <f>IF($B$1+20&gt;90,V135,(V135+IF($B$1+20&lt;=$B135,12*($B$7-$B$10),-12*($B$6+$B$10)*(1+$B$4)^20))*IF(V135+IF($B$1+20&lt;=$B135,12*($B$7-$B$10),-12*($B$6+$B$10)*(1+$B$4)^20)&gt;0,1+$B$3,1))</f>
        <v/>
      </c>
      <c r="X135">
        <f>IF($B$1+21&gt;90,W135,(W135+IF($B$1+21&lt;=$B135,12*($B$7-$B$10),-12*($B$6+$B$10)*(1+$B$4)^21))*IF(W135+IF($B$1+21&lt;=$B135,12*($B$7-$B$10),-12*($B$6+$B$10)*(1+$B$4)^21)&gt;0,1+$B$3,1))</f>
        <v/>
      </c>
      <c r="Y135">
        <f>IF($B$1+22&gt;90,X135,(X135+IF($B$1+22&lt;=$B135,12*($B$7-$B$10),-12*($B$6+$B$10)*(1+$B$4)^22))*IF(X135+IF($B$1+22&lt;=$B135,12*($B$7-$B$10),-12*($B$6+$B$10)*(1+$B$4)^22)&gt;0,1+$B$3,1))</f>
        <v/>
      </c>
      <c r="Z135">
        <f>IF($B$1+23&gt;90,Y135,(Y135+IF($B$1+23&lt;=$B135,12*($B$7-$B$10),-12*($B$6+$B$10)*(1+$B$4)^23))*IF(Y135+IF($B$1+23&lt;=$B135,12*($B$7-$B$10),-12*($B$6+$B$10)*(1+$B$4)^23)&gt;0,1+$B$3,1))</f>
        <v/>
      </c>
      <c r="AA135">
        <f>IF($B$1+24&gt;90,Z135,(Z135+IF($B$1+24&lt;=$B135,12*($B$7-$B$10),-12*($B$6+$B$10)*(1+$B$4)^24))*IF(Z135+IF($B$1+24&lt;=$B135,12*($B$7-$B$10),-12*($B$6+$B$10)*(1+$B$4)^24)&gt;0,1+$B$3,1))</f>
        <v/>
      </c>
      <c r="AB135">
        <f>IF($B$1+25&gt;90,AA135,(AA135+IF($B$1+25&lt;=$B135,12*($B$7-$B$10),-12*($B$6+$B$10)*(1+$B$4)^25))*IF(AA135+IF($B$1+25&lt;=$B135,12*($B$7-$B$10),-12*($B$6+$B$10)*(1+$B$4)^25)&gt;0,1+$B$3,1))</f>
        <v/>
      </c>
      <c r="AC135">
        <f>IF($B$1+26&gt;90,AB135,(AB135+IF($B$1+26&lt;=$B135,12*($B$7-$B$10),-12*($B$6+$B$10)*(1+$B$4)^26))*IF(AB135+IF($B$1+26&lt;=$B135,12*($B$7-$B$10),-12*($B$6+$B$10)*(1+$B$4)^26)&gt;0,1+$B$3,1))</f>
        <v/>
      </c>
      <c r="AD135">
        <f>IF($B$1+27&gt;90,AC135,(AC135+IF($B$1+27&lt;=$B135,12*($B$7-$B$10),-12*($B$6+$B$10)*(1+$B$4)^27))*IF(AC135+IF($B$1+27&lt;=$B135,12*($B$7-$B$10),-12*($B$6+$B$10)*(1+$B$4)^27)&gt;0,1+$B$3,1))</f>
        <v/>
      </c>
      <c r="AE135">
        <f>IF($B$1+28&gt;90,AD135,(AD135+IF($B$1+28&lt;=$B135,12*($B$7-$B$10),-12*($B$6+$B$10)*(1+$B$4)^28))*IF(AD135+IF($B$1+28&lt;=$B135,12*($B$7-$B$10),-12*($B$6+$B$10)*(1+$B$4)^28)&gt;0,1+$B$3,1))</f>
        <v/>
      </c>
      <c r="AF135">
        <f>IF($B$1+29&gt;90,AE135,(AE135+IF($B$1+29&lt;=$B135,12*($B$7-$B$10),-12*($B$6+$B$10)*(1+$B$4)^29))*IF(AE135+IF($B$1+29&lt;=$B135,12*($B$7-$B$10),-12*($B$6+$B$10)*(1+$B$4)^29)&gt;0,1+$B$3,1))</f>
        <v/>
      </c>
      <c r="AG135">
        <f>IF($B$1+30&gt;90,AF135,(AF135+IF($B$1+30&lt;=$B135,12*($B$7-$B$10),-12*($B$6+$B$10)*(1+$B$4)^30))*IF(AF135+IF($B$1+30&lt;=$B135,12*($B$7-$B$10),-12*($B$6+$B$10)*(1+$B$4)^30)&gt;0,1+$B$3,1))</f>
        <v/>
      </c>
      <c r="AH135">
        <f>IF($B$1+31&gt;90,AG135,(AG135+IF($B$1+31&lt;=$B135,12*($B$7-$B$10),-12*($B$6+$B$10)*(1+$B$4)^31))*IF(AG135+IF($B$1+31&lt;=$B135,12*($B$7-$B$10),-12*($B$6+$B$10)*(1+$B$4)^31)&gt;0,1+$B$3,1))</f>
        <v/>
      </c>
      <c r="AI135">
        <f>IF($B$1+32&gt;90,AH135,(AH135+IF($B$1+32&lt;=$B135,12*($B$7-$B$10),-12*($B$6+$B$10)*(1+$B$4)^32))*IF(AH135+IF($B$1+32&lt;=$B135,12*($B$7-$B$10),-12*($B$6+$B$10)*(1+$B$4)^32)&gt;0,1+$B$3,1))</f>
        <v/>
      </c>
      <c r="AJ135">
        <f>IF($B$1+33&gt;90,AI135,(AI135+IF($B$1+33&lt;=$B135,12*($B$7-$B$10),-12*($B$6+$B$10)*(1+$B$4)^33))*IF(AI135+IF($B$1+33&lt;=$B135,12*($B$7-$B$10),-12*($B$6+$B$10)*(1+$B$4)^33)&gt;0,1+$B$3,1))</f>
        <v/>
      </c>
      <c r="AK135">
        <f>IF($B$1+34&gt;90,AJ135,(AJ135+IF($B$1+34&lt;=$B135,12*($B$7-$B$10),-12*($B$6+$B$10)*(1+$B$4)^34))*IF(AJ135+IF($B$1+34&lt;=$B135,12*($B$7-$B$10),-12*($B$6+$B$10)*(1+$B$4)^34)&gt;0,1+$B$3,1))</f>
        <v/>
      </c>
      <c r="AL135">
        <f>IF($B$1+35&gt;90,AK135,(AK135+IF($B$1+35&lt;=$B135,12*($B$7-$B$10),-12*($B$6+$B$10)*(1+$B$4)^35))*IF(AK135+IF($B$1+35&lt;=$B135,12*($B$7-$B$10),-12*($B$6+$B$10)*(1+$B$4)^35)&gt;0,1+$B$3,1))</f>
        <v/>
      </c>
      <c r="AM135">
        <f>IF($B$1+36&gt;90,AL135,(AL135+IF($B$1+36&lt;=$B135,12*($B$7-$B$10),-12*($B$6+$B$10)*(1+$B$4)^36))*IF(AL135+IF($B$1+36&lt;=$B135,12*($B$7-$B$10),-12*($B$6+$B$10)*(1+$B$4)^36)&gt;0,1+$B$3,1))</f>
        <v/>
      </c>
      <c r="AN135">
        <f>IF($B$1+37&gt;90,AM135,(AM135+IF($B$1+37&lt;=$B135,12*($B$7-$B$10),-12*($B$6+$B$10)*(1+$B$4)^37))*IF(AM135+IF($B$1+37&lt;=$B135,12*($B$7-$B$10),-12*($B$6+$B$10)*(1+$B$4)^37)&gt;0,1+$B$3,1))</f>
        <v/>
      </c>
      <c r="AO135">
        <f>IF($B$1+38&gt;90,AN135,(AN135+IF($B$1+38&lt;=$B135,12*($B$7-$B$10),-12*($B$6+$B$10)*(1+$B$4)^38))*IF(AN135+IF($B$1+38&lt;=$B135,12*($B$7-$B$10),-12*($B$6+$B$10)*(1+$B$4)^38)&gt;0,1+$B$3,1))</f>
        <v/>
      </c>
      <c r="AP135">
        <f>IF($B$1+39&gt;90,AO135,(AO135+IF($B$1+39&lt;=$B135,12*($B$7-$B$10),-12*($B$6+$B$10)*(1+$B$4)^39))*IF(AO135+IF($B$1+39&lt;=$B135,12*($B$7-$B$10),-12*($B$6+$B$10)*(1+$B$4)^39)&gt;0,1+$B$3,1))</f>
        <v/>
      </c>
      <c r="AQ135">
        <f>IF($B$1+40&gt;90,AP135,(AP135+IF($B$1+40&lt;=$B135,12*($B$7-$B$10),-12*($B$6+$B$10)*(1+$B$4)^40))*IF(AP135+IF($B$1+40&lt;=$B135,12*($B$7-$B$10),-12*($B$6+$B$10)*(1+$B$4)^40)&gt;0,1+$B$3,1))</f>
        <v/>
      </c>
      <c r="AR135">
        <f>IF($B$1+41&gt;90,AQ135,(AQ135+IF($B$1+41&lt;=$B135,12*($B$7-$B$10),-12*($B$6+$B$10)*(1+$B$4)^41))*IF(AQ135+IF($B$1+41&lt;=$B135,12*($B$7-$B$10),-12*($B$6+$B$10)*(1+$B$4)^41)&gt;0,1+$B$3,1))</f>
        <v/>
      </c>
      <c r="AS135">
        <f>IF($B$1+42&gt;90,AR135,(AR135+IF($B$1+42&lt;=$B135,12*($B$7-$B$10),-12*($B$6+$B$10)*(1+$B$4)^42))*IF(AR135+IF($B$1+42&lt;=$B135,12*($B$7-$B$10),-12*($B$6+$B$10)*(1+$B$4)^42)&gt;0,1+$B$3,1))</f>
        <v/>
      </c>
      <c r="AT135">
        <f>IF($B$1+43&gt;90,AS135,(AS135+IF($B$1+43&lt;=$B135,12*($B$7-$B$10),-12*($B$6+$B$10)*(1+$B$4)^43))*IF(AS135+IF($B$1+43&lt;=$B135,12*($B$7-$B$10),-12*($B$6+$B$10)*(1+$B$4)^43)&gt;0,1+$B$3,1))</f>
        <v/>
      </c>
      <c r="AU135">
        <f>IF($B$1+44&gt;90,AT135,(AT135+IF($B$1+44&lt;=$B135,12*($B$7-$B$10),-12*($B$6+$B$10)*(1+$B$4)^44))*IF(AT135+IF($B$1+44&lt;=$B135,12*($B$7-$B$10),-12*($B$6+$B$10)*(1+$B$4)^44)&gt;0,1+$B$3,1))</f>
        <v/>
      </c>
      <c r="AV135">
        <f>IF($B$1+45&gt;90,AU135,(AU135+IF($B$1+45&lt;=$B135,12*($B$7-$B$10),-12*($B$6+$B$10)*(1+$B$4)^45))*IF(AU135+IF($B$1+45&lt;=$B135,12*($B$7-$B$10),-12*($B$6+$B$10)*(1+$B$4)^45)&gt;0,1+$B$3,1))</f>
        <v/>
      </c>
      <c r="AW135">
        <f>IF($B$1+46&gt;90,AV135,(AV135+IF($B$1+46&lt;=$B135,12*($B$7-$B$10),-12*($B$6+$B$10)*(1+$B$4)^46))*IF(AV135+IF($B$1+46&lt;=$B135,12*($B$7-$B$10),-12*($B$6+$B$10)*(1+$B$4)^46)&gt;0,1+$B$3,1))</f>
        <v/>
      </c>
      <c r="AX135">
        <f>IF($B$1+47&gt;90,AW135,(AW135+IF($B$1+47&lt;=$B135,12*($B$7-$B$10),-12*($B$6+$B$10)*(1+$B$4)^47))*IF(AW135+IF($B$1+47&lt;=$B135,12*($B$7-$B$10),-12*($B$6+$B$10)*(1+$B$4)^47)&gt;0,1+$B$3,1))</f>
        <v/>
      </c>
      <c r="AY135">
        <f>IF($B$1+48&gt;90,AX135,(AX135+IF($B$1+48&lt;=$B135,12*($B$7-$B$10),-12*($B$6+$B$10)*(1+$B$4)^48))*IF(AX135+IF($B$1+48&lt;=$B135,12*($B$7-$B$10),-12*($B$6+$B$10)*(1+$B$4)^48)&gt;0,1+$B$3,1))</f>
        <v/>
      </c>
      <c r="AZ135">
        <f>IF($B$1+49&gt;90,AY135,(AY135+IF($B$1+49&lt;=$B135,12*($B$7-$B$10),-12*($B$6+$B$10)*(1+$B$4)^49))*IF(AY135+IF($B$1+49&lt;=$B135,12*($B$7-$B$10),-12*($B$6+$B$10)*(1+$B$4)^49)&gt;0,1+$B$3,1))</f>
        <v/>
      </c>
      <c r="BA135">
        <f>IF($B$1+50&gt;90,AZ135,(AZ135+IF($B$1+50&lt;=$B135,12*($B$7-$B$10),-12*($B$6+$B$10)*(1+$B$4)^50))*IF(AZ135+IF($B$1+50&lt;=$B135,12*($B$7-$B$10),-12*($B$6+$B$10)*(1+$B$4)^50)&gt;0,1+$B$3,1))</f>
        <v/>
      </c>
      <c r="BB135">
        <f>IF($B$1+51&gt;90,BA135,(BA135+IF($B$1+51&lt;=$B135,12*($B$7-$B$10),-12*($B$6+$B$10)*(1+$B$4)^51))*IF(BA135+IF($B$1+51&lt;=$B135,12*($B$7-$B$10),-12*($B$6+$B$10)*(1+$B$4)^51)&gt;0,1+$B$3,1))</f>
        <v/>
      </c>
      <c r="BC135">
        <f>IF($B$1+52&gt;90,BB135,(BB135+IF($B$1+52&lt;=$B135,12*($B$7-$B$10),-12*($B$6+$B$10)*(1+$B$4)^52))*IF(BB135+IF($B$1+52&lt;=$B135,12*($B$7-$B$10),-12*($B$6+$B$10)*(1+$B$4)^52)&gt;0,1+$B$3,1))</f>
        <v/>
      </c>
      <c r="BD135">
        <f>IF($B$1+53&gt;90,BC135,(BC135+IF($B$1+53&lt;=$B135,12*($B$7-$B$10),-12*($B$6+$B$10)*(1+$B$4)^53))*IF(BC135+IF($B$1+53&lt;=$B135,12*($B$7-$B$10),-12*($B$6+$B$10)*(1+$B$4)^53)&gt;0,1+$B$3,1))</f>
        <v/>
      </c>
      <c r="BE135">
        <f>IF($B$1+54&gt;90,BD135,(BD135+IF($B$1+54&lt;=$B135,12*($B$7-$B$10),-12*($B$6+$B$10)*(1+$B$4)^54))*IF(BD135+IF($B$1+54&lt;=$B135,12*($B$7-$B$10),-12*($B$6+$B$10)*(1+$B$4)^54)&gt;0,1+$B$3,1))</f>
        <v/>
      </c>
      <c r="BF135">
        <f>IF($B$1+55&gt;90,BE135,(BE135+IF($B$1+55&lt;=$B135,12*($B$7-$B$10),-12*($B$6+$B$10)*(1+$B$4)^55))*IF(BE135+IF($B$1+55&lt;=$B135,12*($B$7-$B$10),-12*($B$6+$B$10)*(1+$B$4)^55)&gt;0,1+$B$3,1))</f>
        <v/>
      </c>
      <c r="BG135">
        <f>IF($B$1+56&gt;90,BF135,(BF135+IF($B$1+56&lt;=$B135,12*($B$7-$B$10),-12*($B$6+$B$10)*(1+$B$4)^56))*IF(BF135+IF($B$1+56&lt;=$B135,12*($B$7-$B$10),-12*($B$6+$B$10)*(1+$B$4)^56)&gt;0,1+$B$3,1))</f>
        <v/>
      </c>
      <c r="BH135">
        <f>IF($B$1+57&gt;90,BG135,(BG135+IF($B$1+57&lt;=$B135,12*($B$7-$B$10),-12*($B$6+$B$10)*(1+$B$4)^57))*IF(BG135+IF($B$1+57&lt;=$B135,12*($B$7-$B$10),-12*($B$6+$B$10)*(1+$B$4)^57)&gt;0,1+$B$3,1))</f>
        <v/>
      </c>
      <c r="BI135">
        <f>IF($B$1+58&gt;90,BH135,(BH135+IF($B$1+58&lt;=$B135,12*($B$7-$B$10),-12*($B$6+$B$10)*(1+$B$4)^58))*IF(BH135+IF($B$1+58&lt;=$B135,12*($B$7-$B$10),-12*($B$6+$B$10)*(1+$B$4)^58)&gt;0,1+$B$3,1))</f>
        <v/>
      </c>
      <c r="BJ135">
        <f>IF($B$1+59&gt;90,BI135,(BI135+IF($B$1+59&lt;=$B135,12*($B$7-$B$10),-12*($B$6+$B$10)*(1+$B$4)^59))*IF(BI135+IF($B$1+59&lt;=$B135,12*($B$7-$B$10),-12*($B$6+$B$10)*(1+$B$4)^59)&gt;0,1+$B$3,1))</f>
        <v/>
      </c>
      <c r="BK135">
        <f>IF($B$1+60&gt;90,BJ135,(BJ135+IF($B$1+60&lt;=$B135,12*($B$7-$B$10),-12*($B$6+$B$10)*(1+$B$4)^60))*IF(BJ135+IF($B$1+60&lt;=$B135,12*($B$7-$B$10),-12*($B$6+$B$10)*(1+$B$4)^60)&gt;0,1+$B$3,1))</f>
        <v/>
      </c>
      <c r="BL135">
        <f>IF($B$1+61&gt;90,BK135,(BK135+IF($B$1+61&lt;=$B135,12*($B$7-$B$10),-12*($B$6+$B$10)*(1+$B$4)^61))*IF(BK135+IF($B$1+61&lt;=$B135,12*($B$7-$B$10),-12*($B$6+$B$10)*(1+$B$4)^61)&gt;0,1+$B$3,1))</f>
        <v/>
      </c>
      <c r="BM135">
        <f>IF($B$1+62&gt;90,BL135,(BL135+IF($B$1+62&lt;=$B135,12*($B$7-$B$10),-12*($B$6+$B$10)*(1+$B$4)^62))*IF(BL135+IF($B$1+62&lt;=$B135,12*($B$7-$B$10),-12*($B$6+$B$10)*(1+$B$4)^62)&gt;0,1+$B$3,1))</f>
        <v/>
      </c>
      <c r="BN135">
        <f>IF($B$1+63&gt;90,BM135,(BM135+IF($B$1+63&lt;=$B135,12*($B$7-$B$10),-12*($B$6+$B$10)*(1+$B$4)^63))*IF(BM135+IF($B$1+63&lt;=$B135,12*($B$7-$B$10),-12*($B$6+$B$10)*(1+$B$4)^63)&gt;0,1+$B$3,1))</f>
        <v/>
      </c>
      <c r="BO135">
        <f>IF($B$1+64&gt;90,BN135,(BN135+IF($B$1+64&lt;=$B135,12*($B$7-$B$10),-12*($B$6+$B$10)*(1+$B$4)^64))*IF(BN135+IF($B$1+64&lt;=$B135,12*($B$7-$B$10),-12*($B$6+$B$10)*(1+$B$4)^64)&gt;0,1+$B$3,1))</f>
        <v/>
      </c>
      <c r="BP135">
        <f>IF($B$1+65&gt;90,BO135,(BO135+IF($B$1+65&lt;=$B135,12*($B$7-$B$10),-12*($B$6+$B$10)*(1+$B$4)^65))*IF(BO135+IF($B$1+65&lt;=$B135,12*($B$7-$B$10),-12*($B$6+$B$10)*(1+$B$4)^65)&gt;0,1+$B$3,1))</f>
        <v/>
      </c>
      <c r="BQ135">
        <f>IF($B$1+66&gt;90,BP135,(BP135+IF($B$1+66&lt;=$B135,12*($B$7-$B$10),-12*($B$6+$B$10)*(1+$B$4)^66))*IF(BP135+IF($B$1+66&lt;=$B135,12*($B$7-$B$10),-12*($B$6+$B$10)*(1+$B$4)^66)&gt;0,1+$B$3,1))</f>
        <v/>
      </c>
      <c r="BR135">
        <f>IF($B$1+67&gt;90,BQ135,(BQ135+IF($B$1+67&lt;=$B135,12*($B$7-$B$10),-12*($B$6+$B$10)*(1+$B$4)^67))*IF(BQ135+IF($B$1+67&lt;=$B135,12*($B$7-$B$10),-12*($B$6+$B$10)*(1+$B$4)^67)&gt;0,1+$B$3,1))</f>
        <v/>
      </c>
      <c r="BS135">
        <f>IF($B$1+68&gt;90,BR135,(BR135+IF($B$1+68&lt;=$B135,12*($B$7-$B$10),-12*($B$6+$B$10)*(1+$B$4)^68))*IF(BR135+IF($B$1+68&lt;=$B135,12*($B$7-$B$10),-12*($B$6+$B$10)*(1+$B$4)^68)&gt;0,1+$B$3,1))</f>
        <v/>
      </c>
      <c r="BT135">
        <f>IF($B$1+69&gt;90,BS135,(BS135+IF($B$1+69&lt;=$B135,12*($B$7-$B$10),-12*($B$6+$B$10)*(1+$B$4)^69))*IF(BS135+IF($B$1+69&lt;=$B135,12*($B$7-$B$10),-12*($B$6+$B$10)*(1+$B$4)^69)&gt;0,1+$B$3,1))</f>
        <v/>
      </c>
      <c r="BU135">
        <f>IF($B$1+70&gt;90,BT135,(BT135+IF($B$1+70&lt;=$B135,12*($B$7-$B$10),-12*($B$6+$B$10)*(1+$B$4)^70))*IF(BT135+IF($B$1+70&lt;=$B135,12*($B$7-$B$10),-12*($B$6+$B$10)*(1+$B$4)^70)&gt;0,1+$B$3,1))</f>
        <v/>
      </c>
      <c r="BV135">
        <f>BU135</f>
        <v/>
      </c>
      <c r="BW135">
        <f>IF(AND($B135&lt;=70,BV135&gt;0),$B135,999)</f>
        <v/>
      </c>
    </row>
    <row r="136">
      <c r="A136" t="n">
        <v>40</v>
      </c>
      <c r="B136">
        <f>$B$1+40</f>
        <v/>
      </c>
      <c r="C136">
        <f>$B$2</f>
        <v/>
      </c>
      <c r="D136">
        <f>IF($B$1+1&gt;90,C136,(C136+IF($B$1+1&lt;=$B136,12*($B$7-$B$10),-12*($B$6+$B$10)*(1+$B$4)^1))*IF(C136+IF($B$1+1&lt;=$B136,12*($B$7-$B$10),-12*($B$6+$B$10)*(1+$B$4)^1)&gt;0,1+$B$3,1))</f>
        <v/>
      </c>
      <c r="E136">
        <f>IF($B$1+2&gt;90,D136,(D136+IF($B$1+2&lt;=$B136,12*($B$7-$B$10),-12*($B$6+$B$10)*(1+$B$4)^2))*IF(D136+IF($B$1+2&lt;=$B136,12*($B$7-$B$10),-12*($B$6+$B$10)*(1+$B$4)^2)&gt;0,1+$B$3,1))</f>
        <v/>
      </c>
      <c r="F136">
        <f>IF($B$1+3&gt;90,E136,(E136+IF($B$1+3&lt;=$B136,12*($B$7-$B$10),-12*($B$6+$B$10)*(1+$B$4)^3))*IF(E136+IF($B$1+3&lt;=$B136,12*($B$7-$B$10),-12*($B$6+$B$10)*(1+$B$4)^3)&gt;0,1+$B$3,1))</f>
        <v/>
      </c>
      <c r="G136">
        <f>IF($B$1+4&gt;90,F136,(F136+IF($B$1+4&lt;=$B136,12*($B$7-$B$10),-12*($B$6+$B$10)*(1+$B$4)^4))*IF(F136+IF($B$1+4&lt;=$B136,12*($B$7-$B$10),-12*($B$6+$B$10)*(1+$B$4)^4)&gt;0,1+$B$3,1))</f>
        <v/>
      </c>
      <c r="H136">
        <f>IF($B$1+5&gt;90,G136,(G136+IF($B$1+5&lt;=$B136,12*($B$7-$B$10),-12*($B$6+$B$10)*(1+$B$4)^5))*IF(G136+IF($B$1+5&lt;=$B136,12*($B$7-$B$10),-12*($B$6+$B$10)*(1+$B$4)^5)&gt;0,1+$B$3,1))</f>
        <v/>
      </c>
      <c r="I136">
        <f>IF($B$1+6&gt;90,H136,(H136+IF($B$1+6&lt;=$B136,12*($B$7-$B$10),-12*($B$6+$B$10)*(1+$B$4)^6))*IF(H136+IF($B$1+6&lt;=$B136,12*($B$7-$B$10),-12*($B$6+$B$10)*(1+$B$4)^6)&gt;0,1+$B$3,1))</f>
        <v/>
      </c>
      <c r="J136">
        <f>IF($B$1+7&gt;90,I136,(I136+IF($B$1+7&lt;=$B136,12*($B$7-$B$10),-12*($B$6+$B$10)*(1+$B$4)^7))*IF(I136+IF($B$1+7&lt;=$B136,12*($B$7-$B$10),-12*($B$6+$B$10)*(1+$B$4)^7)&gt;0,1+$B$3,1))</f>
        <v/>
      </c>
      <c r="K136">
        <f>IF($B$1+8&gt;90,J136,(J136+IF($B$1+8&lt;=$B136,12*($B$7-$B$10),-12*($B$6+$B$10)*(1+$B$4)^8))*IF(J136+IF($B$1+8&lt;=$B136,12*($B$7-$B$10),-12*($B$6+$B$10)*(1+$B$4)^8)&gt;0,1+$B$3,1))</f>
        <v/>
      </c>
      <c r="L136">
        <f>IF($B$1+9&gt;90,K136,(K136+IF($B$1+9&lt;=$B136,12*($B$7-$B$10),-12*($B$6+$B$10)*(1+$B$4)^9))*IF(K136+IF($B$1+9&lt;=$B136,12*($B$7-$B$10),-12*($B$6+$B$10)*(1+$B$4)^9)&gt;0,1+$B$3,1))</f>
        <v/>
      </c>
      <c r="M136">
        <f>IF($B$1+10&gt;90,L136,(L136+IF($B$1+10&lt;=$B136,12*($B$7-$B$10),-12*($B$6+$B$10)*(1+$B$4)^10))*IF(L136+IF($B$1+10&lt;=$B136,12*($B$7-$B$10),-12*($B$6+$B$10)*(1+$B$4)^10)&gt;0,1+$B$3,1))</f>
        <v/>
      </c>
      <c r="N136">
        <f>IF($B$1+11&gt;90,M136,(M136+IF($B$1+11&lt;=$B136,12*($B$7-$B$10),-12*($B$6+$B$10)*(1+$B$4)^11))*IF(M136+IF($B$1+11&lt;=$B136,12*($B$7-$B$10),-12*($B$6+$B$10)*(1+$B$4)^11)&gt;0,1+$B$3,1))</f>
        <v/>
      </c>
      <c r="O136">
        <f>IF($B$1+12&gt;90,N136,(N136+IF($B$1+12&lt;=$B136,12*($B$7-$B$10),-12*($B$6+$B$10)*(1+$B$4)^12))*IF(N136+IF($B$1+12&lt;=$B136,12*($B$7-$B$10),-12*($B$6+$B$10)*(1+$B$4)^12)&gt;0,1+$B$3,1))</f>
        <v/>
      </c>
      <c r="P136">
        <f>IF($B$1+13&gt;90,O136,(O136+IF($B$1+13&lt;=$B136,12*($B$7-$B$10),-12*($B$6+$B$10)*(1+$B$4)^13))*IF(O136+IF($B$1+13&lt;=$B136,12*($B$7-$B$10),-12*($B$6+$B$10)*(1+$B$4)^13)&gt;0,1+$B$3,1))</f>
        <v/>
      </c>
      <c r="Q136">
        <f>IF($B$1+14&gt;90,P136,(P136+IF($B$1+14&lt;=$B136,12*($B$7-$B$10),-12*($B$6+$B$10)*(1+$B$4)^14))*IF(P136+IF($B$1+14&lt;=$B136,12*($B$7-$B$10),-12*($B$6+$B$10)*(1+$B$4)^14)&gt;0,1+$B$3,1))</f>
        <v/>
      </c>
      <c r="R136">
        <f>IF($B$1+15&gt;90,Q136,(Q136+IF($B$1+15&lt;=$B136,12*($B$7-$B$10),-12*($B$6+$B$10)*(1+$B$4)^15))*IF(Q136+IF($B$1+15&lt;=$B136,12*($B$7-$B$10),-12*($B$6+$B$10)*(1+$B$4)^15)&gt;0,1+$B$3,1))</f>
        <v/>
      </c>
      <c r="S136">
        <f>IF($B$1+16&gt;90,R136,(R136+IF($B$1+16&lt;=$B136,12*($B$7-$B$10),-12*($B$6+$B$10)*(1+$B$4)^16))*IF(R136+IF($B$1+16&lt;=$B136,12*($B$7-$B$10),-12*($B$6+$B$10)*(1+$B$4)^16)&gt;0,1+$B$3,1))</f>
        <v/>
      </c>
      <c r="T136">
        <f>IF($B$1+17&gt;90,S136,(S136+IF($B$1+17&lt;=$B136,12*($B$7-$B$10),-12*($B$6+$B$10)*(1+$B$4)^17))*IF(S136+IF($B$1+17&lt;=$B136,12*($B$7-$B$10),-12*($B$6+$B$10)*(1+$B$4)^17)&gt;0,1+$B$3,1))</f>
        <v/>
      </c>
      <c r="U136">
        <f>IF($B$1+18&gt;90,T136,(T136+IF($B$1+18&lt;=$B136,12*($B$7-$B$10),-12*($B$6+$B$10)*(1+$B$4)^18))*IF(T136+IF($B$1+18&lt;=$B136,12*($B$7-$B$10),-12*($B$6+$B$10)*(1+$B$4)^18)&gt;0,1+$B$3,1))</f>
        <v/>
      </c>
      <c r="V136">
        <f>IF($B$1+19&gt;90,U136,(U136+IF($B$1+19&lt;=$B136,12*($B$7-$B$10),-12*($B$6+$B$10)*(1+$B$4)^19))*IF(U136+IF($B$1+19&lt;=$B136,12*($B$7-$B$10),-12*($B$6+$B$10)*(1+$B$4)^19)&gt;0,1+$B$3,1))</f>
        <v/>
      </c>
      <c r="W136">
        <f>IF($B$1+20&gt;90,V136,(V136+IF($B$1+20&lt;=$B136,12*($B$7-$B$10),-12*($B$6+$B$10)*(1+$B$4)^20))*IF(V136+IF($B$1+20&lt;=$B136,12*($B$7-$B$10),-12*($B$6+$B$10)*(1+$B$4)^20)&gt;0,1+$B$3,1))</f>
        <v/>
      </c>
      <c r="X136">
        <f>IF($B$1+21&gt;90,W136,(W136+IF($B$1+21&lt;=$B136,12*($B$7-$B$10),-12*($B$6+$B$10)*(1+$B$4)^21))*IF(W136+IF($B$1+21&lt;=$B136,12*($B$7-$B$10),-12*($B$6+$B$10)*(1+$B$4)^21)&gt;0,1+$B$3,1))</f>
        <v/>
      </c>
      <c r="Y136">
        <f>IF($B$1+22&gt;90,X136,(X136+IF($B$1+22&lt;=$B136,12*($B$7-$B$10),-12*($B$6+$B$10)*(1+$B$4)^22))*IF(X136+IF($B$1+22&lt;=$B136,12*($B$7-$B$10),-12*($B$6+$B$10)*(1+$B$4)^22)&gt;0,1+$B$3,1))</f>
        <v/>
      </c>
      <c r="Z136">
        <f>IF($B$1+23&gt;90,Y136,(Y136+IF($B$1+23&lt;=$B136,12*($B$7-$B$10),-12*($B$6+$B$10)*(1+$B$4)^23))*IF(Y136+IF($B$1+23&lt;=$B136,12*($B$7-$B$10),-12*($B$6+$B$10)*(1+$B$4)^23)&gt;0,1+$B$3,1))</f>
        <v/>
      </c>
      <c r="AA136">
        <f>IF($B$1+24&gt;90,Z136,(Z136+IF($B$1+24&lt;=$B136,12*($B$7-$B$10),-12*($B$6+$B$10)*(1+$B$4)^24))*IF(Z136+IF($B$1+24&lt;=$B136,12*($B$7-$B$10),-12*($B$6+$B$10)*(1+$B$4)^24)&gt;0,1+$B$3,1))</f>
        <v/>
      </c>
      <c r="AB136">
        <f>IF($B$1+25&gt;90,AA136,(AA136+IF($B$1+25&lt;=$B136,12*($B$7-$B$10),-12*($B$6+$B$10)*(1+$B$4)^25))*IF(AA136+IF($B$1+25&lt;=$B136,12*($B$7-$B$10),-12*($B$6+$B$10)*(1+$B$4)^25)&gt;0,1+$B$3,1))</f>
        <v/>
      </c>
      <c r="AC136">
        <f>IF($B$1+26&gt;90,AB136,(AB136+IF($B$1+26&lt;=$B136,12*($B$7-$B$10),-12*($B$6+$B$10)*(1+$B$4)^26))*IF(AB136+IF($B$1+26&lt;=$B136,12*($B$7-$B$10),-12*($B$6+$B$10)*(1+$B$4)^26)&gt;0,1+$B$3,1))</f>
        <v/>
      </c>
      <c r="AD136">
        <f>IF($B$1+27&gt;90,AC136,(AC136+IF($B$1+27&lt;=$B136,12*($B$7-$B$10),-12*($B$6+$B$10)*(1+$B$4)^27))*IF(AC136+IF($B$1+27&lt;=$B136,12*($B$7-$B$10),-12*($B$6+$B$10)*(1+$B$4)^27)&gt;0,1+$B$3,1))</f>
        <v/>
      </c>
      <c r="AE136">
        <f>IF($B$1+28&gt;90,AD136,(AD136+IF($B$1+28&lt;=$B136,12*($B$7-$B$10),-12*($B$6+$B$10)*(1+$B$4)^28))*IF(AD136+IF($B$1+28&lt;=$B136,12*($B$7-$B$10),-12*($B$6+$B$10)*(1+$B$4)^28)&gt;0,1+$B$3,1))</f>
        <v/>
      </c>
      <c r="AF136">
        <f>IF($B$1+29&gt;90,AE136,(AE136+IF($B$1+29&lt;=$B136,12*($B$7-$B$10),-12*($B$6+$B$10)*(1+$B$4)^29))*IF(AE136+IF($B$1+29&lt;=$B136,12*($B$7-$B$10),-12*($B$6+$B$10)*(1+$B$4)^29)&gt;0,1+$B$3,1))</f>
        <v/>
      </c>
      <c r="AG136">
        <f>IF($B$1+30&gt;90,AF136,(AF136+IF($B$1+30&lt;=$B136,12*($B$7-$B$10),-12*($B$6+$B$10)*(1+$B$4)^30))*IF(AF136+IF($B$1+30&lt;=$B136,12*($B$7-$B$10),-12*($B$6+$B$10)*(1+$B$4)^30)&gt;0,1+$B$3,1))</f>
        <v/>
      </c>
      <c r="AH136">
        <f>IF($B$1+31&gt;90,AG136,(AG136+IF($B$1+31&lt;=$B136,12*($B$7-$B$10),-12*($B$6+$B$10)*(1+$B$4)^31))*IF(AG136+IF($B$1+31&lt;=$B136,12*($B$7-$B$10),-12*($B$6+$B$10)*(1+$B$4)^31)&gt;0,1+$B$3,1))</f>
        <v/>
      </c>
      <c r="AI136">
        <f>IF($B$1+32&gt;90,AH136,(AH136+IF($B$1+32&lt;=$B136,12*($B$7-$B$10),-12*($B$6+$B$10)*(1+$B$4)^32))*IF(AH136+IF($B$1+32&lt;=$B136,12*($B$7-$B$10),-12*($B$6+$B$10)*(1+$B$4)^32)&gt;0,1+$B$3,1))</f>
        <v/>
      </c>
      <c r="AJ136">
        <f>IF($B$1+33&gt;90,AI136,(AI136+IF($B$1+33&lt;=$B136,12*($B$7-$B$10),-12*($B$6+$B$10)*(1+$B$4)^33))*IF(AI136+IF($B$1+33&lt;=$B136,12*($B$7-$B$10),-12*($B$6+$B$10)*(1+$B$4)^33)&gt;0,1+$B$3,1))</f>
        <v/>
      </c>
      <c r="AK136">
        <f>IF($B$1+34&gt;90,AJ136,(AJ136+IF($B$1+34&lt;=$B136,12*($B$7-$B$10),-12*($B$6+$B$10)*(1+$B$4)^34))*IF(AJ136+IF($B$1+34&lt;=$B136,12*($B$7-$B$10),-12*($B$6+$B$10)*(1+$B$4)^34)&gt;0,1+$B$3,1))</f>
        <v/>
      </c>
      <c r="AL136">
        <f>IF($B$1+35&gt;90,AK136,(AK136+IF($B$1+35&lt;=$B136,12*($B$7-$B$10),-12*($B$6+$B$10)*(1+$B$4)^35))*IF(AK136+IF($B$1+35&lt;=$B136,12*($B$7-$B$10),-12*($B$6+$B$10)*(1+$B$4)^35)&gt;0,1+$B$3,1))</f>
        <v/>
      </c>
      <c r="AM136">
        <f>IF($B$1+36&gt;90,AL136,(AL136+IF($B$1+36&lt;=$B136,12*($B$7-$B$10),-12*($B$6+$B$10)*(1+$B$4)^36))*IF(AL136+IF($B$1+36&lt;=$B136,12*($B$7-$B$10),-12*($B$6+$B$10)*(1+$B$4)^36)&gt;0,1+$B$3,1))</f>
        <v/>
      </c>
      <c r="AN136">
        <f>IF($B$1+37&gt;90,AM136,(AM136+IF($B$1+37&lt;=$B136,12*($B$7-$B$10),-12*($B$6+$B$10)*(1+$B$4)^37))*IF(AM136+IF($B$1+37&lt;=$B136,12*($B$7-$B$10),-12*($B$6+$B$10)*(1+$B$4)^37)&gt;0,1+$B$3,1))</f>
        <v/>
      </c>
      <c r="AO136">
        <f>IF($B$1+38&gt;90,AN136,(AN136+IF($B$1+38&lt;=$B136,12*($B$7-$B$10),-12*($B$6+$B$10)*(1+$B$4)^38))*IF(AN136+IF($B$1+38&lt;=$B136,12*($B$7-$B$10),-12*($B$6+$B$10)*(1+$B$4)^38)&gt;0,1+$B$3,1))</f>
        <v/>
      </c>
      <c r="AP136">
        <f>IF($B$1+39&gt;90,AO136,(AO136+IF($B$1+39&lt;=$B136,12*($B$7-$B$10),-12*($B$6+$B$10)*(1+$B$4)^39))*IF(AO136+IF($B$1+39&lt;=$B136,12*($B$7-$B$10),-12*($B$6+$B$10)*(1+$B$4)^39)&gt;0,1+$B$3,1))</f>
        <v/>
      </c>
      <c r="AQ136">
        <f>IF($B$1+40&gt;90,AP136,(AP136+IF($B$1+40&lt;=$B136,12*($B$7-$B$10),-12*($B$6+$B$10)*(1+$B$4)^40))*IF(AP136+IF($B$1+40&lt;=$B136,12*($B$7-$B$10),-12*($B$6+$B$10)*(1+$B$4)^40)&gt;0,1+$B$3,1))</f>
        <v/>
      </c>
      <c r="AR136">
        <f>IF($B$1+41&gt;90,AQ136,(AQ136+IF($B$1+41&lt;=$B136,12*($B$7-$B$10),-12*($B$6+$B$10)*(1+$B$4)^41))*IF(AQ136+IF($B$1+41&lt;=$B136,12*($B$7-$B$10),-12*($B$6+$B$10)*(1+$B$4)^41)&gt;0,1+$B$3,1))</f>
        <v/>
      </c>
      <c r="AS136">
        <f>IF($B$1+42&gt;90,AR136,(AR136+IF($B$1+42&lt;=$B136,12*($B$7-$B$10),-12*($B$6+$B$10)*(1+$B$4)^42))*IF(AR136+IF($B$1+42&lt;=$B136,12*($B$7-$B$10),-12*($B$6+$B$10)*(1+$B$4)^42)&gt;0,1+$B$3,1))</f>
        <v/>
      </c>
      <c r="AT136">
        <f>IF($B$1+43&gt;90,AS136,(AS136+IF($B$1+43&lt;=$B136,12*($B$7-$B$10),-12*($B$6+$B$10)*(1+$B$4)^43))*IF(AS136+IF($B$1+43&lt;=$B136,12*($B$7-$B$10),-12*($B$6+$B$10)*(1+$B$4)^43)&gt;0,1+$B$3,1))</f>
        <v/>
      </c>
      <c r="AU136">
        <f>IF($B$1+44&gt;90,AT136,(AT136+IF($B$1+44&lt;=$B136,12*($B$7-$B$10),-12*($B$6+$B$10)*(1+$B$4)^44))*IF(AT136+IF($B$1+44&lt;=$B136,12*($B$7-$B$10),-12*($B$6+$B$10)*(1+$B$4)^44)&gt;0,1+$B$3,1))</f>
        <v/>
      </c>
      <c r="AV136">
        <f>IF($B$1+45&gt;90,AU136,(AU136+IF($B$1+45&lt;=$B136,12*($B$7-$B$10),-12*($B$6+$B$10)*(1+$B$4)^45))*IF(AU136+IF($B$1+45&lt;=$B136,12*($B$7-$B$10),-12*($B$6+$B$10)*(1+$B$4)^45)&gt;0,1+$B$3,1))</f>
        <v/>
      </c>
      <c r="AW136">
        <f>IF($B$1+46&gt;90,AV136,(AV136+IF($B$1+46&lt;=$B136,12*($B$7-$B$10),-12*($B$6+$B$10)*(1+$B$4)^46))*IF(AV136+IF($B$1+46&lt;=$B136,12*($B$7-$B$10),-12*($B$6+$B$10)*(1+$B$4)^46)&gt;0,1+$B$3,1))</f>
        <v/>
      </c>
      <c r="AX136">
        <f>IF($B$1+47&gt;90,AW136,(AW136+IF($B$1+47&lt;=$B136,12*($B$7-$B$10),-12*($B$6+$B$10)*(1+$B$4)^47))*IF(AW136+IF($B$1+47&lt;=$B136,12*($B$7-$B$10),-12*($B$6+$B$10)*(1+$B$4)^47)&gt;0,1+$B$3,1))</f>
        <v/>
      </c>
      <c r="AY136">
        <f>IF($B$1+48&gt;90,AX136,(AX136+IF($B$1+48&lt;=$B136,12*($B$7-$B$10),-12*($B$6+$B$10)*(1+$B$4)^48))*IF(AX136+IF($B$1+48&lt;=$B136,12*($B$7-$B$10),-12*($B$6+$B$10)*(1+$B$4)^48)&gt;0,1+$B$3,1))</f>
        <v/>
      </c>
      <c r="AZ136">
        <f>IF($B$1+49&gt;90,AY136,(AY136+IF($B$1+49&lt;=$B136,12*($B$7-$B$10),-12*($B$6+$B$10)*(1+$B$4)^49))*IF(AY136+IF($B$1+49&lt;=$B136,12*($B$7-$B$10),-12*($B$6+$B$10)*(1+$B$4)^49)&gt;0,1+$B$3,1))</f>
        <v/>
      </c>
      <c r="BA136">
        <f>IF($B$1+50&gt;90,AZ136,(AZ136+IF($B$1+50&lt;=$B136,12*($B$7-$B$10),-12*($B$6+$B$10)*(1+$B$4)^50))*IF(AZ136+IF($B$1+50&lt;=$B136,12*($B$7-$B$10),-12*($B$6+$B$10)*(1+$B$4)^50)&gt;0,1+$B$3,1))</f>
        <v/>
      </c>
      <c r="BB136">
        <f>IF($B$1+51&gt;90,BA136,(BA136+IF($B$1+51&lt;=$B136,12*($B$7-$B$10),-12*($B$6+$B$10)*(1+$B$4)^51))*IF(BA136+IF($B$1+51&lt;=$B136,12*($B$7-$B$10),-12*($B$6+$B$10)*(1+$B$4)^51)&gt;0,1+$B$3,1))</f>
        <v/>
      </c>
      <c r="BC136">
        <f>IF($B$1+52&gt;90,BB136,(BB136+IF($B$1+52&lt;=$B136,12*($B$7-$B$10),-12*($B$6+$B$10)*(1+$B$4)^52))*IF(BB136+IF($B$1+52&lt;=$B136,12*($B$7-$B$10),-12*($B$6+$B$10)*(1+$B$4)^52)&gt;0,1+$B$3,1))</f>
        <v/>
      </c>
      <c r="BD136">
        <f>IF($B$1+53&gt;90,BC136,(BC136+IF($B$1+53&lt;=$B136,12*($B$7-$B$10),-12*($B$6+$B$10)*(1+$B$4)^53))*IF(BC136+IF($B$1+53&lt;=$B136,12*($B$7-$B$10),-12*($B$6+$B$10)*(1+$B$4)^53)&gt;0,1+$B$3,1))</f>
        <v/>
      </c>
      <c r="BE136">
        <f>IF($B$1+54&gt;90,BD136,(BD136+IF($B$1+54&lt;=$B136,12*($B$7-$B$10),-12*($B$6+$B$10)*(1+$B$4)^54))*IF(BD136+IF($B$1+54&lt;=$B136,12*($B$7-$B$10),-12*($B$6+$B$10)*(1+$B$4)^54)&gt;0,1+$B$3,1))</f>
        <v/>
      </c>
      <c r="BF136">
        <f>IF($B$1+55&gt;90,BE136,(BE136+IF($B$1+55&lt;=$B136,12*($B$7-$B$10),-12*($B$6+$B$10)*(1+$B$4)^55))*IF(BE136+IF($B$1+55&lt;=$B136,12*($B$7-$B$10),-12*($B$6+$B$10)*(1+$B$4)^55)&gt;0,1+$B$3,1))</f>
        <v/>
      </c>
      <c r="BG136">
        <f>IF($B$1+56&gt;90,BF136,(BF136+IF($B$1+56&lt;=$B136,12*($B$7-$B$10),-12*($B$6+$B$10)*(1+$B$4)^56))*IF(BF136+IF($B$1+56&lt;=$B136,12*($B$7-$B$10),-12*($B$6+$B$10)*(1+$B$4)^56)&gt;0,1+$B$3,1))</f>
        <v/>
      </c>
      <c r="BH136">
        <f>IF($B$1+57&gt;90,BG136,(BG136+IF($B$1+57&lt;=$B136,12*($B$7-$B$10),-12*($B$6+$B$10)*(1+$B$4)^57))*IF(BG136+IF($B$1+57&lt;=$B136,12*($B$7-$B$10),-12*($B$6+$B$10)*(1+$B$4)^57)&gt;0,1+$B$3,1))</f>
        <v/>
      </c>
      <c r="BI136">
        <f>IF($B$1+58&gt;90,BH136,(BH136+IF($B$1+58&lt;=$B136,12*($B$7-$B$10),-12*($B$6+$B$10)*(1+$B$4)^58))*IF(BH136+IF($B$1+58&lt;=$B136,12*($B$7-$B$10),-12*($B$6+$B$10)*(1+$B$4)^58)&gt;0,1+$B$3,1))</f>
        <v/>
      </c>
      <c r="BJ136">
        <f>IF($B$1+59&gt;90,BI136,(BI136+IF($B$1+59&lt;=$B136,12*($B$7-$B$10),-12*($B$6+$B$10)*(1+$B$4)^59))*IF(BI136+IF($B$1+59&lt;=$B136,12*($B$7-$B$10),-12*($B$6+$B$10)*(1+$B$4)^59)&gt;0,1+$B$3,1))</f>
        <v/>
      </c>
      <c r="BK136">
        <f>IF($B$1+60&gt;90,BJ136,(BJ136+IF($B$1+60&lt;=$B136,12*($B$7-$B$10),-12*($B$6+$B$10)*(1+$B$4)^60))*IF(BJ136+IF($B$1+60&lt;=$B136,12*($B$7-$B$10),-12*($B$6+$B$10)*(1+$B$4)^60)&gt;0,1+$B$3,1))</f>
        <v/>
      </c>
      <c r="BL136">
        <f>IF($B$1+61&gt;90,BK136,(BK136+IF($B$1+61&lt;=$B136,12*($B$7-$B$10),-12*($B$6+$B$10)*(1+$B$4)^61))*IF(BK136+IF($B$1+61&lt;=$B136,12*($B$7-$B$10),-12*($B$6+$B$10)*(1+$B$4)^61)&gt;0,1+$B$3,1))</f>
        <v/>
      </c>
      <c r="BM136">
        <f>IF($B$1+62&gt;90,BL136,(BL136+IF($B$1+62&lt;=$B136,12*($B$7-$B$10),-12*($B$6+$B$10)*(1+$B$4)^62))*IF(BL136+IF($B$1+62&lt;=$B136,12*($B$7-$B$10),-12*($B$6+$B$10)*(1+$B$4)^62)&gt;0,1+$B$3,1))</f>
        <v/>
      </c>
      <c r="BN136">
        <f>IF($B$1+63&gt;90,BM136,(BM136+IF($B$1+63&lt;=$B136,12*($B$7-$B$10),-12*($B$6+$B$10)*(1+$B$4)^63))*IF(BM136+IF($B$1+63&lt;=$B136,12*($B$7-$B$10),-12*($B$6+$B$10)*(1+$B$4)^63)&gt;0,1+$B$3,1))</f>
        <v/>
      </c>
      <c r="BO136">
        <f>IF($B$1+64&gt;90,BN136,(BN136+IF($B$1+64&lt;=$B136,12*($B$7-$B$10),-12*($B$6+$B$10)*(1+$B$4)^64))*IF(BN136+IF($B$1+64&lt;=$B136,12*($B$7-$B$10),-12*($B$6+$B$10)*(1+$B$4)^64)&gt;0,1+$B$3,1))</f>
        <v/>
      </c>
      <c r="BP136">
        <f>IF($B$1+65&gt;90,BO136,(BO136+IF($B$1+65&lt;=$B136,12*($B$7-$B$10),-12*($B$6+$B$10)*(1+$B$4)^65))*IF(BO136+IF($B$1+65&lt;=$B136,12*($B$7-$B$10),-12*($B$6+$B$10)*(1+$B$4)^65)&gt;0,1+$B$3,1))</f>
        <v/>
      </c>
      <c r="BQ136">
        <f>IF($B$1+66&gt;90,BP136,(BP136+IF($B$1+66&lt;=$B136,12*($B$7-$B$10),-12*($B$6+$B$10)*(1+$B$4)^66))*IF(BP136+IF($B$1+66&lt;=$B136,12*($B$7-$B$10),-12*($B$6+$B$10)*(1+$B$4)^66)&gt;0,1+$B$3,1))</f>
        <v/>
      </c>
      <c r="BR136">
        <f>IF($B$1+67&gt;90,BQ136,(BQ136+IF($B$1+67&lt;=$B136,12*($B$7-$B$10),-12*($B$6+$B$10)*(1+$B$4)^67))*IF(BQ136+IF($B$1+67&lt;=$B136,12*($B$7-$B$10),-12*($B$6+$B$10)*(1+$B$4)^67)&gt;0,1+$B$3,1))</f>
        <v/>
      </c>
      <c r="BS136">
        <f>IF($B$1+68&gt;90,BR136,(BR136+IF($B$1+68&lt;=$B136,12*($B$7-$B$10),-12*($B$6+$B$10)*(1+$B$4)^68))*IF(BR136+IF($B$1+68&lt;=$B136,12*($B$7-$B$10),-12*($B$6+$B$10)*(1+$B$4)^68)&gt;0,1+$B$3,1))</f>
        <v/>
      </c>
      <c r="BT136">
        <f>IF($B$1+69&gt;90,BS136,(BS136+IF($B$1+69&lt;=$B136,12*($B$7-$B$10),-12*($B$6+$B$10)*(1+$B$4)^69))*IF(BS136+IF($B$1+69&lt;=$B136,12*($B$7-$B$10),-12*($B$6+$B$10)*(1+$B$4)^69)&gt;0,1+$B$3,1))</f>
        <v/>
      </c>
      <c r="BU136">
        <f>IF($B$1+70&gt;90,BT136,(BT136+IF($B$1+70&lt;=$B136,12*($B$7-$B$10),-12*($B$6+$B$10)*(1+$B$4)^70))*IF(BT136+IF($B$1+70&lt;=$B136,12*($B$7-$B$10),-12*($B$6+$B$10)*(1+$B$4)^70)&gt;0,1+$B$3,1))</f>
        <v/>
      </c>
      <c r="BV136">
        <f>BU136</f>
        <v/>
      </c>
      <c r="BW136">
        <f>IF(AND($B136&lt;=70,BV136&gt;0),$B136,999)</f>
        <v/>
      </c>
    </row>
    <row r="137">
      <c r="A137" t="n">
        <v>41</v>
      </c>
      <c r="B137">
        <f>$B$1+41</f>
        <v/>
      </c>
      <c r="C137">
        <f>$B$2</f>
        <v/>
      </c>
      <c r="D137">
        <f>IF($B$1+1&gt;90,C137,(C137+IF($B$1+1&lt;=$B137,12*($B$7-$B$10),-12*($B$6+$B$10)*(1+$B$4)^1))*IF(C137+IF($B$1+1&lt;=$B137,12*($B$7-$B$10),-12*($B$6+$B$10)*(1+$B$4)^1)&gt;0,1+$B$3,1))</f>
        <v/>
      </c>
      <c r="E137">
        <f>IF($B$1+2&gt;90,D137,(D137+IF($B$1+2&lt;=$B137,12*($B$7-$B$10),-12*($B$6+$B$10)*(1+$B$4)^2))*IF(D137+IF($B$1+2&lt;=$B137,12*($B$7-$B$10),-12*($B$6+$B$10)*(1+$B$4)^2)&gt;0,1+$B$3,1))</f>
        <v/>
      </c>
      <c r="F137">
        <f>IF($B$1+3&gt;90,E137,(E137+IF($B$1+3&lt;=$B137,12*($B$7-$B$10),-12*($B$6+$B$10)*(1+$B$4)^3))*IF(E137+IF($B$1+3&lt;=$B137,12*($B$7-$B$10),-12*($B$6+$B$10)*(1+$B$4)^3)&gt;0,1+$B$3,1))</f>
        <v/>
      </c>
      <c r="G137">
        <f>IF($B$1+4&gt;90,F137,(F137+IF($B$1+4&lt;=$B137,12*($B$7-$B$10),-12*($B$6+$B$10)*(1+$B$4)^4))*IF(F137+IF($B$1+4&lt;=$B137,12*($B$7-$B$10),-12*($B$6+$B$10)*(1+$B$4)^4)&gt;0,1+$B$3,1))</f>
        <v/>
      </c>
      <c r="H137">
        <f>IF($B$1+5&gt;90,G137,(G137+IF($B$1+5&lt;=$B137,12*($B$7-$B$10),-12*($B$6+$B$10)*(1+$B$4)^5))*IF(G137+IF($B$1+5&lt;=$B137,12*($B$7-$B$10),-12*($B$6+$B$10)*(1+$B$4)^5)&gt;0,1+$B$3,1))</f>
        <v/>
      </c>
      <c r="I137">
        <f>IF($B$1+6&gt;90,H137,(H137+IF($B$1+6&lt;=$B137,12*($B$7-$B$10),-12*($B$6+$B$10)*(1+$B$4)^6))*IF(H137+IF($B$1+6&lt;=$B137,12*($B$7-$B$10),-12*($B$6+$B$10)*(1+$B$4)^6)&gt;0,1+$B$3,1))</f>
        <v/>
      </c>
      <c r="J137">
        <f>IF($B$1+7&gt;90,I137,(I137+IF($B$1+7&lt;=$B137,12*($B$7-$B$10),-12*($B$6+$B$10)*(1+$B$4)^7))*IF(I137+IF($B$1+7&lt;=$B137,12*($B$7-$B$10),-12*($B$6+$B$10)*(1+$B$4)^7)&gt;0,1+$B$3,1))</f>
        <v/>
      </c>
      <c r="K137">
        <f>IF($B$1+8&gt;90,J137,(J137+IF($B$1+8&lt;=$B137,12*($B$7-$B$10),-12*($B$6+$B$10)*(1+$B$4)^8))*IF(J137+IF($B$1+8&lt;=$B137,12*($B$7-$B$10),-12*($B$6+$B$10)*(1+$B$4)^8)&gt;0,1+$B$3,1))</f>
        <v/>
      </c>
      <c r="L137">
        <f>IF($B$1+9&gt;90,K137,(K137+IF($B$1+9&lt;=$B137,12*($B$7-$B$10),-12*($B$6+$B$10)*(1+$B$4)^9))*IF(K137+IF($B$1+9&lt;=$B137,12*($B$7-$B$10),-12*($B$6+$B$10)*(1+$B$4)^9)&gt;0,1+$B$3,1))</f>
        <v/>
      </c>
      <c r="M137">
        <f>IF($B$1+10&gt;90,L137,(L137+IF($B$1+10&lt;=$B137,12*($B$7-$B$10),-12*($B$6+$B$10)*(1+$B$4)^10))*IF(L137+IF($B$1+10&lt;=$B137,12*($B$7-$B$10),-12*($B$6+$B$10)*(1+$B$4)^10)&gt;0,1+$B$3,1))</f>
        <v/>
      </c>
      <c r="N137">
        <f>IF($B$1+11&gt;90,M137,(M137+IF($B$1+11&lt;=$B137,12*($B$7-$B$10),-12*($B$6+$B$10)*(1+$B$4)^11))*IF(M137+IF($B$1+11&lt;=$B137,12*($B$7-$B$10),-12*($B$6+$B$10)*(1+$B$4)^11)&gt;0,1+$B$3,1))</f>
        <v/>
      </c>
      <c r="O137">
        <f>IF($B$1+12&gt;90,N137,(N137+IF($B$1+12&lt;=$B137,12*($B$7-$B$10),-12*($B$6+$B$10)*(1+$B$4)^12))*IF(N137+IF($B$1+12&lt;=$B137,12*($B$7-$B$10),-12*($B$6+$B$10)*(1+$B$4)^12)&gt;0,1+$B$3,1))</f>
        <v/>
      </c>
      <c r="P137">
        <f>IF($B$1+13&gt;90,O137,(O137+IF($B$1+13&lt;=$B137,12*($B$7-$B$10),-12*($B$6+$B$10)*(1+$B$4)^13))*IF(O137+IF($B$1+13&lt;=$B137,12*($B$7-$B$10),-12*($B$6+$B$10)*(1+$B$4)^13)&gt;0,1+$B$3,1))</f>
        <v/>
      </c>
      <c r="Q137">
        <f>IF($B$1+14&gt;90,P137,(P137+IF($B$1+14&lt;=$B137,12*($B$7-$B$10),-12*($B$6+$B$10)*(1+$B$4)^14))*IF(P137+IF($B$1+14&lt;=$B137,12*($B$7-$B$10),-12*($B$6+$B$10)*(1+$B$4)^14)&gt;0,1+$B$3,1))</f>
        <v/>
      </c>
      <c r="R137">
        <f>IF($B$1+15&gt;90,Q137,(Q137+IF($B$1+15&lt;=$B137,12*($B$7-$B$10),-12*($B$6+$B$10)*(1+$B$4)^15))*IF(Q137+IF($B$1+15&lt;=$B137,12*($B$7-$B$10),-12*($B$6+$B$10)*(1+$B$4)^15)&gt;0,1+$B$3,1))</f>
        <v/>
      </c>
      <c r="S137">
        <f>IF($B$1+16&gt;90,R137,(R137+IF($B$1+16&lt;=$B137,12*($B$7-$B$10),-12*($B$6+$B$10)*(1+$B$4)^16))*IF(R137+IF($B$1+16&lt;=$B137,12*($B$7-$B$10),-12*($B$6+$B$10)*(1+$B$4)^16)&gt;0,1+$B$3,1))</f>
        <v/>
      </c>
      <c r="T137">
        <f>IF($B$1+17&gt;90,S137,(S137+IF($B$1+17&lt;=$B137,12*($B$7-$B$10),-12*($B$6+$B$10)*(1+$B$4)^17))*IF(S137+IF($B$1+17&lt;=$B137,12*($B$7-$B$10),-12*($B$6+$B$10)*(1+$B$4)^17)&gt;0,1+$B$3,1))</f>
        <v/>
      </c>
      <c r="U137">
        <f>IF($B$1+18&gt;90,T137,(T137+IF($B$1+18&lt;=$B137,12*($B$7-$B$10),-12*($B$6+$B$10)*(1+$B$4)^18))*IF(T137+IF($B$1+18&lt;=$B137,12*($B$7-$B$10),-12*($B$6+$B$10)*(1+$B$4)^18)&gt;0,1+$B$3,1))</f>
        <v/>
      </c>
      <c r="V137">
        <f>IF($B$1+19&gt;90,U137,(U137+IF($B$1+19&lt;=$B137,12*($B$7-$B$10),-12*($B$6+$B$10)*(1+$B$4)^19))*IF(U137+IF($B$1+19&lt;=$B137,12*($B$7-$B$10),-12*($B$6+$B$10)*(1+$B$4)^19)&gt;0,1+$B$3,1))</f>
        <v/>
      </c>
      <c r="W137">
        <f>IF($B$1+20&gt;90,V137,(V137+IF($B$1+20&lt;=$B137,12*($B$7-$B$10),-12*($B$6+$B$10)*(1+$B$4)^20))*IF(V137+IF($B$1+20&lt;=$B137,12*($B$7-$B$10),-12*($B$6+$B$10)*(1+$B$4)^20)&gt;0,1+$B$3,1))</f>
        <v/>
      </c>
      <c r="X137">
        <f>IF($B$1+21&gt;90,W137,(W137+IF($B$1+21&lt;=$B137,12*($B$7-$B$10),-12*($B$6+$B$10)*(1+$B$4)^21))*IF(W137+IF($B$1+21&lt;=$B137,12*($B$7-$B$10),-12*($B$6+$B$10)*(1+$B$4)^21)&gt;0,1+$B$3,1))</f>
        <v/>
      </c>
      <c r="Y137">
        <f>IF($B$1+22&gt;90,X137,(X137+IF($B$1+22&lt;=$B137,12*($B$7-$B$10),-12*($B$6+$B$10)*(1+$B$4)^22))*IF(X137+IF($B$1+22&lt;=$B137,12*($B$7-$B$10),-12*($B$6+$B$10)*(1+$B$4)^22)&gt;0,1+$B$3,1))</f>
        <v/>
      </c>
      <c r="Z137">
        <f>IF($B$1+23&gt;90,Y137,(Y137+IF($B$1+23&lt;=$B137,12*($B$7-$B$10),-12*($B$6+$B$10)*(1+$B$4)^23))*IF(Y137+IF($B$1+23&lt;=$B137,12*($B$7-$B$10),-12*($B$6+$B$10)*(1+$B$4)^23)&gt;0,1+$B$3,1))</f>
        <v/>
      </c>
      <c r="AA137">
        <f>IF($B$1+24&gt;90,Z137,(Z137+IF($B$1+24&lt;=$B137,12*($B$7-$B$10),-12*($B$6+$B$10)*(1+$B$4)^24))*IF(Z137+IF($B$1+24&lt;=$B137,12*($B$7-$B$10),-12*($B$6+$B$10)*(1+$B$4)^24)&gt;0,1+$B$3,1))</f>
        <v/>
      </c>
      <c r="AB137">
        <f>IF($B$1+25&gt;90,AA137,(AA137+IF($B$1+25&lt;=$B137,12*($B$7-$B$10),-12*($B$6+$B$10)*(1+$B$4)^25))*IF(AA137+IF($B$1+25&lt;=$B137,12*($B$7-$B$10),-12*($B$6+$B$10)*(1+$B$4)^25)&gt;0,1+$B$3,1))</f>
        <v/>
      </c>
      <c r="AC137">
        <f>IF($B$1+26&gt;90,AB137,(AB137+IF($B$1+26&lt;=$B137,12*($B$7-$B$10),-12*($B$6+$B$10)*(1+$B$4)^26))*IF(AB137+IF($B$1+26&lt;=$B137,12*($B$7-$B$10),-12*($B$6+$B$10)*(1+$B$4)^26)&gt;0,1+$B$3,1))</f>
        <v/>
      </c>
      <c r="AD137">
        <f>IF($B$1+27&gt;90,AC137,(AC137+IF($B$1+27&lt;=$B137,12*($B$7-$B$10),-12*($B$6+$B$10)*(1+$B$4)^27))*IF(AC137+IF($B$1+27&lt;=$B137,12*($B$7-$B$10),-12*($B$6+$B$10)*(1+$B$4)^27)&gt;0,1+$B$3,1))</f>
        <v/>
      </c>
      <c r="AE137">
        <f>IF($B$1+28&gt;90,AD137,(AD137+IF($B$1+28&lt;=$B137,12*($B$7-$B$10),-12*($B$6+$B$10)*(1+$B$4)^28))*IF(AD137+IF($B$1+28&lt;=$B137,12*($B$7-$B$10),-12*($B$6+$B$10)*(1+$B$4)^28)&gt;0,1+$B$3,1))</f>
        <v/>
      </c>
      <c r="AF137">
        <f>IF($B$1+29&gt;90,AE137,(AE137+IF($B$1+29&lt;=$B137,12*($B$7-$B$10),-12*($B$6+$B$10)*(1+$B$4)^29))*IF(AE137+IF($B$1+29&lt;=$B137,12*($B$7-$B$10),-12*($B$6+$B$10)*(1+$B$4)^29)&gt;0,1+$B$3,1))</f>
        <v/>
      </c>
      <c r="AG137">
        <f>IF($B$1+30&gt;90,AF137,(AF137+IF($B$1+30&lt;=$B137,12*($B$7-$B$10),-12*($B$6+$B$10)*(1+$B$4)^30))*IF(AF137+IF($B$1+30&lt;=$B137,12*($B$7-$B$10),-12*($B$6+$B$10)*(1+$B$4)^30)&gt;0,1+$B$3,1))</f>
        <v/>
      </c>
      <c r="AH137">
        <f>IF($B$1+31&gt;90,AG137,(AG137+IF($B$1+31&lt;=$B137,12*($B$7-$B$10),-12*($B$6+$B$10)*(1+$B$4)^31))*IF(AG137+IF($B$1+31&lt;=$B137,12*($B$7-$B$10),-12*($B$6+$B$10)*(1+$B$4)^31)&gt;0,1+$B$3,1))</f>
        <v/>
      </c>
      <c r="AI137">
        <f>IF($B$1+32&gt;90,AH137,(AH137+IF($B$1+32&lt;=$B137,12*($B$7-$B$10),-12*($B$6+$B$10)*(1+$B$4)^32))*IF(AH137+IF($B$1+32&lt;=$B137,12*($B$7-$B$10),-12*($B$6+$B$10)*(1+$B$4)^32)&gt;0,1+$B$3,1))</f>
        <v/>
      </c>
      <c r="AJ137">
        <f>IF($B$1+33&gt;90,AI137,(AI137+IF($B$1+33&lt;=$B137,12*($B$7-$B$10),-12*($B$6+$B$10)*(1+$B$4)^33))*IF(AI137+IF($B$1+33&lt;=$B137,12*($B$7-$B$10),-12*($B$6+$B$10)*(1+$B$4)^33)&gt;0,1+$B$3,1))</f>
        <v/>
      </c>
      <c r="AK137">
        <f>IF($B$1+34&gt;90,AJ137,(AJ137+IF($B$1+34&lt;=$B137,12*($B$7-$B$10),-12*($B$6+$B$10)*(1+$B$4)^34))*IF(AJ137+IF($B$1+34&lt;=$B137,12*($B$7-$B$10),-12*($B$6+$B$10)*(1+$B$4)^34)&gt;0,1+$B$3,1))</f>
        <v/>
      </c>
      <c r="AL137">
        <f>IF($B$1+35&gt;90,AK137,(AK137+IF($B$1+35&lt;=$B137,12*($B$7-$B$10),-12*($B$6+$B$10)*(1+$B$4)^35))*IF(AK137+IF($B$1+35&lt;=$B137,12*($B$7-$B$10),-12*($B$6+$B$10)*(1+$B$4)^35)&gt;0,1+$B$3,1))</f>
        <v/>
      </c>
      <c r="AM137">
        <f>IF($B$1+36&gt;90,AL137,(AL137+IF($B$1+36&lt;=$B137,12*($B$7-$B$10),-12*($B$6+$B$10)*(1+$B$4)^36))*IF(AL137+IF($B$1+36&lt;=$B137,12*($B$7-$B$10),-12*($B$6+$B$10)*(1+$B$4)^36)&gt;0,1+$B$3,1))</f>
        <v/>
      </c>
      <c r="AN137">
        <f>IF($B$1+37&gt;90,AM137,(AM137+IF($B$1+37&lt;=$B137,12*($B$7-$B$10),-12*($B$6+$B$10)*(1+$B$4)^37))*IF(AM137+IF($B$1+37&lt;=$B137,12*($B$7-$B$10),-12*($B$6+$B$10)*(1+$B$4)^37)&gt;0,1+$B$3,1))</f>
        <v/>
      </c>
      <c r="AO137">
        <f>IF($B$1+38&gt;90,AN137,(AN137+IF($B$1+38&lt;=$B137,12*($B$7-$B$10),-12*($B$6+$B$10)*(1+$B$4)^38))*IF(AN137+IF($B$1+38&lt;=$B137,12*($B$7-$B$10),-12*($B$6+$B$10)*(1+$B$4)^38)&gt;0,1+$B$3,1))</f>
        <v/>
      </c>
      <c r="AP137">
        <f>IF($B$1+39&gt;90,AO137,(AO137+IF($B$1+39&lt;=$B137,12*($B$7-$B$10),-12*($B$6+$B$10)*(1+$B$4)^39))*IF(AO137+IF($B$1+39&lt;=$B137,12*($B$7-$B$10),-12*($B$6+$B$10)*(1+$B$4)^39)&gt;0,1+$B$3,1))</f>
        <v/>
      </c>
      <c r="AQ137">
        <f>IF($B$1+40&gt;90,AP137,(AP137+IF($B$1+40&lt;=$B137,12*($B$7-$B$10),-12*($B$6+$B$10)*(1+$B$4)^40))*IF(AP137+IF($B$1+40&lt;=$B137,12*($B$7-$B$10),-12*($B$6+$B$10)*(1+$B$4)^40)&gt;0,1+$B$3,1))</f>
        <v/>
      </c>
      <c r="AR137">
        <f>IF($B$1+41&gt;90,AQ137,(AQ137+IF($B$1+41&lt;=$B137,12*($B$7-$B$10),-12*($B$6+$B$10)*(1+$B$4)^41))*IF(AQ137+IF($B$1+41&lt;=$B137,12*($B$7-$B$10),-12*($B$6+$B$10)*(1+$B$4)^41)&gt;0,1+$B$3,1))</f>
        <v/>
      </c>
      <c r="AS137">
        <f>IF($B$1+42&gt;90,AR137,(AR137+IF($B$1+42&lt;=$B137,12*($B$7-$B$10),-12*($B$6+$B$10)*(1+$B$4)^42))*IF(AR137+IF($B$1+42&lt;=$B137,12*($B$7-$B$10),-12*($B$6+$B$10)*(1+$B$4)^42)&gt;0,1+$B$3,1))</f>
        <v/>
      </c>
      <c r="AT137">
        <f>IF($B$1+43&gt;90,AS137,(AS137+IF($B$1+43&lt;=$B137,12*($B$7-$B$10),-12*($B$6+$B$10)*(1+$B$4)^43))*IF(AS137+IF($B$1+43&lt;=$B137,12*($B$7-$B$10),-12*($B$6+$B$10)*(1+$B$4)^43)&gt;0,1+$B$3,1))</f>
        <v/>
      </c>
      <c r="AU137">
        <f>IF($B$1+44&gt;90,AT137,(AT137+IF($B$1+44&lt;=$B137,12*($B$7-$B$10),-12*($B$6+$B$10)*(1+$B$4)^44))*IF(AT137+IF($B$1+44&lt;=$B137,12*($B$7-$B$10),-12*($B$6+$B$10)*(1+$B$4)^44)&gt;0,1+$B$3,1))</f>
        <v/>
      </c>
      <c r="AV137">
        <f>IF($B$1+45&gt;90,AU137,(AU137+IF($B$1+45&lt;=$B137,12*($B$7-$B$10),-12*($B$6+$B$10)*(1+$B$4)^45))*IF(AU137+IF($B$1+45&lt;=$B137,12*($B$7-$B$10),-12*($B$6+$B$10)*(1+$B$4)^45)&gt;0,1+$B$3,1))</f>
        <v/>
      </c>
      <c r="AW137">
        <f>IF($B$1+46&gt;90,AV137,(AV137+IF($B$1+46&lt;=$B137,12*($B$7-$B$10),-12*($B$6+$B$10)*(1+$B$4)^46))*IF(AV137+IF($B$1+46&lt;=$B137,12*($B$7-$B$10),-12*($B$6+$B$10)*(1+$B$4)^46)&gt;0,1+$B$3,1))</f>
        <v/>
      </c>
      <c r="AX137">
        <f>IF($B$1+47&gt;90,AW137,(AW137+IF($B$1+47&lt;=$B137,12*($B$7-$B$10),-12*($B$6+$B$10)*(1+$B$4)^47))*IF(AW137+IF($B$1+47&lt;=$B137,12*($B$7-$B$10),-12*($B$6+$B$10)*(1+$B$4)^47)&gt;0,1+$B$3,1))</f>
        <v/>
      </c>
      <c r="AY137">
        <f>IF($B$1+48&gt;90,AX137,(AX137+IF($B$1+48&lt;=$B137,12*($B$7-$B$10),-12*($B$6+$B$10)*(1+$B$4)^48))*IF(AX137+IF($B$1+48&lt;=$B137,12*($B$7-$B$10),-12*($B$6+$B$10)*(1+$B$4)^48)&gt;0,1+$B$3,1))</f>
        <v/>
      </c>
      <c r="AZ137">
        <f>IF($B$1+49&gt;90,AY137,(AY137+IF($B$1+49&lt;=$B137,12*($B$7-$B$10),-12*($B$6+$B$10)*(1+$B$4)^49))*IF(AY137+IF($B$1+49&lt;=$B137,12*($B$7-$B$10),-12*($B$6+$B$10)*(1+$B$4)^49)&gt;0,1+$B$3,1))</f>
        <v/>
      </c>
      <c r="BA137">
        <f>IF($B$1+50&gt;90,AZ137,(AZ137+IF($B$1+50&lt;=$B137,12*($B$7-$B$10),-12*($B$6+$B$10)*(1+$B$4)^50))*IF(AZ137+IF($B$1+50&lt;=$B137,12*($B$7-$B$10),-12*($B$6+$B$10)*(1+$B$4)^50)&gt;0,1+$B$3,1))</f>
        <v/>
      </c>
      <c r="BB137">
        <f>IF($B$1+51&gt;90,BA137,(BA137+IF($B$1+51&lt;=$B137,12*($B$7-$B$10),-12*($B$6+$B$10)*(1+$B$4)^51))*IF(BA137+IF($B$1+51&lt;=$B137,12*($B$7-$B$10),-12*($B$6+$B$10)*(1+$B$4)^51)&gt;0,1+$B$3,1))</f>
        <v/>
      </c>
      <c r="BC137">
        <f>IF($B$1+52&gt;90,BB137,(BB137+IF($B$1+52&lt;=$B137,12*($B$7-$B$10),-12*($B$6+$B$10)*(1+$B$4)^52))*IF(BB137+IF($B$1+52&lt;=$B137,12*($B$7-$B$10),-12*($B$6+$B$10)*(1+$B$4)^52)&gt;0,1+$B$3,1))</f>
        <v/>
      </c>
      <c r="BD137">
        <f>IF($B$1+53&gt;90,BC137,(BC137+IF($B$1+53&lt;=$B137,12*($B$7-$B$10),-12*($B$6+$B$10)*(1+$B$4)^53))*IF(BC137+IF($B$1+53&lt;=$B137,12*($B$7-$B$10),-12*($B$6+$B$10)*(1+$B$4)^53)&gt;0,1+$B$3,1))</f>
        <v/>
      </c>
      <c r="BE137">
        <f>IF($B$1+54&gt;90,BD137,(BD137+IF($B$1+54&lt;=$B137,12*($B$7-$B$10),-12*($B$6+$B$10)*(1+$B$4)^54))*IF(BD137+IF($B$1+54&lt;=$B137,12*($B$7-$B$10),-12*($B$6+$B$10)*(1+$B$4)^54)&gt;0,1+$B$3,1))</f>
        <v/>
      </c>
      <c r="BF137">
        <f>IF($B$1+55&gt;90,BE137,(BE137+IF($B$1+55&lt;=$B137,12*($B$7-$B$10),-12*($B$6+$B$10)*(1+$B$4)^55))*IF(BE137+IF($B$1+55&lt;=$B137,12*($B$7-$B$10),-12*($B$6+$B$10)*(1+$B$4)^55)&gt;0,1+$B$3,1))</f>
        <v/>
      </c>
      <c r="BG137">
        <f>IF($B$1+56&gt;90,BF137,(BF137+IF($B$1+56&lt;=$B137,12*($B$7-$B$10),-12*($B$6+$B$10)*(1+$B$4)^56))*IF(BF137+IF($B$1+56&lt;=$B137,12*($B$7-$B$10),-12*($B$6+$B$10)*(1+$B$4)^56)&gt;0,1+$B$3,1))</f>
        <v/>
      </c>
      <c r="BH137">
        <f>IF($B$1+57&gt;90,BG137,(BG137+IF($B$1+57&lt;=$B137,12*($B$7-$B$10),-12*($B$6+$B$10)*(1+$B$4)^57))*IF(BG137+IF($B$1+57&lt;=$B137,12*($B$7-$B$10),-12*($B$6+$B$10)*(1+$B$4)^57)&gt;0,1+$B$3,1))</f>
        <v/>
      </c>
      <c r="BI137">
        <f>IF($B$1+58&gt;90,BH137,(BH137+IF($B$1+58&lt;=$B137,12*($B$7-$B$10),-12*($B$6+$B$10)*(1+$B$4)^58))*IF(BH137+IF($B$1+58&lt;=$B137,12*($B$7-$B$10),-12*($B$6+$B$10)*(1+$B$4)^58)&gt;0,1+$B$3,1))</f>
        <v/>
      </c>
      <c r="BJ137">
        <f>IF($B$1+59&gt;90,BI137,(BI137+IF($B$1+59&lt;=$B137,12*($B$7-$B$10),-12*($B$6+$B$10)*(1+$B$4)^59))*IF(BI137+IF($B$1+59&lt;=$B137,12*($B$7-$B$10),-12*($B$6+$B$10)*(1+$B$4)^59)&gt;0,1+$B$3,1))</f>
        <v/>
      </c>
      <c r="BK137">
        <f>IF($B$1+60&gt;90,BJ137,(BJ137+IF($B$1+60&lt;=$B137,12*($B$7-$B$10),-12*($B$6+$B$10)*(1+$B$4)^60))*IF(BJ137+IF($B$1+60&lt;=$B137,12*($B$7-$B$10),-12*($B$6+$B$10)*(1+$B$4)^60)&gt;0,1+$B$3,1))</f>
        <v/>
      </c>
      <c r="BL137">
        <f>IF($B$1+61&gt;90,BK137,(BK137+IF($B$1+61&lt;=$B137,12*($B$7-$B$10),-12*($B$6+$B$10)*(1+$B$4)^61))*IF(BK137+IF($B$1+61&lt;=$B137,12*($B$7-$B$10),-12*($B$6+$B$10)*(1+$B$4)^61)&gt;0,1+$B$3,1))</f>
        <v/>
      </c>
      <c r="BM137">
        <f>IF($B$1+62&gt;90,BL137,(BL137+IF($B$1+62&lt;=$B137,12*($B$7-$B$10),-12*($B$6+$B$10)*(1+$B$4)^62))*IF(BL137+IF($B$1+62&lt;=$B137,12*($B$7-$B$10),-12*($B$6+$B$10)*(1+$B$4)^62)&gt;0,1+$B$3,1))</f>
        <v/>
      </c>
      <c r="BN137">
        <f>IF($B$1+63&gt;90,BM137,(BM137+IF($B$1+63&lt;=$B137,12*($B$7-$B$10),-12*($B$6+$B$10)*(1+$B$4)^63))*IF(BM137+IF($B$1+63&lt;=$B137,12*($B$7-$B$10),-12*($B$6+$B$10)*(1+$B$4)^63)&gt;0,1+$B$3,1))</f>
        <v/>
      </c>
      <c r="BO137">
        <f>IF($B$1+64&gt;90,BN137,(BN137+IF($B$1+64&lt;=$B137,12*($B$7-$B$10),-12*($B$6+$B$10)*(1+$B$4)^64))*IF(BN137+IF($B$1+64&lt;=$B137,12*($B$7-$B$10),-12*($B$6+$B$10)*(1+$B$4)^64)&gt;0,1+$B$3,1))</f>
        <v/>
      </c>
      <c r="BP137">
        <f>IF($B$1+65&gt;90,BO137,(BO137+IF($B$1+65&lt;=$B137,12*($B$7-$B$10),-12*($B$6+$B$10)*(1+$B$4)^65))*IF(BO137+IF($B$1+65&lt;=$B137,12*($B$7-$B$10),-12*($B$6+$B$10)*(1+$B$4)^65)&gt;0,1+$B$3,1))</f>
        <v/>
      </c>
      <c r="BQ137">
        <f>IF($B$1+66&gt;90,BP137,(BP137+IF($B$1+66&lt;=$B137,12*($B$7-$B$10),-12*($B$6+$B$10)*(1+$B$4)^66))*IF(BP137+IF($B$1+66&lt;=$B137,12*($B$7-$B$10),-12*($B$6+$B$10)*(1+$B$4)^66)&gt;0,1+$B$3,1))</f>
        <v/>
      </c>
      <c r="BR137">
        <f>IF($B$1+67&gt;90,BQ137,(BQ137+IF($B$1+67&lt;=$B137,12*($B$7-$B$10),-12*($B$6+$B$10)*(1+$B$4)^67))*IF(BQ137+IF($B$1+67&lt;=$B137,12*($B$7-$B$10),-12*($B$6+$B$10)*(1+$B$4)^67)&gt;0,1+$B$3,1))</f>
        <v/>
      </c>
      <c r="BS137">
        <f>IF($B$1+68&gt;90,BR137,(BR137+IF($B$1+68&lt;=$B137,12*($B$7-$B$10),-12*($B$6+$B$10)*(1+$B$4)^68))*IF(BR137+IF($B$1+68&lt;=$B137,12*($B$7-$B$10),-12*($B$6+$B$10)*(1+$B$4)^68)&gt;0,1+$B$3,1))</f>
        <v/>
      </c>
      <c r="BT137">
        <f>IF($B$1+69&gt;90,BS137,(BS137+IF($B$1+69&lt;=$B137,12*($B$7-$B$10),-12*($B$6+$B$10)*(1+$B$4)^69))*IF(BS137+IF($B$1+69&lt;=$B137,12*($B$7-$B$10),-12*($B$6+$B$10)*(1+$B$4)^69)&gt;0,1+$B$3,1))</f>
        <v/>
      </c>
      <c r="BU137">
        <f>IF($B$1+70&gt;90,BT137,(BT137+IF($B$1+70&lt;=$B137,12*($B$7-$B$10),-12*($B$6+$B$10)*(1+$B$4)^70))*IF(BT137+IF($B$1+70&lt;=$B137,12*($B$7-$B$10),-12*($B$6+$B$10)*(1+$B$4)^70)&gt;0,1+$B$3,1))</f>
        <v/>
      </c>
      <c r="BV137">
        <f>BU137</f>
        <v/>
      </c>
      <c r="BW137">
        <f>IF(AND($B137&lt;=70,BV137&gt;0),$B137,999)</f>
        <v/>
      </c>
    </row>
    <row r="138">
      <c r="A138" t="n">
        <v>42</v>
      </c>
      <c r="B138">
        <f>$B$1+42</f>
        <v/>
      </c>
      <c r="C138">
        <f>$B$2</f>
        <v/>
      </c>
      <c r="D138">
        <f>IF($B$1+1&gt;90,C138,(C138+IF($B$1+1&lt;=$B138,12*($B$7-$B$10),-12*($B$6+$B$10)*(1+$B$4)^1))*IF(C138+IF($B$1+1&lt;=$B138,12*($B$7-$B$10),-12*($B$6+$B$10)*(1+$B$4)^1)&gt;0,1+$B$3,1))</f>
        <v/>
      </c>
      <c r="E138">
        <f>IF($B$1+2&gt;90,D138,(D138+IF($B$1+2&lt;=$B138,12*($B$7-$B$10),-12*($B$6+$B$10)*(1+$B$4)^2))*IF(D138+IF($B$1+2&lt;=$B138,12*($B$7-$B$10),-12*($B$6+$B$10)*(1+$B$4)^2)&gt;0,1+$B$3,1))</f>
        <v/>
      </c>
      <c r="F138">
        <f>IF($B$1+3&gt;90,E138,(E138+IF($B$1+3&lt;=$B138,12*($B$7-$B$10),-12*($B$6+$B$10)*(1+$B$4)^3))*IF(E138+IF($B$1+3&lt;=$B138,12*($B$7-$B$10),-12*($B$6+$B$10)*(1+$B$4)^3)&gt;0,1+$B$3,1))</f>
        <v/>
      </c>
      <c r="G138">
        <f>IF($B$1+4&gt;90,F138,(F138+IF($B$1+4&lt;=$B138,12*($B$7-$B$10),-12*($B$6+$B$10)*(1+$B$4)^4))*IF(F138+IF($B$1+4&lt;=$B138,12*($B$7-$B$10),-12*($B$6+$B$10)*(1+$B$4)^4)&gt;0,1+$B$3,1))</f>
        <v/>
      </c>
      <c r="H138">
        <f>IF($B$1+5&gt;90,G138,(G138+IF($B$1+5&lt;=$B138,12*($B$7-$B$10),-12*($B$6+$B$10)*(1+$B$4)^5))*IF(G138+IF($B$1+5&lt;=$B138,12*($B$7-$B$10),-12*($B$6+$B$10)*(1+$B$4)^5)&gt;0,1+$B$3,1))</f>
        <v/>
      </c>
      <c r="I138">
        <f>IF($B$1+6&gt;90,H138,(H138+IF($B$1+6&lt;=$B138,12*($B$7-$B$10),-12*($B$6+$B$10)*(1+$B$4)^6))*IF(H138+IF($B$1+6&lt;=$B138,12*($B$7-$B$10),-12*($B$6+$B$10)*(1+$B$4)^6)&gt;0,1+$B$3,1))</f>
        <v/>
      </c>
      <c r="J138">
        <f>IF($B$1+7&gt;90,I138,(I138+IF($B$1+7&lt;=$B138,12*($B$7-$B$10),-12*($B$6+$B$10)*(1+$B$4)^7))*IF(I138+IF($B$1+7&lt;=$B138,12*($B$7-$B$10),-12*($B$6+$B$10)*(1+$B$4)^7)&gt;0,1+$B$3,1))</f>
        <v/>
      </c>
      <c r="K138">
        <f>IF($B$1+8&gt;90,J138,(J138+IF($B$1+8&lt;=$B138,12*($B$7-$B$10),-12*($B$6+$B$10)*(1+$B$4)^8))*IF(J138+IF($B$1+8&lt;=$B138,12*($B$7-$B$10),-12*($B$6+$B$10)*(1+$B$4)^8)&gt;0,1+$B$3,1))</f>
        <v/>
      </c>
      <c r="L138">
        <f>IF($B$1+9&gt;90,K138,(K138+IF($B$1+9&lt;=$B138,12*($B$7-$B$10),-12*($B$6+$B$10)*(1+$B$4)^9))*IF(K138+IF($B$1+9&lt;=$B138,12*($B$7-$B$10),-12*($B$6+$B$10)*(1+$B$4)^9)&gt;0,1+$B$3,1))</f>
        <v/>
      </c>
      <c r="M138">
        <f>IF($B$1+10&gt;90,L138,(L138+IF($B$1+10&lt;=$B138,12*($B$7-$B$10),-12*($B$6+$B$10)*(1+$B$4)^10))*IF(L138+IF($B$1+10&lt;=$B138,12*($B$7-$B$10),-12*($B$6+$B$10)*(1+$B$4)^10)&gt;0,1+$B$3,1))</f>
        <v/>
      </c>
      <c r="N138">
        <f>IF($B$1+11&gt;90,M138,(M138+IF($B$1+11&lt;=$B138,12*($B$7-$B$10),-12*($B$6+$B$10)*(1+$B$4)^11))*IF(M138+IF($B$1+11&lt;=$B138,12*($B$7-$B$10),-12*($B$6+$B$10)*(1+$B$4)^11)&gt;0,1+$B$3,1))</f>
        <v/>
      </c>
      <c r="O138">
        <f>IF($B$1+12&gt;90,N138,(N138+IF($B$1+12&lt;=$B138,12*($B$7-$B$10),-12*($B$6+$B$10)*(1+$B$4)^12))*IF(N138+IF($B$1+12&lt;=$B138,12*($B$7-$B$10),-12*($B$6+$B$10)*(1+$B$4)^12)&gt;0,1+$B$3,1))</f>
        <v/>
      </c>
      <c r="P138">
        <f>IF($B$1+13&gt;90,O138,(O138+IF($B$1+13&lt;=$B138,12*($B$7-$B$10),-12*($B$6+$B$10)*(1+$B$4)^13))*IF(O138+IF($B$1+13&lt;=$B138,12*($B$7-$B$10),-12*($B$6+$B$10)*(1+$B$4)^13)&gt;0,1+$B$3,1))</f>
        <v/>
      </c>
      <c r="Q138">
        <f>IF($B$1+14&gt;90,P138,(P138+IF($B$1+14&lt;=$B138,12*($B$7-$B$10),-12*($B$6+$B$10)*(1+$B$4)^14))*IF(P138+IF($B$1+14&lt;=$B138,12*($B$7-$B$10),-12*($B$6+$B$10)*(1+$B$4)^14)&gt;0,1+$B$3,1))</f>
        <v/>
      </c>
      <c r="R138">
        <f>IF($B$1+15&gt;90,Q138,(Q138+IF($B$1+15&lt;=$B138,12*($B$7-$B$10),-12*($B$6+$B$10)*(1+$B$4)^15))*IF(Q138+IF($B$1+15&lt;=$B138,12*($B$7-$B$10),-12*($B$6+$B$10)*(1+$B$4)^15)&gt;0,1+$B$3,1))</f>
        <v/>
      </c>
      <c r="S138">
        <f>IF($B$1+16&gt;90,R138,(R138+IF($B$1+16&lt;=$B138,12*($B$7-$B$10),-12*($B$6+$B$10)*(1+$B$4)^16))*IF(R138+IF($B$1+16&lt;=$B138,12*($B$7-$B$10),-12*($B$6+$B$10)*(1+$B$4)^16)&gt;0,1+$B$3,1))</f>
        <v/>
      </c>
      <c r="T138">
        <f>IF($B$1+17&gt;90,S138,(S138+IF($B$1+17&lt;=$B138,12*($B$7-$B$10),-12*($B$6+$B$10)*(1+$B$4)^17))*IF(S138+IF($B$1+17&lt;=$B138,12*($B$7-$B$10),-12*($B$6+$B$10)*(1+$B$4)^17)&gt;0,1+$B$3,1))</f>
        <v/>
      </c>
      <c r="U138">
        <f>IF($B$1+18&gt;90,T138,(T138+IF($B$1+18&lt;=$B138,12*($B$7-$B$10),-12*($B$6+$B$10)*(1+$B$4)^18))*IF(T138+IF($B$1+18&lt;=$B138,12*($B$7-$B$10),-12*($B$6+$B$10)*(1+$B$4)^18)&gt;0,1+$B$3,1))</f>
        <v/>
      </c>
      <c r="V138">
        <f>IF($B$1+19&gt;90,U138,(U138+IF($B$1+19&lt;=$B138,12*($B$7-$B$10),-12*($B$6+$B$10)*(1+$B$4)^19))*IF(U138+IF($B$1+19&lt;=$B138,12*($B$7-$B$10),-12*($B$6+$B$10)*(1+$B$4)^19)&gt;0,1+$B$3,1))</f>
        <v/>
      </c>
      <c r="W138">
        <f>IF($B$1+20&gt;90,V138,(V138+IF($B$1+20&lt;=$B138,12*($B$7-$B$10),-12*($B$6+$B$10)*(1+$B$4)^20))*IF(V138+IF($B$1+20&lt;=$B138,12*($B$7-$B$10),-12*($B$6+$B$10)*(1+$B$4)^20)&gt;0,1+$B$3,1))</f>
        <v/>
      </c>
      <c r="X138">
        <f>IF($B$1+21&gt;90,W138,(W138+IF($B$1+21&lt;=$B138,12*($B$7-$B$10),-12*($B$6+$B$10)*(1+$B$4)^21))*IF(W138+IF($B$1+21&lt;=$B138,12*($B$7-$B$10),-12*($B$6+$B$10)*(1+$B$4)^21)&gt;0,1+$B$3,1))</f>
        <v/>
      </c>
      <c r="Y138">
        <f>IF($B$1+22&gt;90,X138,(X138+IF($B$1+22&lt;=$B138,12*($B$7-$B$10),-12*($B$6+$B$10)*(1+$B$4)^22))*IF(X138+IF($B$1+22&lt;=$B138,12*($B$7-$B$10),-12*($B$6+$B$10)*(1+$B$4)^22)&gt;0,1+$B$3,1))</f>
        <v/>
      </c>
      <c r="Z138">
        <f>IF($B$1+23&gt;90,Y138,(Y138+IF($B$1+23&lt;=$B138,12*($B$7-$B$10),-12*($B$6+$B$10)*(1+$B$4)^23))*IF(Y138+IF($B$1+23&lt;=$B138,12*($B$7-$B$10),-12*($B$6+$B$10)*(1+$B$4)^23)&gt;0,1+$B$3,1))</f>
        <v/>
      </c>
      <c r="AA138">
        <f>IF($B$1+24&gt;90,Z138,(Z138+IF($B$1+24&lt;=$B138,12*($B$7-$B$10),-12*($B$6+$B$10)*(1+$B$4)^24))*IF(Z138+IF($B$1+24&lt;=$B138,12*($B$7-$B$10),-12*($B$6+$B$10)*(1+$B$4)^24)&gt;0,1+$B$3,1))</f>
        <v/>
      </c>
      <c r="AB138">
        <f>IF($B$1+25&gt;90,AA138,(AA138+IF($B$1+25&lt;=$B138,12*($B$7-$B$10),-12*($B$6+$B$10)*(1+$B$4)^25))*IF(AA138+IF($B$1+25&lt;=$B138,12*($B$7-$B$10),-12*($B$6+$B$10)*(1+$B$4)^25)&gt;0,1+$B$3,1))</f>
        <v/>
      </c>
      <c r="AC138">
        <f>IF($B$1+26&gt;90,AB138,(AB138+IF($B$1+26&lt;=$B138,12*($B$7-$B$10),-12*($B$6+$B$10)*(1+$B$4)^26))*IF(AB138+IF($B$1+26&lt;=$B138,12*($B$7-$B$10),-12*($B$6+$B$10)*(1+$B$4)^26)&gt;0,1+$B$3,1))</f>
        <v/>
      </c>
      <c r="AD138">
        <f>IF($B$1+27&gt;90,AC138,(AC138+IF($B$1+27&lt;=$B138,12*($B$7-$B$10),-12*($B$6+$B$10)*(1+$B$4)^27))*IF(AC138+IF($B$1+27&lt;=$B138,12*($B$7-$B$10),-12*($B$6+$B$10)*(1+$B$4)^27)&gt;0,1+$B$3,1))</f>
        <v/>
      </c>
      <c r="AE138">
        <f>IF($B$1+28&gt;90,AD138,(AD138+IF($B$1+28&lt;=$B138,12*($B$7-$B$10),-12*($B$6+$B$10)*(1+$B$4)^28))*IF(AD138+IF($B$1+28&lt;=$B138,12*($B$7-$B$10),-12*($B$6+$B$10)*(1+$B$4)^28)&gt;0,1+$B$3,1))</f>
        <v/>
      </c>
      <c r="AF138">
        <f>IF($B$1+29&gt;90,AE138,(AE138+IF($B$1+29&lt;=$B138,12*($B$7-$B$10),-12*($B$6+$B$10)*(1+$B$4)^29))*IF(AE138+IF($B$1+29&lt;=$B138,12*($B$7-$B$10),-12*($B$6+$B$10)*(1+$B$4)^29)&gt;0,1+$B$3,1))</f>
        <v/>
      </c>
      <c r="AG138">
        <f>IF($B$1+30&gt;90,AF138,(AF138+IF($B$1+30&lt;=$B138,12*($B$7-$B$10),-12*($B$6+$B$10)*(1+$B$4)^30))*IF(AF138+IF($B$1+30&lt;=$B138,12*($B$7-$B$10),-12*($B$6+$B$10)*(1+$B$4)^30)&gt;0,1+$B$3,1))</f>
        <v/>
      </c>
      <c r="AH138">
        <f>IF($B$1+31&gt;90,AG138,(AG138+IF($B$1+31&lt;=$B138,12*($B$7-$B$10),-12*($B$6+$B$10)*(1+$B$4)^31))*IF(AG138+IF($B$1+31&lt;=$B138,12*($B$7-$B$10),-12*($B$6+$B$10)*(1+$B$4)^31)&gt;0,1+$B$3,1))</f>
        <v/>
      </c>
      <c r="AI138">
        <f>IF($B$1+32&gt;90,AH138,(AH138+IF($B$1+32&lt;=$B138,12*($B$7-$B$10),-12*($B$6+$B$10)*(1+$B$4)^32))*IF(AH138+IF($B$1+32&lt;=$B138,12*($B$7-$B$10),-12*($B$6+$B$10)*(1+$B$4)^32)&gt;0,1+$B$3,1))</f>
        <v/>
      </c>
      <c r="AJ138">
        <f>IF($B$1+33&gt;90,AI138,(AI138+IF($B$1+33&lt;=$B138,12*($B$7-$B$10),-12*($B$6+$B$10)*(1+$B$4)^33))*IF(AI138+IF($B$1+33&lt;=$B138,12*($B$7-$B$10),-12*($B$6+$B$10)*(1+$B$4)^33)&gt;0,1+$B$3,1))</f>
        <v/>
      </c>
      <c r="AK138">
        <f>IF($B$1+34&gt;90,AJ138,(AJ138+IF($B$1+34&lt;=$B138,12*($B$7-$B$10),-12*($B$6+$B$10)*(1+$B$4)^34))*IF(AJ138+IF($B$1+34&lt;=$B138,12*($B$7-$B$10),-12*($B$6+$B$10)*(1+$B$4)^34)&gt;0,1+$B$3,1))</f>
        <v/>
      </c>
      <c r="AL138">
        <f>IF($B$1+35&gt;90,AK138,(AK138+IF($B$1+35&lt;=$B138,12*($B$7-$B$10),-12*($B$6+$B$10)*(1+$B$4)^35))*IF(AK138+IF($B$1+35&lt;=$B138,12*($B$7-$B$10),-12*($B$6+$B$10)*(1+$B$4)^35)&gt;0,1+$B$3,1))</f>
        <v/>
      </c>
      <c r="AM138">
        <f>IF($B$1+36&gt;90,AL138,(AL138+IF($B$1+36&lt;=$B138,12*($B$7-$B$10),-12*($B$6+$B$10)*(1+$B$4)^36))*IF(AL138+IF($B$1+36&lt;=$B138,12*($B$7-$B$10),-12*($B$6+$B$10)*(1+$B$4)^36)&gt;0,1+$B$3,1))</f>
        <v/>
      </c>
      <c r="AN138">
        <f>IF($B$1+37&gt;90,AM138,(AM138+IF($B$1+37&lt;=$B138,12*($B$7-$B$10),-12*($B$6+$B$10)*(1+$B$4)^37))*IF(AM138+IF($B$1+37&lt;=$B138,12*($B$7-$B$10),-12*($B$6+$B$10)*(1+$B$4)^37)&gt;0,1+$B$3,1))</f>
        <v/>
      </c>
      <c r="AO138">
        <f>IF($B$1+38&gt;90,AN138,(AN138+IF($B$1+38&lt;=$B138,12*($B$7-$B$10),-12*($B$6+$B$10)*(1+$B$4)^38))*IF(AN138+IF($B$1+38&lt;=$B138,12*($B$7-$B$10),-12*($B$6+$B$10)*(1+$B$4)^38)&gt;0,1+$B$3,1))</f>
        <v/>
      </c>
      <c r="AP138">
        <f>IF($B$1+39&gt;90,AO138,(AO138+IF($B$1+39&lt;=$B138,12*($B$7-$B$10),-12*($B$6+$B$10)*(1+$B$4)^39))*IF(AO138+IF($B$1+39&lt;=$B138,12*($B$7-$B$10),-12*($B$6+$B$10)*(1+$B$4)^39)&gt;0,1+$B$3,1))</f>
        <v/>
      </c>
      <c r="AQ138">
        <f>IF($B$1+40&gt;90,AP138,(AP138+IF($B$1+40&lt;=$B138,12*($B$7-$B$10),-12*($B$6+$B$10)*(1+$B$4)^40))*IF(AP138+IF($B$1+40&lt;=$B138,12*($B$7-$B$10),-12*($B$6+$B$10)*(1+$B$4)^40)&gt;0,1+$B$3,1))</f>
        <v/>
      </c>
      <c r="AR138">
        <f>IF($B$1+41&gt;90,AQ138,(AQ138+IF($B$1+41&lt;=$B138,12*($B$7-$B$10),-12*($B$6+$B$10)*(1+$B$4)^41))*IF(AQ138+IF($B$1+41&lt;=$B138,12*($B$7-$B$10),-12*($B$6+$B$10)*(1+$B$4)^41)&gt;0,1+$B$3,1))</f>
        <v/>
      </c>
      <c r="AS138">
        <f>IF($B$1+42&gt;90,AR138,(AR138+IF($B$1+42&lt;=$B138,12*($B$7-$B$10),-12*($B$6+$B$10)*(1+$B$4)^42))*IF(AR138+IF($B$1+42&lt;=$B138,12*($B$7-$B$10),-12*($B$6+$B$10)*(1+$B$4)^42)&gt;0,1+$B$3,1))</f>
        <v/>
      </c>
      <c r="AT138">
        <f>IF($B$1+43&gt;90,AS138,(AS138+IF($B$1+43&lt;=$B138,12*($B$7-$B$10),-12*($B$6+$B$10)*(1+$B$4)^43))*IF(AS138+IF($B$1+43&lt;=$B138,12*($B$7-$B$10),-12*($B$6+$B$10)*(1+$B$4)^43)&gt;0,1+$B$3,1))</f>
        <v/>
      </c>
      <c r="AU138">
        <f>IF($B$1+44&gt;90,AT138,(AT138+IF($B$1+44&lt;=$B138,12*($B$7-$B$10),-12*($B$6+$B$10)*(1+$B$4)^44))*IF(AT138+IF($B$1+44&lt;=$B138,12*($B$7-$B$10),-12*($B$6+$B$10)*(1+$B$4)^44)&gt;0,1+$B$3,1))</f>
        <v/>
      </c>
      <c r="AV138">
        <f>IF($B$1+45&gt;90,AU138,(AU138+IF($B$1+45&lt;=$B138,12*($B$7-$B$10),-12*($B$6+$B$10)*(1+$B$4)^45))*IF(AU138+IF($B$1+45&lt;=$B138,12*($B$7-$B$10),-12*($B$6+$B$10)*(1+$B$4)^45)&gt;0,1+$B$3,1))</f>
        <v/>
      </c>
      <c r="AW138">
        <f>IF($B$1+46&gt;90,AV138,(AV138+IF($B$1+46&lt;=$B138,12*($B$7-$B$10),-12*($B$6+$B$10)*(1+$B$4)^46))*IF(AV138+IF($B$1+46&lt;=$B138,12*($B$7-$B$10),-12*($B$6+$B$10)*(1+$B$4)^46)&gt;0,1+$B$3,1))</f>
        <v/>
      </c>
      <c r="AX138">
        <f>IF($B$1+47&gt;90,AW138,(AW138+IF($B$1+47&lt;=$B138,12*($B$7-$B$10),-12*($B$6+$B$10)*(1+$B$4)^47))*IF(AW138+IF($B$1+47&lt;=$B138,12*($B$7-$B$10),-12*($B$6+$B$10)*(1+$B$4)^47)&gt;0,1+$B$3,1))</f>
        <v/>
      </c>
      <c r="AY138">
        <f>IF($B$1+48&gt;90,AX138,(AX138+IF($B$1+48&lt;=$B138,12*($B$7-$B$10),-12*($B$6+$B$10)*(1+$B$4)^48))*IF(AX138+IF($B$1+48&lt;=$B138,12*($B$7-$B$10),-12*($B$6+$B$10)*(1+$B$4)^48)&gt;0,1+$B$3,1))</f>
        <v/>
      </c>
      <c r="AZ138">
        <f>IF($B$1+49&gt;90,AY138,(AY138+IF($B$1+49&lt;=$B138,12*($B$7-$B$10),-12*($B$6+$B$10)*(1+$B$4)^49))*IF(AY138+IF($B$1+49&lt;=$B138,12*($B$7-$B$10),-12*($B$6+$B$10)*(1+$B$4)^49)&gt;0,1+$B$3,1))</f>
        <v/>
      </c>
      <c r="BA138">
        <f>IF($B$1+50&gt;90,AZ138,(AZ138+IF($B$1+50&lt;=$B138,12*($B$7-$B$10),-12*($B$6+$B$10)*(1+$B$4)^50))*IF(AZ138+IF($B$1+50&lt;=$B138,12*($B$7-$B$10),-12*($B$6+$B$10)*(1+$B$4)^50)&gt;0,1+$B$3,1))</f>
        <v/>
      </c>
      <c r="BB138">
        <f>IF($B$1+51&gt;90,BA138,(BA138+IF($B$1+51&lt;=$B138,12*($B$7-$B$10),-12*($B$6+$B$10)*(1+$B$4)^51))*IF(BA138+IF($B$1+51&lt;=$B138,12*($B$7-$B$10),-12*($B$6+$B$10)*(1+$B$4)^51)&gt;0,1+$B$3,1))</f>
        <v/>
      </c>
      <c r="BC138">
        <f>IF($B$1+52&gt;90,BB138,(BB138+IF($B$1+52&lt;=$B138,12*($B$7-$B$10),-12*($B$6+$B$10)*(1+$B$4)^52))*IF(BB138+IF($B$1+52&lt;=$B138,12*($B$7-$B$10),-12*($B$6+$B$10)*(1+$B$4)^52)&gt;0,1+$B$3,1))</f>
        <v/>
      </c>
      <c r="BD138">
        <f>IF($B$1+53&gt;90,BC138,(BC138+IF($B$1+53&lt;=$B138,12*($B$7-$B$10),-12*($B$6+$B$10)*(1+$B$4)^53))*IF(BC138+IF($B$1+53&lt;=$B138,12*($B$7-$B$10),-12*($B$6+$B$10)*(1+$B$4)^53)&gt;0,1+$B$3,1))</f>
        <v/>
      </c>
      <c r="BE138">
        <f>IF($B$1+54&gt;90,BD138,(BD138+IF($B$1+54&lt;=$B138,12*($B$7-$B$10),-12*($B$6+$B$10)*(1+$B$4)^54))*IF(BD138+IF($B$1+54&lt;=$B138,12*($B$7-$B$10),-12*($B$6+$B$10)*(1+$B$4)^54)&gt;0,1+$B$3,1))</f>
        <v/>
      </c>
      <c r="BF138">
        <f>IF($B$1+55&gt;90,BE138,(BE138+IF($B$1+55&lt;=$B138,12*($B$7-$B$10),-12*($B$6+$B$10)*(1+$B$4)^55))*IF(BE138+IF($B$1+55&lt;=$B138,12*($B$7-$B$10),-12*($B$6+$B$10)*(1+$B$4)^55)&gt;0,1+$B$3,1))</f>
        <v/>
      </c>
      <c r="BG138">
        <f>IF($B$1+56&gt;90,BF138,(BF138+IF($B$1+56&lt;=$B138,12*($B$7-$B$10),-12*($B$6+$B$10)*(1+$B$4)^56))*IF(BF138+IF($B$1+56&lt;=$B138,12*($B$7-$B$10),-12*($B$6+$B$10)*(1+$B$4)^56)&gt;0,1+$B$3,1))</f>
        <v/>
      </c>
      <c r="BH138">
        <f>IF($B$1+57&gt;90,BG138,(BG138+IF($B$1+57&lt;=$B138,12*($B$7-$B$10),-12*($B$6+$B$10)*(1+$B$4)^57))*IF(BG138+IF($B$1+57&lt;=$B138,12*($B$7-$B$10),-12*($B$6+$B$10)*(1+$B$4)^57)&gt;0,1+$B$3,1))</f>
        <v/>
      </c>
      <c r="BI138">
        <f>IF($B$1+58&gt;90,BH138,(BH138+IF($B$1+58&lt;=$B138,12*($B$7-$B$10),-12*($B$6+$B$10)*(1+$B$4)^58))*IF(BH138+IF($B$1+58&lt;=$B138,12*($B$7-$B$10),-12*($B$6+$B$10)*(1+$B$4)^58)&gt;0,1+$B$3,1))</f>
        <v/>
      </c>
      <c r="BJ138">
        <f>IF($B$1+59&gt;90,BI138,(BI138+IF($B$1+59&lt;=$B138,12*($B$7-$B$10),-12*($B$6+$B$10)*(1+$B$4)^59))*IF(BI138+IF($B$1+59&lt;=$B138,12*($B$7-$B$10),-12*($B$6+$B$10)*(1+$B$4)^59)&gt;0,1+$B$3,1))</f>
        <v/>
      </c>
      <c r="BK138">
        <f>IF($B$1+60&gt;90,BJ138,(BJ138+IF($B$1+60&lt;=$B138,12*($B$7-$B$10),-12*($B$6+$B$10)*(1+$B$4)^60))*IF(BJ138+IF($B$1+60&lt;=$B138,12*($B$7-$B$10),-12*($B$6+$B$10)*(1+$B$4)^60)&gt;0,1+$B$3,1))</f>
        <v/>
      </c>
      <c r="BL138">
        <f>IF($B$1+61&gt;90,BK138,(BK138+IF($B$1+61&lt;=$B138,12*($B$7-$B$10),-12*($B$6+$B$10)*(1+$B$4)^61))*IF(BK138+IF($B$1+61&lt;=$B138,12*($B$7-$B$10),-12*($B$6+$B$10)*(1+$B$4)^61)&gt;0,1+$B$3,1))</f>
        <v/>
      </c>
      <c r="BM138">
        <f>IF($B$1+62&gt;90,BL138,(BL138+IF($B$1+62&lt;=$B138,12*($B$7-$B$10),-12*($B$6+$B$10)*(1+$B$4)^62))*IF(BL138+IF($B$1+62&lt;=$B138,12*($B$7-$B$10),-12*($B$6+$B$10)*(1+$B$4)^62)&gt;0,1+$B$3,1))</f>
        <v/>
      </c>
      <c r="BN138">
        <f>IF($B$1+63&gt;90,BM138,(BM138+IF($B$1+63&lt;=$B138,12*($B$7-$B$10),-12*($B$6+$B$10)*(1+$B$4)^63))*IF(BM138+IF($B$1+63&lt;=$B138,12*($B$7-$B$10),-12*($B$6+$B$10)*(1+$B$4)^63)&gt;0,1+$B$3,1))</f>
        <v/>
      </c>
      <c r="BO138">
        <f>IF($B$1+64&gt;90,BN138,(BN138+IF($B$1+64&lt;=$B138,12*($B$7-$B$10),-12*($B$6+$B$10)*(1+$B$4)^64))*IF(BN138+IF($B$1+64&lt;=$B138,12*($B$7-$B$10),-12*($B$6+$B$10)*(1+$B$4)^64)&gt;0,1+$B$3,1))</f>
        <v/>
      </c>
      <c r="BP138">
        <f>IF($B$1+65&gt;90,BO138,(BO138+IF($B$1+65&lt;=$B138,12*($B$7-$B$10),-12*($B$6+$B$10)*(1+$B$4)^65))*IF(BO138+IF($B$1+65&lt;=$B138,12*($B$7-$B$10),-12*($B$6+$B$10)*(1+$B$4)^65)&gt;0,1+$B$3,1))</f>
        <v/>
      </c>
      <c r="BQ138">
        <f>IF($B$1+66&gt;90,BP138,(BP138+IF($B$1+66&lt;=$B138,12*($B$7-$B$10),-12*($B$6+$B$10)*(1+$B$4)^66))*IF(BP138+IF($B$1+66&lt;=$B138,12*($B$7-$B$10),-12*($B$6+$B$10)*(1+$B$4)^66)&gt;0,1+$B$3,1))</f>
        <v/>
      </c>
      <c r="BR138">
        <f>IF($B$1+67&gt;90,BQ138,(BQ138+IF($B$1+67&lt;=$B138,12*($B$7-$B$10),-12*($B$6+$B$10)*(1+$B$4)^67))*IF(BQ138+IF($B$1+67&lt;=$B138,12*($B$7-$B$10),-12*($B$6+$B$10)*(1+$B$4)^67)&gt;0,1+$B$3,1))</f>
        <v/>
      </c>
      <c r="BS138">
        <f>IF($B$1+68&gt;90,BR138,(BR138+IF($B$1+68&lt;=$B138,12*($B$7-$B$10),-12*($B$6+$B$10)*(1+$B$4)^68))*IF(BR138+IF($B$1+68&lt;=$B138,12*($B$7-$B$10),-12*($B$6+$B$10)*(1+$B$4)^68)&gt;0,1+$B$3,1))</f>
        <v/>
      </c>
      <c r="BT138">
        <f>IF($B$1+69&gt;90,BS138,(BS138+IF($B$1+69&lt;=$B138,12*($B$7-$B$10),-12*($B$6+$B$10)*(1+$B$4)^69))*IF(BS138+IF($B$1+69&lt;=$B138,12*($B$7-$B$10),-12*($B$6+$B$10)*(1+$B$4)^69)&gt;0,1+$B$3,1))</f>
        <v/>
      </c>
      <c r="BU138">
        <f>IF($B$1+70&gt;90,BT138,(BT138+IF($B$1+70&lt;=$B138,12*($B$7-$B$10),-12*($B$6+$B$10)*(1+$B$4)^70))*IF(BT138+IF($B$1+70&lt;=$B138,12*($B$7-$B$10),-12*($B$6+$B$10)*(1+$B$4)^70)&gt;0,1+$B$3,1))</f>
        <v/>
      </c>
      <c r="BV138">
        <f>BU138</f>
        <v/>
      </c>
      <c r="BW138">
        <f>IF(AND($B138&lt;=70,BV138&gt;0),$B138,999)</f>
        <v/>
      </c>
    </row>
    <row r="139">
      <c r="A139" t="n">
        <v>43</v>
      </c>
      <c r="B139">
        <f>$B$1+43</f>
        <v/>
      </c>
      <c r="C139">
        <f>$B$2</f>
        <v/>
      </c>
      <c r="D139">
        <f>IF($B$1+1&gt;90,C139,(C139+IF($B$1+1&lt;=$B139,12*($B$7-$B$10),-12*($B$6+$B$10)*(1+$B$4)^1))*IF(C139+IF($B$1+1&lt;=$B139,12*($B$7-$B$10),-12*($B$6+$B$10)*(1+$B$4)^1)&gt;0,1+$B$3,1))</f>
        <v/>
      </c>
      <c r="E139">
        <f>IF($B$1+2&gt;90,D139,(D139+IF($B$1+2&lt;=$B139,12*($B$7-$B$10),-12*($B$6+$B$10)*(1+$B$4)^2))*IF(D139+IF($B$1+2&lt;=$B139,12*($B$7-$B$10),-12*($B$6+$B$10)*(1+$B$4)^2)&gt;0,1+$B$3,1))</f>
        <v/>
      </c>
      <c r="F139">
        <f>IF($B$1+3&gt;90,E139,(E139+IF($B$1+3&lt;=$B139,12*($B$7-$B$10),-12*($B$6+$B$10)*(1+$B$4)^3))*IF(E139+IF($B$1+3&lt;=$B139,12*($B$7-$B$10),-12*($B$6+$B$10)*(1+$B$4)^3)&gt;0,1+$B$3,1))</f>
        <v/>
      </c>
      <c r="G139">
        <f>IF($B$1+4&gt;90,F139,(F139+IF($B$1+4&lt;=$B139,12*($B$7-$B$10),-12*($B$6+$B$10)*(1+$B$4)^4))*IF(F139+IF($B$1+4&lt;=$B139,12*($B$7-$B$10),-12*($B$6+$B$10)*(1+$B$4)^4)&gt;0,1+$B$3,1))</f>
        <v/>
      </c>
      <c r="H139">
        <f>IF($B$1+5&gt;90,G139,(G139+IF($B$1+5&lt;=$B139,12*($B$7-$B$10),-12*($B$6+$B$10)*(1+$B$4)^5))*IF(G139+IF($B$1+5&lt;=$B139,12*($B$7-$B$10),-12*($B$6+$B$10)*(1+$B$4)^5)&gt;0,1+$B$3,1))</f>
        <v/>
      </c>
      <c r="I139">
        <f>IF($B$1+6&gt;90,H139,(H139+IF($B$1+6&lt;=$B139,12*($B$7-$B$10),-12*($B$6+$B$10)*(1+$B$4)^6))*IF(H139+IF($B$1+6&lt;=$B139,12*($B$7-$B$10),-12*($B$6+$B$10)*(1+$B$4)^6)&gt;0,1+$B$3,1))</f>
        <v/>
      </c>
      <c r="J139">
        <f>IF($B$1+7&gt;90,I139,(I139+IF($B$1+7&lt;=$B139,12*($B$7-$B$10),-12*($B$6+$B$10)*(1+$B$4)^7))*IF(I139+IF($B$1+7&lt;=$B139,12*($B$7-$B$10),-12*($B$6+$B$10)*(1+$B$4)^7)&gt;0,1+$B$3,1))</f>
        <v/>
      </c>
      <c r="K139">
        <f>IF($B$1+8&gt;90,J139,(J139+IF($B$1+8&lt;=$B139,12*($B$7-$B$10),-12*($B$6+$B$10)*(1+$B$4)^8))*IF(J139+IF($B$1+8&lt;=$B139,12*($B$7-$B$10),-12*($B$6+$B$10)*(1+$B$4)^8)&gt;0,1+$B$3,1))</f>
        <v/>
      </c>
      <c r="L139">
        <f>IF($B$1+9&gt;90,K139,(K139+IF($B$1+9&lt;=$B139,12*($B$7-$B$10),-12*($B$6+$B$10)*(1+$B$4)^9))*IF(K139+IF($B$1+9&lt;=$B139,12*($B$7-$B$10),-12*($B$6+$B$10)*(1+$B$4)^9)&gt;0,1+$B$3,1))</f>
        <v/>
      </c>
      <c r="M139">
        <f>IF($B$1+10&gt;90,L139,(L139+IF($B$1+10&lt;=$B139,12*($B$7-$B$10),-12*($B$6+$B$10)*(1+$B$4)^10))*IF(L139+IF($B$1+10&lt;=$B139,12*($B$7-$B$10),-12*($B$6+$B$10)*(1+$B$4)^10)&gt;0,1+$B$3,1))</f>
        <v/>
      </c>
      <c r="N139">
        <f>IF($B$1+11&gt;90,M139,(M139+IF($B$1+11&lt;=$B139,12*($B$7-$B$10),-12*($B$6+$B$10)*(1+$B$4)^11))*IF(M139+IF($B$1+11&lt;=$B139,12*($B$7-$B$10),-12*($B$6+$B$10)*(1+$B$4)^11)&gt;0,1+$B$3,1))</f>
        <v/>
      </c>
      <c r="O139">
        <f>IF($B$1+12&gt;90,N139,(N139+IF($B$1+12&lt;=$B139,12*($B$7-$B$10),-12*($B$6+$B$10)*(1+$B$4)^12))*IF(N139+IF($B$1+12&lt;=$B139,12*($B$7-$B$10),-12*($B$6+$B$10)*(1+$B$4)^12)&gt;0,1+$B$3,1))</f>
        <v/>
      </c>
      <c r="P139">
        <f>IF($B$1+13&gt;90,O139,(O139+IF($B$1+13&lt;=$B139,12*($B$7-$B$10),-12*($B$6+$B$10)*(1+$B$4)^13))*IF(O139+IF($B$1+13&lt;=$B139,12*($B$7-$B$10),-12*($B$6+$B$10)*(1+$B$4)^13)&gt;0,1+$B$3,1))</f>
        <v/>
      </c>
      <c r="Q139">
        <f>IF($B$1+14&gt;90,P139,(P139+IF($B$1+14&lt;=$B139,12*($B$7-$B$10),-12*($B$6+$B$10)*(1+$B$4)^14))*IF(P139+IF($B$1+14&lt;=$B139,12*($B$7-$B$10),-12*($B$6+$B$10)*(1+$B$4)^14)&gt;0,1+$B$3,1))</f>
        <v/>
      </c>
      <c r="R139">
        <f>IF($B$1+15&gt;90,Q139,(Q139+IF($B$1+15&lt;=$B139,12*($B$7-$B$10),-12*($B$6+$B$10)*(1+$B$4)^15))*IF(Q139+IF($B$1+15&lt;=$B139,12*($B$7-$B$10),-12*($B$6+$B$10)*(1+$B$4)^15)&gt;0,1+$B$3,1))</f>
        <v/>
      </c>
      <c r="S139">
        <f>IF($B$1+16&gt;90,R139,(R139+IF($B$1+16&lt;=$B139,12*($B$7-$B$10),-12*($B$6+$B$10)*(1+$B$4)^16))*IF(R139+IF($B$1+16&lt;=$B139,12*($B$7-$B$10),-12*($B$6+$B$10)*(1+$B$4)^16)&gt;0,1+$B$3,1))</f>
        <v/>
      </c>
      <c r="T139">
        <f>IF($B$1+17&gt;90,S139,(S139+IF($B$1+17&lt;=$B139,12*($B$7-$B$10),-12*($B$6+$B$10)*(1+$B$4)^17))*IF(S139+IF($B$1+17&lt;=$B139,12*($B$7-$B$10),-12*($B$6+$B$10)*(1+$B$4)^17)&gt;0,1+$B$3,1))</f>
        <v/>
      </c>
      <c r="U139">
        <f>IF($B$1+18&gt;90,T139,(T139+IF($B$1+18&lt;=$B139,12*($B$7-$B$10),-12*($B$6+$B$10)*(1+$B$4)^18))*IF(T139+IF($B$1+18&lt;=$B139,12*($B$7-$B$10),-12*($B$6+$B$10)*(1+$B$4)^18)&gt;0,1+$B$3,1))</f>
        <v/>
      </c>
      <c r="V139">
        <f>IF($B$1+19&gt;90,U139,(U139+IF($B$1+19&lt;=$B139,12*($B$7-$B$10),-12*($B$6+$B$10)*(1+$B$4)^19))*IF(U139+IF($B$1+19&lt;=$B139,12*($B$7-$B$10),-12*($B$6+$B$10)*(1+$B$4)^19)&gt;0,1+$B$3,1))</f>
        <v/>
      </c>
      <c r="W139">
        <f>IF($B$1+20&gt;90,V139,(V139+IF($B$1+20&lt;=$B139,12*($B$7-$B$10),-12*($B$6+$B$10)*(1+$B$4)^20))*IF(V139+IF($B$1+20&lt;=$B139,12*($B$7-$B$10),-12*($B$6+$B$10)*(1+$B$4)^20)&gt;0,1+$B$3,1))</f>
        <v/>
      </c>
      <c r="X139">
        <f>IF($B$1+21&gt;90,W139,(W139+IF($B$1+21&lt;=$B139,12*($B$7-$B$10),-12*($B$6+$B$10)*(1+$B$4)^21))*IF(W139+IF($B$1+21&lt;=$B139,12*($B$7-$B$10),-12*($B$6+$B$10)*(1+$B$4)^21)&gt;0,1+$B$3,1))</f>
        <v/>
      </c>
      <c r="Y139">
        <f>IF($B$1+22&gt;90,X139,(X139+IF($B$1+22&lt;=$B139,12*($B$7-$B$10),-12*($B$6+$B$10)*(1+$B$4)^22))*IF(X139+IF($B$1+22&lt;=$B139,12*($B$7-$B$10),-12*($B$6+$B$10)*(1+$B$4)^22)&gt;0,1+$B$3,1))</f>
        <v/>
      </c>
      <c r="Z139">
        <f>IF($B$1+23&gt;90,Y139,(Y139+IF($B$1+23&lt;=$B139,12*($B$7-$B$10),-12*($B$6+$B$10)*(1+$B$4)^23))*IF(Y139+IF($B$1+23&lt;=$B139,12*($B$7-$B$10),-12*($B$6+$B$10)*(1+$B$4)^23)&gt;0,1+$B$3,1))</f>
        <v/>
      </c>
      <c r="AA139">
        <f>IF($B$1+24&gt;90,Z139,(Z139+IF($B$1+24&lt;=$B139,12*($B$7-$B$10),-12*($B$6+$B$10)*(1+$B$4)^24))*IF(Z139+IF($B$1+24&lt;=$B139,12*($B$7-$B$10),-12*($B$6+$B$10)*(1+$B$4)^24)&gt;0,1+$B$3,1))</f>
        <v/>
      </c>
      <c r="AB139">
        <f>IF($B$1+25&gt;90,AA139,(AA139+IF($B$1+25&lt;=$B139,12*($B$7-$B$10),-12*($B$6+$B$10)*(1+$B$4)^25))*IF(AA139+IF($B$1+25&lt;=$B139,12*($B$7-$B$10),-12*($B$6+$B$10)*(1+$B$4)^25)&gt;0,1+$B$3,1))</f>
        <v/>
      </c>
      <c r="AC139">
        <f>IF($B$1+26&gt;90,AB139,(AB139+IF($B$1+26&lt;=$B139,12*($B$7-$B$10),-12*($B$6+$B$10)*(1+$B$4)^26))*IF(AB139+IF($B$1+26&lt;=$B139,12*($B$7-$B$10),-12*($B$6+$B$10)*(1+$B$4)^26)&gt;0,1+$B$3,1))</f>
        <v/>
      </c>
      <c r="AD139">
        <f>IF($B$1+27&gt;90,AC139,(AC139+IF($B$1+27&lt;=$B139,12*($B$7-$B$10),-12*($B$6+$B$10)*(1+$B$4)^27))*IF(AC139+IF($B$1+27&lt;=$B139,12*($B$7-$B$10),-12*($B$6+$B$10)*(1+$B$4)^27)&gt;0,1+$B$3,1))</f>
        <v/>
      </c>
      <c r="AE139">
        <f>IF($B$1+28&gt;90,AD139,(AD139+IF($B$1+28&lt;=$B139,12*($B$7-$B$10),-12*($B$6+$B$10)*(1+$B$4)^28))*IF(AD139+IF($B$1+28&lt;=$B139,12*($B$7-$B$10),-12*($B$6+$B$10)*(1+$B$4)^28)&gt;0,1+$B$3,1))</f>
        <v/>
      </c>
      <c r="AF139">
        <f>IF($B$1+29&gt;90,AE139,(AE139+IF($B$1+29&lt;=$B139,12*($B$7-$B$10),-12*($B$6+$B$10)*(1+$B$4)^29))*IF(AE139+IF($B$1+29&lt;=$B139,12*($B$7-$B$10),-12*($B$6+$B$10)*(1+$B$4)^29)&gt;0,1+$B$3,1))</f>
        <v/>
      </c>
      <c r="AG139">
        <f>IF($B$1+30&gt;90,AF139,(AF139+IF($B$1+30&lt;=$B139,12*($B$7-$B$10),-12*($B$6+$B$10)*(1+$B$4)^30))*IF(AF139+IF($B$1+30&lt;=$B139,12*($B$7-$B$10),-12*($B$6+$B$10)*(1+$B$4)^30)&gt;0,1+$B$3,1))</f>
        <v/>
      </c>
      <c r="AH139">
        <f>IF($B$1+31&gt;90,AG139,(AG139+IF($B$1+31&lt;=$B139,12*($B$7-$B$10),-12*($B$6+$B$10)*(1+$B$4)^31))*IF(AG139+IF($B$1+31&lt;=$B139,12*($B$7-$B$10),-12*($B$6+$B$10)*(1+$B$4)^31)&gt;0,1+$B$3,1))</f>
        <v/>
      </c>
      <c r="AI139">
        <f>IF($B$1+32&gt;90,AH139,(AH139+IF($B$1+32&lt;=$B139,12*($B$7-$B$10),-12*($B$6+$B$10)*(1+$B$4)^32))*IF(AH139+IF($B$1+32&lt;=$B139,12*($B$7-$B$10),-12*($B$6+$B$10)*(1+$B$4)^32)&gt;0,1+$B$3,1))</f>
        <v/>
      </c>
      <c r="AJ139">
        <f>IF($B$1+33&gt;90,AI139,(AI139+IF($B$1+33&lt;=$B139,12*($B$7-$B$10),-12*($B$6+$B$10)*(1+$B$4)^33))*IF(AI139+IF($B$1+33&lt;=$B139,12*($B$7-$B$10),-12*($B$6+$B$10)*(1+$B$4)^33)&gt;0,1+$B$3,1))</f>
        <v/>
      </c>
      <c r="AK139">
        <f>IF($B$1+34&gt;90,AJ139,(AJ139+IF($B$1+34&lt;=$B139,12*($B$7-$B$10),-12*($B$6+$B$10)*(1+$B$4)^34))*IF(AJ139+IF($B$1+34&lt;=$B139,12*($B$7-$B$10),-12*($B$6+$B$10)*(1+$B$4)^34)&gt;0,1+$B$3,1))</f>
        <v/>
      </c>
      <c r="AL139">
        <f>IF($B$1+35&gt;90,AK139,(AK139+IF($B$1+35&lt;=$B139,12*($B$7-$B$10),-12*($B$6+$B$10)*(1+$B$4)^35))*IF(AK139+IF($B$1+35&lt;=$B139,12*($B$7-$B$10),-12*($B$6+$B$10)*(1+$B$4)^35)&gt;0,1+$B$3,1))</f>
        <v/>
      </c>
      <c r="AM139">
        <f>IF($B$1+36&gt;90,AL139,(AL139+IF($B$1+36&lt;=$B139,12*($B$7-$B$10),-12*($B$6+$B$10)*(1+$B$4)^36))*IF(AL139+IF($B$1+36&lt;=$B139,12*($B$7-$B$10),-12*($B$6+$B$10)*(1+$B$4)^36)&gt;0,1+$B$3,1))</f>
        <v/>
      </c>
      <c r="AN139">
        <f>IF($B$1+37&gt;90,AM139,(AM139+IF($B$1+37&lt;=$B139,12*($B$7-$B$10),-12*($B$6+$B$10)*(1+$B$4)^37))*IF(AM139+IF($B$1+37&lt;=$B139,12*($B$7-$B$10),-12*($B$6+$B$10)*(1+$B$4)^37)&gt;0,1+$B$3,1))</f>
        <v/>
      </c>
      <c r="AO139">
        <f>IF($B$1+38&gt;90,AN139,(AN139+IF($B$1+38&lt;=$B139,12*($B$7-$B$10),-12*($B$6+$B$10)*(1+$B$4)^38))*IF(AN139+IF($B$1+38&lt;=$B139,12*($B$7-$B$10),-12*($B$6+$B$10)*(1+$B$4)^38)&gt;0,1+$B$3,1))</f>
        <v/>
      </c>
      <c r="AP139">
        <f>IF($B$1+39&gt;90,AO139,(AO139+IF($B$1+39&lt;=$B139,12*($B$7-$B$10),-12*($B$6+$B$10)*(1+$B$4)^39))*IF(AO139+IF($B$1+39&lt;=$B139,12*($B$7-$B$10),-12*($B$6+$B$10)*(1+$B$4)^39)&gt;0,1+$B$3,1))</f>
        <v/>
      </c>
      <c r="AQ139">
        <f>IF($B$1+40&gt;90,AP139,(AP139+IF($B$1+40&lt;=$B139,12*($B$7-$B$10),-12*($B$6+$B$10)*(1+$B$4)^40))*IF(AP139+IF($B$1+40&lt;=$B139,12*($B$7-$B$10),-12*($B$6+$B$10)*(1+$B$4)^40)&gt;0,1+$B$3,1))</f>
        <v/>
      </c>
      <c r="AR139">
        <f>IF($B$1+41&gt;90,AQ139,(AQ139+IF($B$1+41&lt;=$B139,12*($B$7-$B$10),-12*($B$6+$B$10)*(1+$B$4)^41))*IF(AQ139+IF($B$1+41&lt;=$B139,12*($B$7-$B$10),-12*($B$6+$B$10)*(1+$B$4)^41)&gt;0,1+$B$3,1))</f>
        <v/>
      </c>
      <c r="AS139">
        <f>IF($B$1+42&gt;90,AR139,(AR139+IF($B$1+42&lt;=$B139,12*($B$7-$B$10),-12*($B$6+$B$10)*(1+$B$4)^42))*IF(AR139+IF($B$1+42&lt;=$B139,12*($B$7-$B$10),-12*($B$6+$B$10)*(1+$B$4)^42)&gt;0,1+$B$3,1))</f>
        <v/>
      </c>
      <c r="AT139">
        <f>IF($B$1+43&gt;90,AS139,(AS139+IF($B$1+43&lt;=$B139,12*($B$7-$B$10),-12*($B$6+$B$10)*(1+$B$4)^43))*IF(AS139+IF($B$1+43&lt;=$B139,12*($B$7-$B$10),-12*($B$6+$B$10)*(1+$B$4)^43)&gt;0,1+$B$3,1))</f>
        <v/>
      </c>
      <c r="AU139">
        <f>IF($B$1+44&gt;90,AT139,(AT139+IF($B$1+44&lt;=$B139,12*($B$7-$B$10),-12*($B$6+$B$10)*(1+$B$4)^44))*IF(AT139+IF($B$1+44&lt;=$B139,12*($B$7-$B$10),-12*($B$6+$B$10)*(1+$B$4)^44)&gt;0,1+$B$3,1))</f>
        <v/>
      </c>
      <c r="AV139">
        <f>IF($B$1+45&gt;90,AU139,(AU139+IF($B$1+45&lt;=$B139,12*($B$7-$B$10),-12*($B$6+$B$10)*(1+$B$4)^45))*IF(AU139+IF($B$1+45&lt;=$B139,12*($B$7-$B$10),-12*($B$6+$B$10)*(1+$B$4)^45)&gt;0,1+$B$3,1))</f>
        <v/>
      </c>
      <c r="AW139">
        <f>IF($B$1+46&gt;90,AV139,(AV139+IF($B$1+46&lt;=$B139,12*($B$7-$B$10),-12*($B$6+$B$10)*(1+$B$4)^46))*IF(AV139+IF($B$1+46&lt;=$B139,12*($B$7-$B$10),-12*($B$6+$B$10)*(1+$B$4)^46)&gt;0,1+$B$3,1))</f>
        <v/>
      </c>
      <c r="AX139">
        <f>IF($B$1+47&gt;90,AW139,(AW139+IF($B$1+47&lt;=$B139,12*($B$7-$B$10),-12*($B$6+$B$10)*(1+$B$4)^47))*IF(AW139+IF($B$1+47&lt;=$B139,12*($B$7-$B$10),-12*($B$6+$B$10)*(1+$B$4)^47)&gt;0,1+$B$3,1))</f>
        <v/>
      </c>
      <c r="AY139">
        <f>IF($B$1+48&gt;90,AX139,(AX139+IF($B$1+48&lt;=$B139,12*($B$7-$B$10),-12*($B$6+$B$10)*(1+$B$4)^48))*IF(AX139+IF($B$1+48&lt;=$B139,12*($B$7-$B$10),-12*($B$6+$B$10)*(1+$B$4)^48)&gt;0,1+$B$3,1))</f>
        <v/>
      </c>
      <c r="AZ139">
        <f>IF($B$1+49&gt;90,AY139,(AY139+IF($B$1+49&lt;=$B139,12*($B$7-$B$10),-12*($B$6+$B$10)*(1+$B$4)^49))*IF(AY139+IF($B$1+49&lt;=$B139,12*($B$7-$B$10),-12*($B$6+$B$10)*(1+$B$4)^49)&gt;0,1+$B$3,1))</f>
        <v/>
      </c>
      <c r="BA139">
        <f>IF($B$1+50&gt;90,AZ139,(AZ139+IF($B$1+50&lt;=$B139,12*($B$7-$B$10),-12*($B$6+$B$10)*(1+$B$4)^50))*IF(AZ139+IF($B$1+50&lt;=$B139,12*($B$7-$B$10),-12*($B$6+$B$10)*(1+$B$4)^50)&gt;0,1+$B$3,1))</f>
        <v/>
      </c>
      <c r="BB139">
        <f>IF($B$1+51&gt;90,BA139,(BA139+IF($B$1+51&lt;=$B139,12*($B$7-$B$10),-12*($B$6+$B$10)*(1+$B$4)^51))*IF(BA139+IF($B$1+51&lt;=$B139,12*($B$7-$B$10),-12*($B$6+$B$10)*(1+$B$4)^51)&gt;0,1+$B$3,1))</f>
        <v/>
      </c>
      <c r="BC139">
        <f>IF($B$1+52&gt;90,BB139,(BB139+IF($B$1+52&lt;=$B139,12*($B$7-$B$10),-12*($B$6+$B$10)*(1+$B$4)^52))*IF(BB139+IF($B$1+52&lt;=$B139,12*($B$7-$B$10),-12*($B$6+$B$10)*(1+$B$4)^52)&gt;0,1+$B$3,1))</f>
        <v/>
      </c>
      <c r="BD139">
        <f>IF($B$1+53&gt;90,BC139,(BC139+IF($B$1+53&lt;=$B139,12*($B$7-$B$10),-12*($B$6+$B$10)*(1+$B$4)^53))*IF(BC139+IF($B$1+53&lt;=$B139,12*($B$7-$B$10),-12*($B$6+$B$10)*(1+$B$4)^53)&gt;0,1+$B$3,1))</f>
        <v/>
      </c>
      <c r="BE139">
        <f>IF($B$1+54&gt;90,BD139,(BD139+IF($B$1+54&lt;=$B139,12*($B$7-$B$10),-12*($B$6+$B$10)*(1+$B$4)^54))*IF(BD139+IF($B$1+54&lt;=$B139,12*($B$7-$B$10),-12*($B$6+$B$10)*(1+$B$4)^54)&gt;0,1+$B$3,1))</f>
        <v/>
      </c>
      <c r="BF139">
        <f>IF($B$1+55&gt;90,BE139,(BE139+IF($B$1+55&lt;=$B139,12*($B$7-$B$10),-12*($B$6+$B$10)*(1+$B$4)^55))*IF(BE139+IF($B$1+55&lt;=$B139,12*($B$7-$B$10),-12*($B$6+$B$10)*(1+$B$4)^55)&gt;0,1+$B$3,1))</f>
        <v/>
      </c>
      <c r="BG139">
        <f>IF($B$1+56&gt;90,BF139,(BF139+IF($B$1+56&lt;=$B139,12*($B$7-$B$10),-12*($B$6+$B$10)*(1+$B$4)^56))*IF(BF139+IF($B$1+56&lt;=$B139,12*($B$7-$B$10),-12*($B$6+$B$10)*(1+$B$4)^56)&gt;0,1+$B$3,1))</f>
        <v/>
      </c>
      <c r="BH139">
        <f>IF($B$1+57&gt;90,BG139,(BG139+IF($B$1+57&lt;=$B139,12*($B$7-$B$10),-12*($B$6+$B$10)*(1+$B$4)^57))*IF(BG139+IF($B$1+57&lt;=$B139,12*($B$7-$B$10),-12*($B$6+$B$10)*(1+$B$4)^57)&gt;0,1+$B$3,1))</f>
        <v/>
      </c>
      <c r="BI139">
        <f>IF($B$1+58&gt;90,BH139,(BH139+IF($B$1+58&lt;=$B139,12*($B$7-$B$10),-12*($B$6+$B$10)*(1+$B$4)^58))*IF(BH139+IF($B$1+58&lt;=$B139,12*($B$7-$B$10),-12*($B$6+$B$10)*(1+$B$4)^58)&gt;0,1+$B$3,1))</f>
        <v/>
      </c>
      <c r="BJ139">
        <f>IF($B$1+59&gt;90,BI139,(BI139+IF($B$1+59&lt;=$B139,12*($B$7-$B$10),-12*($B$6+$B$10)*(1+$B$4)^59))*IF(BI139+IF($B$1+59&lt;=$B139,12*($B$7-$B$10),-12*($B$6+$B$10)*(1+$B$4)^59)&gt;0,1+$B$3,1))</f>
        <v/>
      </c>
      <c r="BK139">
        <f>IF($B$1+60&gt;90,BJ139,(BJ139+IF($B$1+60&lt;=$B139,12*($B$7-$B$10),-12*($B$6+$B$10)*(1+$B$4)^60))*IF(BJ139+IF($B$1+60&lt;=$B139,12*($B$7-$B$10),-12*($B$6+$B$10)*(1+$B$4)^60)&gt;0,1+$B$3,1))</f>
        <v/>
      </c>
      <c r="BL139">
        <f>IF($B$1+61&gt;90,BK139,(BK139+IF($B$1+61&lt;=$B139,12*($B$7-$B$10),-12*($B$6+$B$10)*(1+$B$4)^61))*IF(BK139+IF($B$1+61&lt;=$B139,12*($B$7-$B$10),-12*($B$6+$B$10)*(1+$B$4)^61)&gt;0,1+$B$3,1))</f>
        <v/>
      </c>
      <c r="BM139">
        <f>IF($B$1+62&gt;90,BL139,(BL139+IF($B$1+62&lt;=$B139,12*($B$7-$B$10),-12*($B$6+$B$10)*(1+$B$4)^62))*IF(BL139+IF($B$1+62&lt;=$B139,12*($B$7-$B$10),-12*($B$6+$B$10)*(1+$B$4)^62)&gt;0,1+$B$3,1))</f>
        <v/>
      </c>
      <c r="BN139">
        <f>IF($B$1+63&gt;90,BM139,(BM139+IF($B$1+63&lt;=$B139,12*($B$7-$B$10),-12*($B$6+$B$10)*(1+$B$4)^63))*IF(BM139+IF($B$1+63&lt;=$B139,12*($B$7-$B$10),-12*($B$6+$B$10)*(1+$B$4)^63)&gt;0,1+$B$3,1))</f>
        <v/>
      </c>
      <c r="BO139">
        <f>IF($B$1+64&gt;90,BN139,(BN139+IF($B$1+64&lt;=$B139,12*($B$7-$B$10),-12*($B$6+$B$10)*(1+$B$4)^64))*IF(BN139+IF($B$1+64&lt;=$B139,12*($B$7-$B$10),-12*($B$6+$B$10)*(1+$B$4)^64)&gt;0,1+$B$3,1))</f>
        <v/>
      </c>
      <c r="BP139">
        <f>IF($B$1+65&gt;90,BO139,(BO139+IF($B$1+65&lt;=$B139,12*($B$7-$B$10),-12*($B$6+$B$10)*(1+$B$4)^65))*IF(BO139+IF($B$1+65&lt;=$B139,12*($B$7-$B$10),-12*($B$6+$B$10)*(1+$B$4)^65)&gt;0,1+$B$3,1))</f>
        <v/>
      </c>
      <c r="BQ139">
        <f>IF($B$1+66&gt;90,BP139,(BP139+IF($B$1+66&lt;=$B139,12*($B$7-$B$10),-12*($B$6+$B$10)*(1+$B$4)^66))*IF(BP139+IF($B$1+66&lt;=$B139,12*($B$7-$B$10),-12*($B$6+$B$10)*(1+$B$4)^66)&gt;0,1+$B$3,1))</f>
        <v/>
      </c>
      <c r="BR139">
        <f>IF($B$1+67&gt;90,BQ139,(BQ139+IF($B$1+67&lt;=$B139,12*($B$7-$B$10),-12*($B$6+$B$10)*(1+$B$4)^67))*IF(BQ139+IF($B$1+67&lt;=$B139,12*($B$7-$B$10),-12*($B$6+$B$10)*(1+$B$4)^67)&gt;0,1+$B$3,1))</f>
        <v/>
      </c>
      <c r="BS139">
        <f>IF($B$1+68&gt;90,BR139,(BR139+IF($B$1+68&lt;=$B139,12*($B$7-$B$10),-12*($B$6+$B$10)*(1+$B$4)^68))*IF(BR139+IF($B$1+68&lt;=$B139,12*($B$7-$B$10),-12*($B$6+$B$10)*(1+$B$4)^68)&gt;0,1+$B$3,1))</f>
        <v/>
      </c>
      <c r="BT139">
        <f>IF($B$1+69&gt;90,BS139,(BS139+IF($B$1+69&lt;=$B139,12*($B$7-$B$10),-12*($B$6+$B$10)*(1+$B$4)^69))*IF(BS139+IF($B$1+69&lt;=$B139,12*($B$7-$B$10),-12*($B$6+$B$10)*(1+$B$4)^69)&gt;0,1+$B$3,1))</f>
        <v/>
      </c>
      <c r="BU139">
        <f>IF($B$1+70&gt;90,BT139,(BT139+IF($B$1+70&lt;=$B139,12*($B$7-$B$10),-12*($B$6+$B$10)*(1+$B$4)^70))*IF(BT139+IF($B$1+70&lt;=$B139,12*($B$7-$B$10),-12*($B$6+$B$10)*(1+$B$4)^70)&gt;0,1+$B$3,1))</f>
        <v/>
      </c>
      <c r="BV139">
        <f>BU139</f>
        <v/>
      </c>
      <c r="BW139">
        <f>IF(AND($B139&lt;=70,BV139&gt;0),$B139,999)</f>
        <v/>
      </c>
    </row>
    <row r="140">
      <c r="A140" t="n">
        <v>44</v>
      </c>
      <c r="B140">
        <f>$B$1+44</f>
        <v/>
      </c>
      <c r="C140">
        <f>$B$2</f>
        <v/>
      </c>
      <c r="D140">
        <f>IF($B$1+1&gt;90,C140,(C140+IF($B$1+1&lt;=$B140,12*($B$7-$B$10),-12*($B$6+$B$10)*(1+$B$4)^1))*IF(C140+IF($B$1+1&lt;=$B140,12*($B$7-$B$10),-12*($B$6+$B$10)*(1+$B$4)^1)&gt;0,1+$B$3,1))</f>
        <v/>
      </c>
      <c r="E140">
        <f>IF($B$1+2&gt;90,D140,(D140+IF($B$1+2&lt;=$B140,12*($B$7-$B$10),-12*($B$6+$B$10)*(1+$B$4)^2))*IF(D140+IF($B$1+2&lt;=$B140,12*($B$7-$B$10),-12*($B$6+$B$10)*(1+$B$4)^2)&gt;0,1+$B$3,1))</f>
        <v/>
      </c>
      <c r="F140">
        <f>IF($B$1+3&gt;90,E140,(E140+IF($B$1+3&lt;=$B140,12*($B$7-$B$10),-12*($B$6+$B$10)*(1+$B$4)^3))*IF(E140+IF($B$1+3&lt;=$B140,12*($B$7-$B$10),-12*($B$6+$B$10)*(1+$B$4)^3)&gt;0,1+$B$3,1))</f>
        <v/>
      </c>
      <c r="G140">
        <f>IF($B$1+4&gt;90,F140,(F140+IF($B$1+4&lt;=$B140,12*($B$7-$B$10),-12*($B$6+$B$10)*(1+$B$4)^4))*IF(F140+IF($B$1+4&lt;=$B140,12*($B$7-$B$10),-12*($B$6+$B$10)*(1+$B$4)^4)&gt;0,1+$B$3,1))</f>
        <v/>
      </c>
      <c r="H140">
        <f>IF($B$1+5&gt;90,G140,(G140+IF($B$1+5&lt;=$B140,12*($B$7-$B$10),-12*($B$6+$B$10)*(1+$B$4)^5))*IF(G140+IF($B$1+5&lt;=$B140,12*($B$7-$B$10),-12*($B$6+$B$10)*(1+$B$4)^5)&gt;0,1+$B$3,1))</f>
        <v/>
      </c>
      <c r="I140">
        <f>IF($B$1+6&gt;90,H140,(H140+IF($B$1+6&lt;=$B140,12*($B$7-$B$10),-12*($B$6+$B$10)*(1+$B$4)^6))*IF(H140+IF($B$1+6&lt;=$B140,12*($B$7-$B$10),-12*($B$6+$B$10)*(1+$B$4)^6)&gt;0,1+$B$3,1))</f>
        <v/>
      </c>
      <c r="J140">
        <f>IF($B$1+7&gt;90,I140,(I140+IF($B$1+7&lt;=$B140,12*($B$7-$B$10),-12*($B$6+$B$10)*(1+$B$4)^7))*IF(I140+IF($B$1+7&lt;=$B140,12*($B$7-$B$10),-12*($B$6+$B$10)*(1+$B$4)^7)&gt;0,1+$B$3,1))</f>
        <v/>
      </c>
      <c r="K140">
        <f>IF($B$1+8&gt;90,J140,(J140+IF($B$1+8&lt;=$B140,12*($B$7-$B$10),-12*($B$6+$B$10)*(1+$B$4)^8))*IF(J140+IF($B$1+8&lt;=$B140,12*($B$7-$B$10),-12*($B$6+$B$10)*(1+$B$4)^8)&gt;0,1+$B$3,1))</f>
        <v/>
      </c>
      <c r="L140">
        <f>IF($B$1+9&gt;90,K140,(K140+IF($B$1+9&lt;=$B140,12*($B$7-$B$10),-12*($B$6+$B$10)*(1+$B$4)^9))*IF(K140+IF($B$1+9&lt;=$B140,12*($B$7-$B$10),-12*($B$6+$B$10)*(1+$B$4)^9)&gt;0,1+$B$3,1))</f>
        <v/>
      </c>
      <c r="M140">
        <f>IF($B$1+10&gt;90,L140,(L140+IF($B$1+10&lt;=$B140,12*($B$7-$B$10),-12*($B$6+$B$10)*(1+$B$4)^10))*IF(L140+IF($B$1+10&lt;=$B140,12*($B$7-$B$10),-12*($B$6+$B$10)*(1+$B$4)^10)&gt;0,1+$B$3,1))</f>
        <v/>
      </c>
      <c r="N140">
        <f>IF($B$1+11&gt;90,M140,(M140+IF($B$1+11&lt;=$B140,12*($B$7-$B$10),-12*($B$6+$B$10)*(1+$B$4)^11))*IF(M140+IF($B$1+11&lt;=$B140,12*($B$7-$B$10),-12*($B$6+$B$10)*(1+$B$4)^11)&gt;0,1+$B$3,1))</f>
        <v/>
      </c>
      <c r="O140">
        <f>IF($B$1+12&gt;90,N140,(N140+IF($B$1+12&lt;=$B140,12*($B$7-$B$10),-12*($B$6+$B$10)*(1+$B$4)^12))*IF(N140+IF($B$1+12&lt;=$B140,12*($B$7-$B$10),-12*($B$6+$B$10)*(1+$B$4)^12)&gt;0,1+$B$3,1))</f>
        <v/>
      </c>
      <c r="P140">
        <f>IF($B$1+13&gt;90,O140,(O140+IF($B$1+13&lt;=$B140,12*($B$7-$B$10),-12*($B$6+$B$10)*(1+$B$4)^13))*IF(O140+IF($B$1+13&lt;=$B140,12*($B$7-$B$10),-12*($B$6+$B$10)*(1+$B$4)^13)&gt;0,1+$B$3,1))</f>
        <v/>
      </c>
      <c r="Q140">
        <f>IF($B$1+14&gt;90,P140,(P140+IF($B$1+14&lt;=$B140,12*($B$7-$B$10),-12*($B$6+$B$10)*(1+$B$4)^14))*IF(P140+IF($B$1+14&lt;=$B140,12*($B$7-$B$10),-12*($B$6+$B$10)*(1+$B$4)^14)&gt;0,1+$B$3,1))</f>
        <v/>
      </c>
      <c r="R140">
        <f>IF($B$1+15&gt;90,Q140,(Q140+IF($B$1+15&lt;=$B140,12*($B$7-$B$10),-12*($B$6+$B$10)*(1+$B$4)^15))*IF(Q140+IF($B$1+15&lt;=$B140,12*($B$7-$B$10),-12*($B$6+$B$10)*(1+$B$4)^15)&gt;0,1+$B$3,1))</f>
        <v/>
      </c>
      <c r="S140">
        <f>IF($B$1+16&gt;90,R140,(R140+IF($B$1+16&lt;=$B140,12*($B$7-$B$10),-12*($B$6+$B$10)*(1+$B$4)^16))*IF(R140+IF($B$1+16&lt;=$B140,12*($B$7-$B$10),-12*($B$6+$B$10)*(1+$B$4)^16)&gt;0,1+$B$3,1))</f>
        <v/>
      </c>
      <c r="T140">
        <f>IF($B$1+17&gt;90,S140,(S140+IF($B$1+17&lt;=$B140,12*($B$7-$B$10),-12*($B$6+$B$10)*(1+$B$4)^17))*IF(S140+IF($B$1+17&lt;=$B140,12*($B$7-$B$10),-12*($B$6+$B$10)*(1+$B$4)^17)&gt;0,1+$B$3,1))</f>
        <v/>
      </c>
      <c r="U140">
        <f>IF($B$1+18&gt;90,T140,(T140+IF($B$1+18&lt;=$B140,12*($B$7-$B$10),-12*($B$6+$B$10)*(1+$B$4)^18))*IF(T140+IF($B$1+18&lt;=$B140,12*($B$7-$B$10),-12*($B$6+$B$10)*(1+$B$4)^18)&gt;0,1+$B$3,1))</f>
        <v/>
      </c>
      <c r="V140">
        <f>IF($B$1+19&gt;90,U140,(U140+IF($B$1+19&lt;=$B140,12*($B$7-$B$10),-12*($B$6+$B$10)*(1+$B$4)^19))*IF(U140+IF($B$1+19&lt;=$B140,12*($B$7-$B$10),-12*($B$6+$B$10)*(1+$B$4)^19)&gt;0,1+$B$3,1))</f>
        <v/>
      </c>
      <c r="W140">
        <f>IF($B$1+20&gt;90,V140,(V140+IF($B$1+20&lt;=$B140,12*($B$7-$B$10),-12*($B$6+$B$10)*(1+$B$4)^20))*IF(V140+IF($B$1+20&lt;=$B140,12*($B$7-$B$10),-12*($B$6+$B$10)*(1+$B$4)^20)&gt;0,1+$B$3,1))</f>
        <v/>
      </c>
      <c r="X140">
        <f>IF($B$1+21&gt;90,W140,(W140+IF($B$1+21&lt;=$B140,12*($B$7-$B$10),-12*($B$6+$B$10)*(1+$B$4)^21))*IF(W140+IF($B$1+21&lt;=$B140,12*($B$7-$B$10),-12*($B$6+$B$10)*(1+$B$4)^21)&gt;0,1+$B$3,1))</f>
        <v/>
      </c>
      <c r="Y140">
        <f>IF($B$1+22&gt;90,X140,(X140+IF($B$1+22&lt;=$B140,12*($B$7-$B$10),-12*($B$6+$B$10)*(1+$B$4)^22))*IF(X140+IF($B$1+22&lt;=$B140,12*($B$7-$B$10),-12*($B$6+$B$10)*(1+$B$4)^22)&gt;0,1+$B$3,1))</f>
        <v/>
      </c>
      <c r="Z140">
        <f>IF($B$1+23&gt;90,Y140,(Y140+IF($B$1+23&lt;=$B140,12*($B$7-$B$10),-12*($B$6+$B$10)*(1+$B$4)^23))*IF(Y140+IF($B$1+23&lt;=$B140,12*($B$7-$B$10),-12*($B$6+$B$10)*(1+$B$4)^23)&gt;0,1+$B$3,1))</f>
        <v/>
      </c>
      <c r="AA140">
        <f>IF($B$1+24&gt;90,Z140,(Z140+IF($B$1+24&lt;=$B140,12*($B$7-$B$10),-12*($B$6+$B$10)*(1+$B$4)^24))*IF(Z140+IF($B$1+24&lt;=$B140,12*($B$7-$B$10),-12*($B$6+$B$10)*(1+$B$4)^24)&gt;0,1+$B$3,1))</f>
        <v/>
      </c>
      <c r="AB140">
        <f>IF($B$1+25&gt;90,AA140,(AA140+IF($B$1+25&lt;=$B140,12*($B$7-$B$10),-12*($B$6+$B$10)*(1+$B$4)^25))*IF(AA140+IF($B$1+25&lt;=$B140,12*($B$7-$B$10),-12*($B$6+$B$10)*(1+$B$4)^25)&gt;0,1+$B$3,1))</f>
        <v/>
      </c>
      <c r="AC140">
        <f>IF($B$1+26&gt;90,AB140,(AB140+IF($B$1+26&lt;=$B140,12*($B$7-$B$10),-12*($B$6+$B$10)*(1+$B$4)^26))*IF(AB140+IF($B$1+26&lt;=$B140,12*($B$7-$B$10),-12*($B$6+$B$10)*(1+$B$4)^26)&gt;0,1+$B$3,1))</f>
        <v/>
      </c>
      <c r="AD140">
        <f>IF($B$1+27&gt;90,AC140,(AC140+IF($B$1+27&lt;=$B140,12*($B$7-$B$10),-12*($B$6+$B$10)*(1+$B$4)^27))*IF(AC140+IF($B$1+27&lt;=$B140,12*($B$7-$B$10),-12*($B$6+$B$10)*(1+$B$4)^27)&gt;0,1+$B$3,1))</f>
        <v/>
      </c>
      <c r="AE140">
        <f>IF($B$1+28&gt;90,AD140,(AD140+IF($B$1+28&lt;=$B140,12*($B$7-$B$10),-12*($B$6+$B$10)*(1+$B$4)^28))*IF(AD140+IF($B$1+28&lt;=$B140,12*($B$7-$B$10),-12*($B$6+$B$10)*(1+$B$4)^28)&gt;0,1+$B$3,1))</f>
        <v/>
      </c>
      <c r="AF140">
        <f>IF($B$1+29&gt;90,AE140,(AE140+IF($B$1+29&lt;=$B140,12*($B$7-$B$10),-12*($B$6+$B$10)*(1+$B$4)^29))*IF(AE140+IF($B$1+29&lt;=$B140,12*($B$7-$B$10),-12*($B$6+$B$10)*(1+$B$4)^29)&gt;0,1+$B$3,1))</f>
        <v/>
      </c>
      <c r="AG140">
        <f>IF($B$1+30&gt;90,AF140,(AF140+IF($B$1+30&lt;=$B140,12*($B$7-$B$10),-12*($B$6+$B$10)*(1+$B$4)^30))*IF(AF140+IF($B$1+30&lt;=$B140,12*($B$7-$B$10),-12*($B$6+$B$10)*(1+$B$4)^30)&gt;0,1+$B$3,1))</f>
        <v/>
      </c>
      <c r="AH140">
        <f>IF($B$1+31&gt;90,AG140,(AG140+IF($B$1+31&lt;=$B140,12*($B$7-$B$10),-12*($B$6+$B$10)*(1+$B$4)^31))*IF(AG140+IF($B$1+31&lt;=$B140,12*($B$7-$B$10),-12*($B$6+$B$10)*(1+$B$4)^31)&gt;0,1+$B$3,1))</f>
        <v/>
      </c>
      <c r="AI140">
        <f>IF($B$1+32&gt;90,AH140,(AH140+IF($B$1+32&lt;=$B140,12*($B$7-$B$10),-12*($B$6+$B$10)*(1+$B$4)^32))*IF(AH140+IF($B$1+32&lt;=$B140,12*($B$7-$B$10),-12*($B$6+$B$10)*(1+$B$4)^32)&gt;0,1+$B$3,1))</f>
        <v/>
      </c>
      <c r="AJ140">
        <f>IF($B$1+33&gt;90,AI140,(AI140+IF($B$1+33&lt;=$B140,12*($B$7-$B$10),-12*($B$6+$B$10)*(1+$B$4)^33))*IF(AI140+IF($B$1+33&lt;=$B140,12*($B$7-$B$10),-12*($B$6+$B$10)*(1+$B$4)^33)&gt;0,1+$B$3,1))</f>
        <v/>
      </c>
      <c r="AK140">
        <f>IF($B$1+34&gt;90,AJ140,(AJ140+IF($B$1+34&lt;=$B140,12*($B$7-$B$10),-12*($B$6+$B$10)*(1+$B$4)^34))*IF(AJ140+IF($B$1+34&lt;=$B140,12*($B$7-$B$10),-12*($B$6+$B$10)*(1+$B$4)^34)&gt;0,1+$B$3,1))</f>
        <v/>
      </c>
      <c r="AL140">
        <f>IF($B$1+35&gt;90,AK140,(AK140+IF($B$1+35&lt;=$B140,12*($B$7-$B$10),-12*($B$6+$B$10)*(1+$B$4)^35))*IF(AK140+IF($B$1+35&lt;=$B140,12*($B$7-$B$10),-12*($B$6+$B$10)*(1+$B$4)^35)&gt;0,1+$B$3,1))</f>
        <v/>
      </c>
      <c r="AM140">
        <f>IF($B$1+36&gt;90,AL140,(AL140+IF($B$1+36&lt;=$B140,12*($B$7-$B$10),-12*($B$6+$B$10)*(1+$B$4)^36))*IF(AL140+IF($B$1+36&lt;=$B140,12*($B$7-$B$10),-12*($B$6+$B$10)*(1+$B$4)^36)&gt;0,1+$B$3,1))</f>
        <v/>
      </c>
      <c r="AN140">
        <f>IF($B$1+37&gt;90,AM140,(AM140+IF($B$1+37&lt;=$B140,12*($B$7-$B$10),-12*($B$6+$B$10)*(1+$B$4)^37))*IF(AM140+IF($B$1+37&lt;=$B140,12*($B$7-$B$10),-12*($B$6+$B$10)*(1+$B$4)^37)&gt;0,1+$B$3,1))</f>
        <v/>
      </c>
      <c r="AO140">
        <f>IF($B$1+38&gt;90,AN140,(AN140+IF($B$1+38&lt;=$B140,12*($B$7-$B$10),-12*($B$6+$B$10)*(1+$B$4)^38))*IF(AN140+IF($B$1+38&lt;=$B140,12*($B$7-$B$10),-12*($B$6+$B$10)*(1+$B$4)^38)&gt;0,1+$B$3,1))</f>
        <v/>
      </c>
      <c r="AP140">
        <f>IF($B$1+39&gt;90,AO140,(AO140+IF($B$1+39&lt;=$B140,12*($B$7-$B$10),-12*($B$6+$B$10)*(1+$B$4)^39))*IF(AO140+IF($B$1+39&lt;=$B140,12*($B$7-$B$10),-12*($B$6+$B$10)*(1+$B$4)^39)&gt;0,1+$B$3,1))</f>
        <v/>
      </c>
      <c r="AQ140">
        <f>IF($B$1+40&gt;90,AP140,(AP140+IF($B$1+40&lt;=$B140,12*($B$7-$B$10),-12*($B$6+$B$10)*(1+$B$4)^40))*IF(AP140+IF($B$1+40&lt;=$B140,12*($B$7-$B$10),-12*($B$6+$B$10)*(1+$B$4)^40)&gt;0,1+$B$3,1))</f>
        <v/>
      </c>
      <c r="AR140">
        <f>IF($B$1+41&gt;90,AQ140,(AQ140+IF($B$1+41&lt;=$B140,12*($B$7-$B$10),-12*($B$6+$B$10)*(1+$B$4)^41))*IF(AQ140+IF($B$1+41&lt;=$B140,12*($B$7-$B$10),-12*($B$6+$B$10)*(1+$B$4)^41)&gt;0,1+$B$3,1))</f>
        <v/>
      </c>
      <c r="AS140">
        <f>IF($B$1+42&gt;90,AR140,(AR140+IF($B$1+42&lt;=$B140,12*($B$7-$B$10),-12*($B$6+$B$10)*(1+$B$4)^42))*IF(AR140+IF($B$1+42&lt;=$B140,12*($B$7-$B$10),-12*($B$6+$B$10)*(1+$B$4)^42)&gt;0,1+$B$3,1))</f>
        <v/>
      </c>
      <c r="AT140">
        <f>IF($B$1+43&gt;90,AS140,(AS140+IF($B$1+43&lt;=$B140,12*($B$7-$B$10),-12*($B$6+$B$10)*(1+$B$4)^43))*IF(AS140+IF($B$1+43&lt;=$B140,12*($B$7-$B$10),-12*($B$6+$B$10)*(1+$B$4)^43)&gt;0,1+$B$3,1))</f>
        <v/>
      </c>
      <c r="AU140">
        <f>IF($B$1+44&gt;90,AT140,(AT140+IF($B$1+44&lt;=$B140,12*($B$7-$B$10),-12*($B$6+$B$10)*(1+$B$4)^44))*IF(AT140+IF($B$1+44&lt;=$B140,12*($B$7-$B$10),-12*($B$6+$B$10)*(1+$B$4)^44)&gt;0,1+$B$3,1))</f>
        <v/>
      </c>
      <c r="AV140">
        <f>IF($B$1+45&gt;90,AU140,(AU140+IF($B$1+45&lt;=$B140,12*($B$7-$B$10),-12*($B$6+$B$10)*(1+$B$4)^45))*IF(AU140+IF($B$1+45&lt;=$B140,12*($B$7-$B$10),-12*($B$6+$B$10)*(1+$B$4)^45)&gt;0,1+$B$3,1))</f>
        <v/>
      </c>
      <c r="AW140">
        <f>IF($B$1+46&gt;90,AV140,(AV140+IF($B$1+46&lt;=$B140,12*($B$7-$B$10),-12*($B$6+$B$10)*(1+$B$4)^46))*IF(AV140+IF($B$1+46&lt;=$B140,12*($B$7-$B$10),-12*($B$6+$B$10)*(1+$B$4)^46)&gt;0,1+$B$3,1))</f>
        <v/>
      </c>
      <c r="AX140">
        <f>IF($B$1+47&gt;90,AW140,(AW140+IF($B$1+47&lt;=$B140,12*($B$7-$B$10),-12*($B$6+$B$10)*(1+$B$4)^47))*IF(AW140+IF($B$1+47&lt;=$B140,12*($B$7-$B$10),-12*($B$6+$B$10)*(1+$B$4)^47)&gt;0,1+$B$3,1))</f>
        <v/>
      </c>
      <c r="AY140">
        <f>IF($B$1+48&gt;90,AX140,(AX140+IF($B$1+48&lt;=$B140,12*($B$7-$B$10),-12*($B$6+$B$10)*(1+$B$4)^48))*IF(AX140+IF($B$1+48&lt;=$B140,12*($B$7-$B$10),-12*($B$6+$B$10)*(1+$B$4)^48)&gt;0,1+$B$3,1))</f>
        <v/>
      </c>
      <c r="AZ140">
        <f>IF($B$1+49&gt;90,AY140,(AY140+IF($B$1+49&lt;=$B140,12*($B$7-$B$10),-12*($B$6+$B$10)*(1+$B$4)^49))*IF(AY140+IF($B$1+49&lt;=$B140,12*($B$7-$B$10),-12*($B$6+$B$10)*(1+$B$4)^49)&gt;0,1+$B$3,1))</f>
        <v/>
      </c>
      <c r="BA140">
        <f>IF($B$1+50&gt;90,AZ140,(AZ140+IF($B$1+50&lt;=$B140,12*($B$7-$B$10),-12*($B$6+$B$10)*(1+$B$4)^50))*IF(AZ140+IF($B$1+50&lt;=$B140,12*($B$7-$B$10),-12*($B$6+$B$10)*(1+$B$4)^50)&gt;0,1+$B$3,1))</f>
        <v/>
      </c>
      <c r="BB140">
        <f>IF($B$1+51&gt;90,BA140,(BA140+IF($B$1+51&lt;=$B140,12*($B$7-$B$10),-12*($B$6+$B$10)*(1+$B$4)^51))*IF(BA140+IF($B$1+51&lt;=$B140,12*($B$7-$B$10),-12*($B$6+$B$10)*(1+$B$4)^51)&gt;0,1+$B$3,1))</f>
        <v/>
      </c>
      <c r="BC140">
        <f>IF($B$1+52&gt;90,BB140,(BB140+IF($B$1+52&lt;=$B140,12*($B$7-$B$10),-12*($B$6+$B$10)*(1+$B$4)^52))*IF(BB140+IF($B$1+52&lt;=$B140,12*($B$7-$B$10),-12*($B$6+$B$10)*(1+$B$4)^52)&gt;0,1+$B$3,1))</f>
        <v/>
      </c>
      <c r="BD140">
        <f>IF($B$1+53&gt;90,BC140,(BC140+IF($B$1+53&lt;=$B140,12*($B$7-$B$10),-12*($B$6+$B$10)*(1+$B$4)^53))*IF(BC140+IF($B$1+53&lt;=$B140,12*($B$7-$B$10),-12*($B$6+$B$10)*(1+$B$4)^53)&gt;0,1+$B$3,1))</f>
        <v/>
      </c>
      <c r="BE140">
        <f>IF($B$1+54&gt;90,BD140,(BD140+IF($B$1+54&lt;=$B140,12*($B$7-$B$10),-12*($B$6+$B$10)*(1+$B$4)^54))*IF(BD140+IF($B$1+54&lt;=$B140,12*($B$7-$B$10),-12*($B$6+$B$10)*(1+$B$4)^54)&gt;0,1+$B$3,1))</f>
        <v/>
      </c>
      <c r="BF140">
        <f>IF($B$1+55&gt;90,BE140,(BE140+IF($B$1+55&lt;=$B140,12*($B$7-$B$10),-12*($B$6+$B$10)*(1+$B$4)^55))*IF(BE140+IF($B$1+55&lt;=$B140,12*($B$7-$B$10),-12*($B$6+$B$10)*(1+$B$4)^55)&gt;0,1+$B$3,1))</f>
        <v/>
      </c>
      <c r="BG140">
        <f>IF($B$1+56&gt;90,BF140,(BF140+IF($B$1+56&lt;=$B140,12*($B$7-$B$10),-12*($B$6+$B$10)*(1+$B$4)^56))*IF(BF140+IF($B$1+56&lt;=$B140,12*($B$7-$B$10),-12*($B$6+$B$10)*(1+$B$4)^56)&gt;0,1+$B$3,1))</f>
        <v/>
      </c>
      <c r="BH140">
        <f>IF($B$1+57&gt;90,BG140,(BG140+IF($B$1+57&lt;=$B140,12*($B$7-$B$10),-12*($B$6+$B$10)*(1+$B$4)^57))*IF(BG140+IF($B$1+57&lt;=$B140,12*($B$7-$B$10),-12*($B$6+$B$10)*(1+$B$4)^57)&gt;0,1+$B$3,1))</f>
        <v/>
      </c>
      <c r="BI140">
        <f>IF($B$1+58&gt;90,BH140,(BH140+IF($B$1+58&lt;=$B140,12*($B$7-$B$10),-12*($B$6+$B$10)*(1+$B$4)^58))*IF(BH140+IF($B$1+58&lt;=$B140,12*($B$7-$B$10),-12*($B$6+$B$10)*(1+$B$4)^58)&gt;0,1+$B$3,1))</f>
        <v/>
      </c>
      <c r="BJ140">
        <f>IF($B$1+59&gt;90,BI140,(BI140+IF($B$1+59&lt;=$B140,12*($B$7-$B$10),-12*($B$6+$B$10)*(1+$B$4)^59))*IF(BI140+IF($B$1+59&lt;=$B140,12*($B$7-$B$10),-12*($B$6+$B$10)*(1+$B$4)^59)&gt;0,1+$B$3,1))</f>
        <v/>
      </c>
      <c r="BK140">
        <f>IF($B$1+60&gt;90,BJ140,(BJ140+IF($B$1+60&lt;=$B140,12*($B$7-$B$10),-12*($B$6+$B$10)*(1+$B$4)^60))*IF(BJ140+IF($B$1+60&lt;=$B140,12*($B$7-$B$10),-12*($B$6+$B$10)*(1+$B$4)^60)&gt;0,1+$B$3,1))</f>
        <v/>
      </c>
      <c r="BL140">
        <f>IF($B$1+61&gt;90,BK140,(BK140+IF($B$1+61&lt;=$B140,12*($B$7-$B$10),-12*($B$6+$B$10)*(1+$B$4)^61))*IF(BK140+IF($B$1+61&lt;=$B140,12*($B$7-$B$10),-12*($B$6+$B$10)*(1+$B$4)^61)&gt;0,1+$B$3,1))</f>
        <v/>
      </c>
      <c r="BM140">
        <f>IF($B$1+62&gt;90,BL140,(BL140+IF($B$1+62&lt;=$B140,12*($B$7-$B$10),-12*($B$6+$B$10)*(1+$B$4)^62))*IF(BL140+IF($B$1+62&lt;=$B140,12*($B$7-$B$10),-12*($B$6+$B$10)*(1+$B$4)^62)&gt;0,1+$B$3,1))</f>
        <v/>
      </c>
      <c r="BN140">
        <f>IF($B$1+63&gt;90,BM140,(BM140+IF($B$1+63&lt;=$B140,12*($B$7-$B$10),-12*($B$6+$B$10)*(1+$B$4)^63))*IF(BM140+IF($B$1+63&lt;=$B140,12*($B$7-$B$10),-12*($B$6+$B$10)*(1+$B$4)^63)&gt;0,1+$B$3,1))</f>
        <v/>
      </c>
      <c r="BO140">
        <f>IF($B$1+64&gt;90,BN140,(BN140+IF($B$1+64&lt;=$B140,12*($B$7-$B$10),-12*($B$6+$B$10)*(1+$B$4)^64))*IF(BN140+IF($B$1+64&lt;=$B140,12*($B$7-$B$10),-12*($B$6+$B$10)*(1+$B$4)^64)&gt;0,1+$B$3,1))</f>
        <v/>
      </c>
      <c r="BP140">
        <f>IF($B$1+65&gt;90,BO140,(BO140+IF($B$1+65&lt;=$B140,12*($B$7-$B$10),-12*($B$6+$B$10)*(1+$B$4)^65))*IF(BO140+IF($B$1+65&lt;=$B140,12*($B$7-$B$10),-12*($B$6+$B$10)*(1+$B$4)^65)&gt;0,1+$B$3,1))</f>
        <v/>
      </c>
      <c r="BQ140">
        <f>IF($B$1+66&gt;90,BP140,(BP140+IF($B$1+66&lt;=$B140,12*($B$7-$B$10),-12*($B$6+$B$10)*(1+$B$4)^66))*IF(BP140+IF($B$1+66&lt;=$B140,12*($B$7-$B$10),-12*($B$6+$B$10)*(1+$B$4)^66)&gt;0,1+$B$3,1))</f>
        <v/>
      </c>
      <c r="BR140">
        <f>IF($B$1+67&gt;90,BQ140,(BQ140+IF($B$1+67&lt;=$B140,12*($B$7-$B$10),-12*($B$6+$B$10)*(1+$B$4)^67))*IF(BQ140+IF($B$1+67&lt;=$B140,12*($B$7-$B$10),-12*($B$6+$B$10)*(1+$B$4)^67)&gt;0,1+$B$3,1))</f>
        <v/>
      </c>
      <c r="BS140">
        <f>IF($B$1+68&gt;90,BR140,(BR140+IF($B$1+68&lt;=$B140,12*($B$7-$B$10),-12*($B$6+$B$10)*(1+$B$4)^68))*IF(BR140+IF($B$1+68&lt;=$B140,12*($B$7-$B$10),-12*($B$6+$B$10)*(1+$B$4)^68)&gt;0,1+$B$3,1))</f>
        <v/>
      </c>
      <c r="BT140">
        <f>IF($B$1+69&gt;90,BS140,(BS140+IF($B$1+69&lt;=$B140,12*($B$7-$B$10),-12*($B$6+$B$10)*(1+$B$4)^69))*IF(BS140+IF($B$1+69&lt;=$B140,12*($B$7-$B$10),-12*($B$6+$B$10)*(1+$B$4)^69)&gt;0,1+$B$3,1))</f>
        <v/>
      </c>
      <c r="BU140">
        <f>IF($B$1+70&gt;90,BT140,(BT140+IF($B$1+70&lt;=$B140,12*($B$7-$B$10),-12*($B$6+$B$10)*(1+$B$4)^70))*IF(BT140+IF($B$1+70&lt;=$B140,12*($B$7-$B$10),-12*($B$6+$B$10)*(1+$B$4)^70)&gt;0,1+$B$3,1))</f>
        <v/>
      </c>
      <c r="BV140">
        <f>BU140</f>
        <v/>
      </c>
      <c r="BW140">
        <f>IF(AND($B140&lt;=70,BV140&gt;0),$B140,999)</f>
        <v/>
      </c>
    </row>
    <row r="141">
      <c r="A141" t="n">
        <v>45</v>
      </c>
      <c r="B141">
        <f>$B$1+45</f>
        <v/>
      </c>
      <c r="C141">
        <f>$B$2</f>
        <v/>
      </c>
      <c r="D141">
        <f>IF($B$1+1&gt;90,C141,(C141+IF($B$1+1&lt;=$B141,12*($B$7-$B$10),-12*($B$6+$B$10)*(1+$B$4)^1))*IF(C141+IF($B$1+1&lt;=$B141,12*($B$7-$B$10),-12*($B$6+$B$10)*(1+$B$4)^1)&gt;0,1+$B$3,1))</f>
        <v/>
      </c>
      <c r="E141">
        <f>IF($B$1+2&gt;90,D141,(D141+IF($B$1+2&lt;=$B141,12*($B$7-$B$10),-12*($B$6+$B$10)*(1+$B$4)^2))*IF(D141+IF($B$1+2&lt;=$B141,12*($B$7-$B$10),-12*($B$6+$B$10)*(1+$B$4)^2)&gt;0,1+$B$3,1))</f>
        <v/>
      </c>
      <c r="F141">
        <f>IF($B$1+3&gt;90,E141,(E141+IF($B$1+3&lt;=$B141,12*($B$7-$B$10),-12*($B$6+$B$10)*(1+$B$4)^3))*IF(E141+IF($B$1+3&lt;=$B141,12*($B$7-$B$10),-12*($B$6+$B$10)*(1+$B$4)^3)&gt;0,1+$B$3,1))</f>
        <v/>
      </c>
      <c r="G141">
        <f>IF($B$1+4&gt;90,F141,(F141+IF($B$1+4&lt;=$B141,12*($B$7-$B$10),-12*($B$6+$B$10)*(1+$B$4)^4))*IF(F141+IF($B$1+4&lt;=$B141,12*($B$7-$B$10),-12*($B$6+$B$10)*(1+$B$4)^4)&gt;0,1+$B$3,1))</f>
        <v/>
      </c>
      <c r="H141">
        <f>IF($B$1+5&gt;90,G141,(G141+IF($B$1+5&lt;=$B141,12*($B$7-$B$10),-12*($B$6+$B$10)*(1+$B$4)^5))*IF(G141+IF($B$1+5&lt;=$B141,12*($B$7-$B$10),-12*($B$6+$B$10)*(1+$B$4)^5)&gt;0,1+$B$3,1))</f>
        <v/>
      </c>
      <c r="I141">
        <f>IF($B$1+6&gt;90,H141,(H141+IF($B$1+6&lt;=$B141,12*($B$7-$B$10),-12*($B$6+$B$10)*(1+$B$4)^6))*IF(H141+IF($B$1+6&lt;=$B141,12*($B$7-$B$10),-12*($B$6+$B$10)*(1+$B$4)^6)&gt;0,1+$B$3,1))</f>
        <v/>
      </c>
      <c r="J141">
        <f>IF($B$1+7&gt;90,I141,(I141+IF($B$1+7&lt;=$B141,12*($B$7-$B$10),-12*($B$6+$B$10)*(1+$B$4)^7))*IF(I141+IF($B$1+7&lt;=$B141,12*($B$7-$B$10),-12*($B$6+$B$10)*(1+$B$4)^7)&gt;0,1+$B$3,1))</f>
        <v/>
      </c>
      <c r="K141">
        <f>IF($B$1+8&gt;90,J141,(J141+IF($B$1+8&lt;=$B141,12*($B$7-$B$10),-12*($B$6+$B$10)*(1+$B$4)^8))*IF(J141+IF($B$1+8&lt;=$B141,12*($B$7-$B$10),-12*($B$6+$B$10)*(1+$B$4)^8)&gt;0,1+$B$3,1))</f>
        <v/>
      </c>
      <c r="L141">
        <f>IF($B$1+9&gt;90,K141,(K141+IF($B$1+9&lt;=$B141,12*($B$7-$B$10),-12*($B$6+$B$10)*(1+$B$4)^9))*IF(K141+IF($B$1+9&lt;=$B141,12*($B$7-$B$10),-12*($B$6+$B$10)*(1+$B$4)^9)&gt;0,1+$B$3,1))</f>
        <v/>
      </c>
      <c r="M141">
        <f>IF($B$1+10&gt;90,L141,(L141+IF($B$1+10&lt;=$B141,12*($B$7-$B$10),-12*($B$6+$B$10)*(1+$B$4)^10))*IF(L141+IF($B$1+10&lt;=$B141,12*($B$7-$B$10),-12*($B$6+$B$10)*(1+$B$4)^10)&gt;0,1+$B$3,1))</f>
        <v/>
      </c>
      <c r="N141">
        <f>IF($B$1+11&gt;90,M141,(M141+IF($B$1+11&lt;=$B141,12*($B$7-$B$10),-12*($B$6+$B$10)*(1+$B$4)^11))*IF(M141+IF($B$1+11&lt;=$B141,12*($B$7-$B$10),-12*($B$6+$B$10)*(1+$B$4)^11)&gt;0,1+$B$3,1))</f>
        <v/>
      </c>
      <c r="O141">
        <f>IF($B$1+12&gt;90,N141,(N141+IF($B$1+12&lt;=$B141,12*($B$7-$B$10),-12*($B$6+$B$10)*(1+$B$4)^12))*IF(N141+IF($B$1+12&lt;=$B141,12*($B$7-$B$10),-12*($B$6+$B$10)*(1+$B$4)^12)&gt;0,1+$B$3,1))</f>
        <v/>
      </c>
      <c r="P141">
        <f>IF($B$1+13&gt;90,O141,(O141+IF($B$1+13&lt;=$B141,12*($B$7-$B$10),-12*($B$6+$B$10)*(1+$B$4)^13))*IF(O141+IF($B$1+13&lt;=$B141,12*($B$7-$B$10),-12*($B$6+$B$10)*(1+$B$4)^13)&gt;0,1+$B$3,1))</f>
        <v/>
      </c>
      <c r="Q141">
        <f>IF($B$1+14&gt;90,P141,(P141+IF($B$1+14&lt;=$B141,12*($B$7-$B$10),-12*($B$6+$B$10)*(1+$B$4)^14))*IF(P141+IF($B$1+14&lt;=$B141,12*($B$7-$B$10),-12*($B$6+$B$10)*(1+$B$4)^14)&gt;0,1+$B$3,1))</f>
        <v/>
      </c>
      <c r="R141">
        <f>IF($B$1+15&gt;90,Q141,(Q141+IF($B$1+15&lt;=$B141,12*($B$7-$B$10),-12*($B$6+$B$10)*(1+$B$4)^15))*IF(Q141+IF($B$1+15&lt;=$B141,12*($B$7-$B$10),-12*($B$6+$B$10)*(1+$B$4)^15)&gt;0,1+$B$3,1))</f>
        <v/>
      </c>
      <c r="S141">
        <f>IF($B$1+16&gt;90,R141,(R141+IF($B$1+16&lt;=$B141,12*($B$7-$B$10),-12*($B$6+$B$10)*(1+$B$4)^16))*IF(R141+IF($B$1+16&lt;=$B141,12*($B$7-$B$10),-12*($B$6+$B$10)*(1+$B$4)^16)&gt;0,1+$B$3,1))</f>
        <v/>
      </c>
      <c r="T141">
        <f>IF($B$1+17&gt;90,S141,(S141+IF($B$1+17&lt;=$B141,12*($B$7-$B$10),-12*($B$6+$B$10)*(1+$B$4)^17))*IF(S141+IF($B$1+17&lt;=$B141,12*($B$7-$B$10),-12*($B$6+$B$10)*(1+$B$4)^17)&gt;0,1+$B$3,1))</f>
        <v/>
      </c>
      <c r="U141">
        <f>IF($B$1+18&gt;90,T141,(T141+IF($B$1+18&lt;=$B141,12*($B$7-$B$10),-12*($B$6+$B$10)*(1+$B$4)^18))*IF(T141+IF($B$1+18&lt;=$B141,12*($B$7-$B$10),-12*($B$6+$B$10)*(1+$B$4)^18)&gt;0,1+$B$3,1))</f>
        <v/>
      </c>
      <c r="V141">
        <f>IF($B$1+19&gt;90,U141,(U141+IF($B$1+19&lt;=$B141,12*($B$7-$B$10),-12*($B$6+$B$10)*(1+$B$4)^19))*IF(U141+IF($B$1+19&lt;=$B141,12*($B$7-$B$10),-12*($B$6+$B$10)*(1+$B$4)^19)&gt;0,1+$B$3,1))</f>
        <v/>
      </c>
      <c r="W141">
        <f>IF($B$1+20&gt;90,V141,(V141+IF($B$1+20&lt;=$B141,12*($B$7-$B$10),-12*($B$6+$B$10)*(1+$B$4)^20))*IF(V141+IF($B$1+20&lt;=$B141,12*($B$7-$B$10),-12*($B$6+$B$10)*(1+$B$4)^20)&gt;0,1+$B$3,1))</f>
        <v/>
      </c>
      <c r="X141">
        <f>IF($B$1+21&gt;90,W141,(W141+IF($B$1+21&lt;=$B141,12*($B$7-$B$10),-12*($B$6+$B$10)*(1+$B$4)^21))*IF(W141+IF($B$1+21&lt;=$B141,12*($B$7-$B$10),-12*($B$6+$B$10)*(1+$B$4)^21)&gt;0,1+$B$3,1))</f>
        <v/>
      </c>
      <c r="Y141">
        <f>IF($B$1+22&gt;90,X141,(X141+IF($B$1+22&lt;=$B141,12*($B$7-$B$10),-12*($B$6+$B$10)*(1+$B$4)^22))*IF(X141+IF($B$1+22&lt;=$B141,12*($B$7-$B$10),-12*($B$6+$B$10)*(1+$B$4)^22)&gt;0,1+$B$3,1))</f>
        <v/>
      </c>
      <c r="Z141">
        <f>IF($B$1+23&gt;90,Y141,(Y141+IF($B$1+23&lt;=$B141,12*($B$7-$B$10),-12*($B$6+$B$10)*(1+$B$4)^23))*IF(Y141+IF($B$1+23&lt;=$B141,12*($B$7-$B$10),-12*($B$6+$B$10)*(1+$B$4)^23)&gt;0,1+$B$3,1))</f>
        <v/>
      </c>
      <c r="AA141">
        <f>IF($B$1+24&gt;90,Z141,(Z141+IF($B$1+24&lt;=$B141,12*($B$7-$B$10),-12*($B$6+$B$10)*(1+$B$4)^24))*IF(Z141+IF($B$1+24&lt;=$B141,12*($B$7-$B$10),-12*($B$6+$B$10)*(1+$B$4)^24)&gt;0,1+$B$3,1))</f>
        <v/>
      </c>
      <c r="AB141">
        <f>IF($B$1+25&gt;90,AA141,(AA141+IF($B$1+25&lt;=$B141,12*($B$7-$B$10),-12*($B$6+$B$10)*(1+$B$4)^25))*IF(AA141+IF($B$1+25&lt;=$B141,12*($B$7-$B$10),-12*($B$6+$B$10)*(1+$B$4)^25)&gt;0,1+$B$3,1))</f>
        <v/>
      </c>
      <c r="AC141">
        <f>IF($B$1+26&gt;90,AB141,(AB141+IF($B$1+26&lt;=$B141,12*($B$7-$B$10),-12*($B$6+$B$10)*(1+$B$4)^26))*IF(AB141+IF($B$1+26&lt;=$B141,12*($B$7-$B$10),-12*($B$6+$B$10)*(1+$B$4)^26)&gt;0,1+$B$3,1))</f>
        <v/>
      </c>
      <c r="AD141">
        <f>IF($B$1+27&gt;90,AC141,(AC141+IF($B$1+27&lt;=$B141,12*($B$7-$B$10),-12*($B$6+$B$10)*(1+$B$4)^27))*IF(AC141+IF($B$1+27&lt;=$B141,12*($B$7-$B$10),-12*($B$6+$B$10)*(1+$B$4)^27)&gt;0,1+$B$3,1))</f>
        <v/>
      </c>
      <c r="AE141">
        <f>IF($B$1+28&gt;90,AD141,(AD141+IF($B$1+28&lt;=$B141,12*($B$7-$B$10),-12*($B$6+$B$10)*(1+$B$4)^28))*IF(AD141+IF($B$1+28&lt;=$B141,12*($B$7-$B$10),-12*($B$6+$B$10)*(1+$B$4)^28)&gt;0,1+$B$3,1))</f>
        <v/>
      </c>
      <c r="AF141">
        <f>IF($B$1+29&gt;90,AE141,(AE141+IF($B$1+29&lt;=$B141,12*($B$7-$B$10),-12*($B$6+$B$10)*(1+$B$4)^29))*IF(AE141+IF($B$1+29&lt;=$B141,12*($B$7-$B$10),-12*($B$6+$B$10)*(1+$B$4)^29)&gt;0,1+$B$3,1))</f>
        <v/>
      </c>
      <c r="AG141">
        <f>IF($B$1+30&gt;90,AF141,(AF141+IF($B$1+30&lt;=$B141,12*($B$7-$B$10),-12*($B$6+$B$10)*(1+$B$4)^30))*IF(AF141+IF($B$1+30&lt;=$B141,12*($B$7-$B$10),-12*($B$6+$B$10)*(1+$B$4)^30)&gt;0,1+$B$3,1))</f>
        <v/>
      </c>
      <c r="AH141">
        <f>IF($B$1+31&gt;90,AG141,(AG141+IF($B$1+31&lt;=$B141,12*($B$7-$B$10),-12*($B$6+$B$10)*(1+$B$4)^31))*IF(AG141+IF($B$1+31&lt;=$B141,12*($B$7-$B$10),-12*($B$6+$B$10)*(1+$B$4)^31)&gt;0,1+$B$3,1))</f>
        <v/>
      </c>
      <c r="AI141">
        <f>IF($B$1+32&gt;90,AH141,(AH141+IF($B$1+32&lt;=$B141,12*($B$7-$B$10),-12*($B$6+$B$10)*(1+$B$4)^32))*IF(AH141+IF($B$1+32&lt;=$B141,12*($B$7-$B$10),-12*($B$6+$B$10)*(1+$B$4)^32)&gt;0,1+$B$3,1))</f>
        <v/>
      </c>
      <c r="AJ141">
        <f>IF($B$1+33&gt;90,AI141,(AI141+IF($B$1+33&lt;=$B141,12*($B$7-$B$10),-12*($B$6+$B$10)*(1+$B$4)^33))*IF(AI141+IF($B$1+33&lt;=$B141,12*($B$7-$B$10),-12*($B$6+$B$10)*(1+$B$4)^33)&gt;0,1+$B$3,1))</f>
        <v/>
      </c>
      <c r="AK141">
        <f>IF($B$1+34&gt;90,AJ141,(AJ141+IF($B$1+34&lt;=$B141,12*($B$7-$B$10),-12*($B$6+$B$10)*(1+$B$4)^34))*IF(AJ141+IF($B$1+34&lt;=$B141,12*($B$7-$B$10),-12*($B$6+$B$10)*(1+$B$4)^34)&gt;0,1+$B$3,1))</f>
        <v/>
      </c>
      <c r="AL141">
        <f>IF($B$1+35&gt;90,AK141,(AK141+IF($B$1+35&lt;=$B141,12*($B$7-$B$10),-12*($B$6+$B$10)*(1+$B$4)^35))*IF(AK141+IF($B$1+35&lt;=$B141,12*($B$7-$B$10),-12*($B$6+$B$10)*(1+$B$4)^35)&gt;0,1+$B$3,1))</f>
        <v/>
      </c>
      <c r="AM141">
        <f>IF($B$1+36&gt;90,AL141,(AL141+IF($B$1+36&lt;=$B141,12*($B$7-$B$10),-12*($B$6+$B$10)*(1+$B$4)^36))*IF(AL141+IF($B$1+36&lt;=$B141,12*($B$7-$B$10),-12*($B$6+$B$10)*(1+$B$4)^36)&gt;0,1+$B$3,1))</f>
        <v/>
      </c>
      <c r="AN141">
        <f>IF($B$1+37&gt;90,AM141,(AM141+IF($B$1+37&lt;=$B141,12*($B$7-$B$10),-12*($B$6+$B$10)*(1+$B$4)^37))*IF(AM141+IF($B$1+37&lt;=$B141,12*($B$7-$B$10),-12*($B$6+$B$10)*(1+$B$4)^37)&gt;0,1+$B$3,1))</f>
        <v/>
      </c>
      <c r="AO141">
        <f>IF($B$1+38&gt;90,AN141,(AN141+IF($B$1+38&lt;=$B141,12*($B$7-$B$10),-12*($B$6+$B$10)*(1+$B$4)^38))*IF(AN141+IF($B$1+38&lt;=$B141,12*($B$7-$B$10),-12*($B$6+$B$10)*(1+$B$4)^38)&gt;0,1+$B$3,1))</f>
        <v/>
      </c>
      <c r="AP141">
        <f>IF($B$1+39&gt;90,AO141,(AO141+IF($B$1+39&lt;=$B141,12*($B$7-$B$10),-12*($B$6+$B$10)*(1+$B$4)^39))*IF(AO141+IF($B$1+39&lt;=$B141,12*($B$7-$B$10),-12*($B$6+$B$10)*(1+$B$4)^39)&gt;0,1+$B$3,1))</f>
        <v/>
      </c>
      <c r="AQ141">
        <f>IF($B$1+40&gt;90,AP141,(AP141+IF($B$1+40&lt;=$B141,12*($B$7-$B$10),-12*($B$6+$B$10)*(1+$B$4)^40))*IF(AP141+IF($B$1+40&lt;=$B141,12*($B$7-$B$10),-12*($B$6+$B$10)*(1+$B$4)^40)&gt;0,1+$B$3,1))</f>
        <v/>
      </c>
      <c r="AR141">
        <f>IF($B$1+41&gt;90,AQ141,(AQ141+IF($B$1+41&lt;=$B141,12*($B$7-$B$10),-12*($B$6+$B$10)*(1+$B$4)^41))*IF(AQ141+IF($B$1+41&lt;=$B141,12*($B$7-$B$10),-12*($B$6+$B$10)*(1+$B$4)^41)&gt;0,1+$B$3,1))</f>
        <v/>
      </c>
      <c r="AS141">
        <f>IF($B$1+42&gt;90,AR141,(AR141+IF($B$1+42&lt;=$B141,12*($B$7-$B$10),-12*($B$6+$B$10)*(1+$B$4)^42))*IF(AR141+IF($B$1+42&lt;=$B141,12*($B$7-$B$10),-12*($B$6+$B$10)*(1+$B$4)^42)&gt;0,1+$B$3,1))</f>
        <v/>
      </c>
      <c r="AT141">
        <f>IF($B$1+43&gt;90,AS141,(AS141+IF($B$1+43&lt;=$B141,12*($B$7-$B$10),-12*($B$6+$B$10)*(1+$B$4)^43))*IF(AS141+IF($B$1+43&lt;=$B141,12*($B$7-$B$10),-12*($B$6+$B$10)*(1+$B$4)^43)&gt;0,1+$B$3,1))</f>
        <v/>
      </c>
      <c r="AU141">
        <f>IF($B$1+44&gt;90,AT141,(AT141+IF($B$1+44&lt;=$B141,12*($B$7-$B$10),-12*($B$6+$B$10)*(1+$B$4)^44))*IF(AT141+IF($B$1+44&lt;=$B141,12*($B$7-$B$10),-12*($B$6+$B$10)*(1+$B$4)^44)&gt;0,1+$B$3,1))</f>
        <v/>
      </c>
      <c r="AV141">
        <f>IF($B$1+45&gt;90,AU141,(AU141+IF($B$1+45&lt;=$B141,12*($B$7-$B$10),-12*($B$6+$B$10)*(1+$B$4)^45))*IF(AU141+IF($B$1+45&lt;=$B141,12*($B$7-$B$10),-12*($B$6+$B$10)*(1+$B$4)^45)&gt;0,1+$B$3,1))</f>
        <v/>
      </c>
      <c r="AW141">
        <f>IF($B$1+46&gt;90,AV141,(AV141+IF($B$1+46&lt;=$B141,12*($B$7-$B$10),-12*($B$6+$B$10)*(1+$B$4)^46))*IF(AV141+IF($B$1+46&lt;=$B141,12*($B$7-$B$10),-12*($B$6+$B$10)*(1+$B$4)^46)&gt;0,1+$B$3,1))</f>
        <v/>
      </c>
      <c r="AX141">
        <f>IF($B$1+47&gt;90,AW141,(AW141+IF($B$1+47&lt;=$B141,12*($B$7-$B$10),-12*($B$6+$B$10)*(1+$B$4)^47))*IF(AW141+IF($B$1+47&lt;=$B141,12*($B$7-$B$10),-12*($B$6+$B$10)*(1+$B$4)^47)&gt;0,1+$B$3,1))</f>
        <v/>
      </c>
      <c r="AY141">
        <f>IF($B$1+48&gt;90,AX141,(AX141+IF($B$1+48&lt;=$B141,12*($B$7-$B$10),-12*($B$6+$B$10)*(1+$B$4)^48))*IF(AX141+IF($B$1+48&lt;=$B141,12*($B$7-$B$10),-12*($B$6+$B$10)*(1+$B$4)^48)&gt;0,1+$B$3,1))</f>
        <v/>
      </c>
      <c r="AZ141">
        <f>IF($B$1+49&gt;90,AY141,(AY141+IF($B$1+49&lt;=$B141,12*($B$7-$B$10),-12*($B$6+$B$10)*(1+$B$4)^49))*IF(AY141+IF($B$1+49&lt;=$B141,12*($B$7-$B$10),-12*($B$6+$B$10)*(1+$B$4)^49)&gt;0,1+$B$3,1))</f>
        <v/>
      </c>
      <c r="BA141">
        <f>IF($B$1+50&gt;90,AZ141,(AZ141+IF($B$1+50&lt;=$B141,12*($B$7-$B$10),-12*($B$6+$B$10)*(1+$B$4)^50))*IF(AZ141+IF($B$1+50&lt;=$B141,12*($B$7-$B$10),-12*($B$6+$B$10)*(1+$B$4)^50)&gt;0,1+$B$3,1))</f>
        <v/>
      </c>
      <c r="BB141">
        <f>IF($B$1+51&gt;90,BA141,(BA141+IF($B$1+51&lt;=$B141,12*($B$7-$B$10),-12*($B$6+$B$10)*(1+$B$4)^51))*IF(BA141+IF($B$1+51&lt;=$B141,12*($B$7-$B$10),-12*($B$6+$B$10)*(1+$B$4)^51)&gt;0,1+$B$3,1))</f>
        <v/>
      </c>
      <c r="BC141">
        <f>IF($B$1+52&gt;90,BB141,(BB141+IF($B$1+52&lt;=$B141,12*($B$7-$B$10),-12*($B$6+$B$10)*(1+$B$4)^52))*IF(BB141+IF($B$1+52&lt;=$B141,12*($B$7-$B$10),-12*($B$6+$B$10)*(1+$B$4)^52)&gt;0,1+$B$3,1))</f>
        <v/>
      </c>
      <c r="BD141">
        <f>IF($B$1+53&gt;90,BC141,(BC141+IF($B$1+53&lt;=$B141,12*($B$7-$B$10),-12*($B$6+$B$10)*(1+$B$4)^53))*IF(BC141+IF($B$1+53&lt;=$B141,12*($B$7-$B$10),-12*($B$6+$B$10)*(1+$B$4)^53)&gt;0,1+$B$3,1))</f>
        <v/>
      </c>
      <c r="BE141">
        <f>IF($B$1+54&gt;90,BD141,(BD141+IF($B$1+54&lt;=$B141,12*($B$7-$B$10),-12*($B$6+$B$10)*(1+$B$4)^54))*IF(BD141+IF($B$1+54&lt;=$B141,12*($B$7-$B$10),-12*($B$6+$B$10)*(1+$B$4)^54)&gt;0,1+$B$3,1))</f>
        <v/>
      </c>
      <c r="BF141">
        <f>IF($B$1+55&gt;90,BE141,(BE141+IF($B$1+55&lt;=$B141,12*($B$7-$B$10),-12*($B$6+$B$10)*(1+$B$4)^55))*IF(BE141+IF($B$1+55&lt;=$B141,12*($B$7-$B$10),-12*($B$6+$B$10)*(1+$B$4)^55)&gt;0,1+$B$3,1))</f>
        <v/>
      </c>
      <c r="BG141">
        <f>IF($B$1+56&gt;90,BF141,(BF141+IF($B$1+56&lt;=$B141,12*($B$7-$B$10),-12*($B$6+$B$10)*(1+$B$4)^56))*IF(BF141+IF($B$1+56&lt;=$B141,12*($B$7-$B$10),-12*($B$6+$B$10)*(1+$B$4)^56)&gt;0,1+$B$3,1))</f>
        <v/>
      </c>
      <c r="BH141">
        <f>IF($B$1+57&gt;90,BG141,(BG141+IF($B$1+57&lt;=$B141,12*($B$7-$B$10),-12*($B$6+$B$10)*(1+$B$4)^57))*IF(BG141+IF($B$1+57&lt;=$B141,12*($B$7-$B$10),-12*($B$6+$B$10)*(1+$B$4)^57)&gt;0,1+$B$3,1))</f>
        <v/>
      </c>
      <c r="BI141">
        <f>IF($B$1+58&gt;90,BH141,(BH141+IF($B$1+58&lt;=$B141,12*($B$7-$B$10),-12*($B$6+$B$10)*(1+$B$4)^58))*IF(BH141+IF($B$1+58&lt;=$B141,12*($B$7-$B$10),-12*($B$6+$B$10)*(1+$B$4)^58)&gt;0,1+$B$3,1))</f>
        <v/>
      </c>
      <c r="BJ141">
        <f>IF($B$1+59&gt;90,BI141,(BI141+IF($B$1+59&lt;=$B141,12*($B$7-$B$10),-12*($B$6+$B$10)*(1+$B$4)^59))*IF(BI141+IF($B$1+59&lt;=$B141,12*($B$7-$B$10),-12*($B$6+$B$10)*(1+$B$4)^59)&gt;0,1+$B$3,1))</f>
        <v/>
      </c>
      <c r="BK141">
        <f>IF($B$1+60&gt;90,BJ141,(BJ141+IF($B$1+60&lt;=$B141,12*($B$7-$B$10),-12*($B$6+$B$10)*(1+$B$4)^60))*IF(BJ141+IF($B$1+60&lt;=$B141,12*($B$7-$B$10),-12*($B$6+$B$10)*(1+$B$4)^60)&gt;0,1+$B$3,1))</f>
        <v/>
      </c>
      <c r="BL141">
        <f>IF($B$1+61&gt;90,BK141,(BK141+IF($B$1+61&lt;=$B141,12*($B$7-$B$10),-12*($B$6+$B$10)*(1+$B$4)^61))*IF(BK141+IF($B$1+61&lt;=$B141,12*($B$7-$B$10),-12*($B$6+$B$10)*(1+$B$4)^61)&gt;0,1+$B$3,1))</f>
        <v/>
      </c>
      <c r="BM141">
        <f>IF($B$1+62&gt;90,BL141,(BL141+IF($B$1+62&lt;=$B141,12*($B$7-$B$10),-12*($B$6+$B$10)*(1+$B$4)^62))*IF(BL141+IF($B$1+62&lt;=$B141,12*($B$7-$B$10),-12*($B$6+$B$10)*(1+$B$4)^62)&gt;0,1+$B$3,1))</f>
        <v/>
      </c>
      <c r="BN141">
        <f>IF($B$1+63&gt;90,BM141,(BM141+IF($B$1+63&lt;=$B141,12*($B$7-$B$10),-12*($B$6+$B$10)*(1+$B$4)^63))*IF(BM141+IF($B$1+63&lt;=$B141,12*($B$7-$B$10),-12*($B$6+$B$10)*(1+$B$4)^63)&gt;0,1+$B$3,1))</f>
        <v/>
      </c>
      <c r="BO141">
        <f>IF($B$1+64&gt;90,BN141,(BN141+IF($B$1+64&lt;=$B141,12*($B$7-$B$10),-12*($B$6+$B$10)*(1+$B$4)^64))*IF(BN141+IF($B$1+64&lt;=$B141,12*($B$7-$B$10),-12*($B$6+$B$10)*(1+$B$4)^64)&gt;0,1+$B$3,1))</f>
        <v/>
      </c>
      <c r="BP141">
        <f>IF($B$1+65&gt;90,BO141,(BO141+IF($B$1+65&lt;=$B141,12*($B$7-$B$10),-12*($B$6+$B$10)*(1+$B$4)^65))*IF(BO141+IF($B$1+65&lt;=$B141,12*($B$7-$B$10),-12*($B$6+$B$10)*(1+$B$4)^65)&gt;0,1+$B$3,1))</f>
        <v/>
      </c>
      <c r="BQ141">
        <f>IF($B$1+66&gt;90,BP141,(BP141+IF($B$1+66&lt;=$B141,12*($B$7-$B$10),-12*($B$6+$B$10)*(1+$B$4)^66))*IF(BP141+IF($B$1+66&lt;=$B141,12*($B$7-$B$10),-12*($B$6+$B$10)*(1+$B$4)^66)&gt;0,1+$B$3,1))</f>
        <v/>
      </c>
      <c r="BR141">
        <f>IF($B$1+67&gt;90,BQ141,(BQ141+IF($B$1+67&lt;=$B141,12*($B$7-$B$10),-12*($B$6+$B$10)*(1+$B$4)^67))*IF(BQ141+IF($B$1+67&lt;=$B141,12*($B$7-$B$10),-12*($B$6+$B$10)*(1+$B$4)^67)&gt;0,1+$B$3,1))</f>
        <v/>
      </c>
      <c r="BS141">
        <f>IF($B$1+68&gt;90,BR141,(BR141+IF($B$1+68&lt;=$B141,12*($B$7-$B$10),-12*($B$6+$B$10)*(1+$B$4)^68))*IF(BR141+IF($B$1+68&lt;=$B141,12*($B$7-$B$10),-12*($B$6+$B$10)*(1+$B$4)^68)&gt;0,1+$B$3,1))</f>
        <v/>
      </c>
      <c r="BT141">
        <f>IF($B$1+69&gt;90,BS141,(BS141+IF($B$1+69&lt;=$B141,12*($B$7-$B$10),-12*($B$6+$B$10)*(1+$B$4)^69))*IF(BS141+IF($B$1+69&lt;=$B141,12*($B$7-$B$10),-12*($B$6+$B$10)*(1+$B$4)^69)&gt;0,1+$B$3,1))</f>
        <v/>
      </c>
      <c r="BU141">
        <f>IF($B$1+70&gt;90,BT141,(BT141+IF($B$1+70&lt;=$B141,12*($B$7-$B$10),-12*($B$6+$B$10)*(1+$B$4)^70))*IF(BT141+IF($B$1+70&lt;=$B141,12*($B$7-$B$10),-12*($B$6+$B$10)*(1+$B$4)^70)&gt;0,1+$B$3,1))</f>
        <v/>
      </c>
      <c r="BV141">
        <f>BU141</f>
        <v/>
      </c>
      <c r="BW141">
        <f>IF(AND($B141&lt;=70,BV141&gt;0),$B141,999)</f>
        <v/>
      </c>
    </row>
    <row r="142">
      <c r="A142" t="n">
        <v>46</v>
      </c>
      <c r="B142">
        <f>$B$1+46</f>
        <v/>
      </c>
      <c r="C142">
        <f>$B$2</f>
        <v/>
      </c>
      <c r="D142">
        <f>IF($B$1+1&gt;90,C142,(C142+IF($B$1+1&lt;=$B142,12*($B$7-$B$10),-12*($B$6+$B$10)*(1+$B$4)^1))*IF(C142+IF($B$1+1&lt;=$B142,12*($B$7-$B$10),-12*($B$6+$B$10)*(1+$B$4)^1)&gt;0,1+$B$3,1))</f>
        <v/>
      </c>
      <c r="E142">
        <f>IF($B$1+2&gt;90,D142,(D142+IF($B$1+2&lt;=$B142,12*($B$7-$B$10),-12*($B$6+$B$10)*(1+$B$4)^2))*IF(D142+IF($B$1+2&lt;=$B142,12*($B$7-$B$10),-12*($B$6+$B$10)*(1+$B$4)^2)&gt;0,1+$B$3,1))</f>
        <v/>
      </c>
      <c r="F142">
        <f>IF($B$1+3&gt;90,E142,(E142+IF($B$1+3&lt;=$B142,12*($B$7-$B$10),-12*($B$6+$B$10)*(1+$B$4)^3))*IF(E142+IF($B$1+3&lt;=$B142,12*($B$7-$B$10),-12*($B$6+$B$10)*(1+$B$4)^3)&gt;0,1+$B$3,1))</f>
        <v/>
      </c>
      <c r="G142">
        <f>IF($B$1+4&gt;90,F142,(F142+IF($B$1+4&lt;=$B142,12*($B$7-$B$10),-12*($B$6+$B$10)*(1+$B$4)^4))*IF(F142+IF($B$1+4&lt;=$B142,12*($B$7-$B$10),-12*($B$6+$B$10)*(1+$B$4)^4)&gt;0,1+$B$3,1))</f>
        <v/>
      </c>
      <c r="H142">
        <f>IF($B$1+5&gt;90,G142,(G142+IF($B$1+5&lt;=$B142,12*($B$7-$B$10),-12*($B$6+$B$10)*(1+$B$4)^5))*IF(G142+IF($B$1+5&lt;=$B142,12*($B$7-$B$10),-12*($B$6+$B$10)*(1+$B$4)^5)&gt;0,1+$B$3,1))</f>
        <v/>
      </c>
      <c r="I142">
        <f>IF($B$1+6&gt;90,H142,(H142+IF($B$1+6&lt;=$B142,12*($B$7-$B$10),-12*($B$6+$B$10)*(1+$B$4)^6))*IF(H142+IF($B$1+6&lt;=$B142,12*($B$7-$B$10),-12*($B$6+$B$10)*(1+$B$4)^6)&gt;0,1+$B$3,1))</f>
        <v/>
      </c>
      <c r="J142">
        <f>IF($B$1+7&gt;90,I142,(I142+IF($B$1+7&lt;=$B142,12*($B$7-$B$10),-12*($B$6+$B$10)*(1+$B$4)^7))*IF(I142+IF($B$1+7&lt;=$B142,12*($B$7-$B$10),-12*($B$6+$B$10)*(1+$B$4)^7)&gt;0,1+$B$3,1))</f>
        <v/>
      </c>
      <c r="K142">
        <f>IF($B$1+8&gt;90,J142,(J142+IF($B$1+8&lt;=$B142,12*($B$7-$B$10),-12*($B$6+$B$10)*(1+$B$4)^8))*IF(J142+IF($B$1+8&lt;=$B142,12*($B$7-$B$10),-12*($B$6+$B$10)*(1+$B$4)^8)&gt;0,1+$B$3,1))</f>
        <v/>
      </c>
      <c r="L142">
        <f>IF($B$1+9&gt;90,K142,(K142+IF($B$1+9&lt;=$B142,12*($B$7-$B$10),-12*($B$6+$B$10)*(1+$B$4)^9))*IF(K142+IF($B$1+9&lt;=$B142,12*($B$7-$B$10),-12*($B$6+$B$10)*(1+$B$4)^9)&gt;0,1+$B$3,1))</f>
        <v/>
      </c>
      <c r="M142">
        <f>IF($B$1+10&gt;90,L142,(L142+IF($B$1+10&lt;=$B142,12*($B$7-$B$10),-12*($B$6+$B$10)*(1+$B$4)^10))*IF(L142+IF($B$1+10&lt;=$B142,12*($B$7-$B$10),-12*($B$6+$B$10)*(1+$B$4)^10)&gt;0,1+$B$3,1))</f>
        <v/>
      </c>
      <c r="N142">
        <f>IF($B$1+11&gt;90,M142,(M142+IF($B$1+11&lt;=$B142,12*($B$7-$B$10),-12*($B$6+$B$10)*(1+$B$4)^11))*IF(M142+IF($B$1+11&lt;=$B142,12*($B$7-$B$10),-12*($B$6+$B$10)*(1+$B$4)^11)&gt;0,1+$B$3,1))</f>
        <v/>
      </c>
      <c r="O142">
        <f>IF($B$1+12&gt;90,N142,(N142+IF($B$1+12&lt;=$B142,12*($B$7-$B$10),-12*($B$6+$B$10)*(1+$B$4)^12))*IF(N142+IF($B$1+12&lt;=$B142,12*($B$7-$B$10),-12*($B$6+$B$10)*(1+$B$4)^12)&gt;0,1+$B$3,1))</f>
        <v/>
      </c>
      <c r="P142">
        <f>IF($B$1+13&gt;90,O142,(O142+IF($B$1+13&lt;=$B142,12*($B$7-$B$10),-12*($B$6+$B$10)*(1+$B$4)^13))*IF(O142+IF($B$1+13&lt;=$B142,12*($B$7-$B$10),-12*($B$6+$B$10)*(1+$B$4)^13)&gt;0,1+$B$3,1))</f>
        <v/>
      </c>
      <c r="Q142">
        <f>IF($B$1+14&gt;90,P142,(P142+IF($B$1+14&lt;=$B142,12*($B$7-$B$10),-12*($B$6+$B$10)*(1+$B$4)^14))*IF(P142+IF($B$1+14&lt;=$B142,12*($B$7-$B$10),-12*($B$6+$B$10)*(1+$B$4)^14)&gt;0,1+$B$3,1))</f>
        <v/>
      </c>
      <c r="R142">
        <f>IF($B$1+15&gt;90,Q142,(Q142+IF($B$1+15&lt;=$B142,12*($B$7-$B$10),-12*($B$6+$B$10)*(1+$B$4)^15))*IF(Q142+IF($B$1+15&lt;=$B142,12*($B$7-$B$10),-12*($B$6+$B$10)*(1+$B$4)^15)&gt;0,1+$B$3,1))</f>
        <v/>
      </c>
      <c r="S142">
        <f>IF($B$1+16&gt;90,R142,(R142+IF($B$1+16&lt;=$B142,12*($B$7-$B$10),-12*($B$6+$B$10)*(1+$B$4)^16))*IF(R142+IF($B$1+16&lt;=$B142,12*($B$7-$B$10),-12*($B$6+$B$10)*(1+$B$4)^16)&gt;0,1+$B$3,1))</f>
        <v/>
      </c>
      <c r="T142">
        <f>IF($B$1+17&gt;90,S142,(S142+IF($B$1+17&lt;=$B142,12*($B$7-$B$10),-12*($B$6+$B$10)*(1+$B$4)^17))*IF(S142+IF($B$1+17&lt;=$B142,12*($B$7-$B$10),-12*($B$6+$B$10)*(1+$B$4)^17)&gt;0,1+$B$3,1))</f>
        <v/>
      </c>
      <c r="U142">
        <f>IF($B$1+18&gt;90,T142,(T142+IF($B$1+18&lt;=$B142,12*($B$7-$B$10),-12*($B$6+$B$10)*(1+$B$4)^18))*IF(T142+IF($B$1+18&lt;=$B142,12*($B$7-$B$10),-12*($B$6+$B$10)*(1+$B$4)^18)&gt;0,1+$B$3,1))</f>
        <v/>
      </c>
      <c r="V142">
        <f>IF($B$1+19&gt;90,U142,(U142+IF($B$1+19&lt;=$B142,12*($B$7-$B$10),-12*($B$6+$B$10)*(1+$B$4)^19))*IF(U142+IF($B$1+19&lt;=$B142,12*($B$7-$B$10),-12*($B$6+$B$10)*(1+$B$4)^19)&gt;0,1+$B$3,1))</f>
        <v/>
      </c>
      <c r="W142">
        <f>IF($B$1+20&gt;90,V142,(V142+IF($B$1+20&lt;=$B142,12*($B$7-$B$10),-12*($B$6+$B$10)*(1+$B$4)^20))*IF(V142+IF($B$1+20&lt;=$B142,12*($B$7-$B$10),-12*($B$6+$B$10)*(1+$B$4)^20)&gt;0,1+$B$3,1))</f>
        <v/>
      </c>
      <c r="X142">
        <f>IF($B$1+21&gt;90,W142,(W142+IF($B$1+21&lt;=$B142,12*($B$7-$B$10),-12*($B$6+$B$10)*(1+$B$4)^21))*IF(W142+IF($B$1+21&lt;=$B142,12*($B$7-$B$10),-12*($B$6+$B$10)*(1+$B$4)^21)&gt;0,1+$B$3,1))</f>
        <v/>
      </c>
      <c r="Y142">
        <f>IF($B$1+22&gt;90,X142,(X142+IF($B$1+22&lt;=$B142,12*($B$7-$B$10),-12*($B$6+$B$10)*(1+$B$4)^22))*IF(X142+IF($B$1+22&lt;=$B142,12*($B$7-$B$10),-12*($B$6+$B$10)*(1+$B$4)^22)&gt;0,1+$B$3,1))</f>
        <v/>
      </c>
      <c r="Z142">
        <f>IF($B$1+23&gt;90,Y142,(Y142+IF($B$1+23&lt;=$B142,12*($B$7-$B$10),-12*($B$6+$B$10)*(1+$B$4)^23))*IF(Y142+IF($B$1+23&lt;=$B142,12*($B$7-$B$10),-12*($B$6+$B$10)*(1+$B$4)^23)&gt;0,1+$B$3,1))</f>
        <v/>
      </c>
      <c r="AA142">
        <f>IF($B$1+24&gt;90,Z142,(Z142+IF($B$1+24&lt;=$B142,12*($B$7-$B$10),-12*($B$6+$B$10)*(1+$B$4)^24))*IF(Z142+IF($B$1+24&lt;=$B142,12*($B$7-$B$10),-12*($B$6+$B$10)*(1+$B$4)^24)&gt;0,1+$B$3,1))</f>
        <v/>
      </c>
      <c r="AB142">
        <f>IF($B$1+25&gt;90,AA142,(AA142+IF($B$1+25&lt;=$B142,12*($B$7-$B$10),-12*($B$6+$B$10)*(1+$B$4)^25))*IF(AA142+IF($B$1+25&lt;=$B142,12*($B$7-$B$10),-12*($B$6+$B$10)*(1+$B$4)^25)&gt;0,1+$B$3,1))</f>
        <v/>
      </c>
      <c r="AC142">
        <f>IF($B$1+26&gt;90,AB142,(AB142+IF($B$1+26&lt;=$B142,12*($B$7-$B$10),-12*($B$6+$B$10)*(1+$B$4)^26))*IF(AB142+IF($B$1+26&lt;=$B142,12*($B$7-$B$10),-12*($B$6+$B$10)*(1+$B$4)^26)&gt;0,1+$B$3,1))</f>
        <v/>
      </c>
      <c r="AD142">
        <f>IF($B$1+27&gt;90,AC142,(AC142+IF($B$1+27&lt;=$B142,12*($B$7-$B$10),-12*($B$6+$B$10)*(1+$B$4)^27))*IF(AC142+IF($B$1+27&lt;=$B142,12*($B$7-$B$10),-12*($B$6+$B$10)*(1+$B$4)^27)&gt;0,1+$B$3,1))</f>
        <v/>
      </c>
      <c r="AE142">
        <f>IF($B$1+28&gt;90,AD142,(AD142+IF($B$1+28&lt;=$B142,12*($B$7-$B$10),-12*($B$6+$B$10)*(1+$B$4)^28))*IF(AD142+IF($B$1+28&lt;=$B142,12*($B$7-$B$10),-12*($B$6+$B$10)*(1+$B$4)^28)&gt;0,1+$B$3,1))</f>
        <v/>
      </c>
      <c r="AF142">
        <f>IF($B$1+29&gt;90,AE142,(AE142+IF($B$1+29&lt;=$B142,12*($B$7-$B$10),-12*($B$6+$B$10)*(1+$B$4)^29))*IF(AE142+IF($B$1+29&lt;=$B142,12*($B$7-$B$10),-12*($B$6+$B$10)*(1+$B$4)^29)&gt;0,1+$B$3,1))</f>
        <v/>
      </c>
      <c r="AG142">
        <f>IF($B$1+30&gt;90,AF142,(AF142+IF($B$1+30&lt;=$B142,12*($B$7-$B$10),-12*($B$6+$B$10)*(1+$B$4)^30))*IF(AF142+IF($B$1+30&lt;=$B142,12*($B$7-$B$10),-12*($B$6+$B$10)*(1+$B$4)^30)&gt;0,1+$B$3,1))</f>
        <v/>
      </c>
      <c r="AH142">
        <f>IF($B$1+31&gt;90,AG142,(AG142+IF($B$1+31&lt;=$B142,12*($B$7-$B$10),-12*($B$6+$B$10)*(1+$B$4)^31))*IF(AG142+IF($B$1+31&lt;=$B142,12*($B$7-$B$10),-12*($B$6+$B$10)*(1+$B$4)^31)&gt;0,1+$B$3,1))</f>
        <v/>
      </c>
      <c r="AI142">
        <f>IF($B$1+32&gt;90,AH142,(AH142+IF($B$1+32&lt;=$B142,12*($B$7-$B$10),-12*($B$6+$B$10)*(1+$B$4)^32))*IF(AH142+IF($B$1+32&lt;=$B142,12*($B$7-$B$10),-12*($B$6+$B$10)*(1+$B$4)^32)&gt;0,1+$B$3,1))</f>
        <v/>
      </c>
      <c r="AJ142">
        <f>IF($B$1+33&gt;90,AI142,(AI142+IF($B$1+33&lt;=$B142,12*($B$7-$B$10),-12*($B$6+$B$10)*(1+$B$4)^33))*IF(AI142+IF($B$1+33&lt;=$B142,12*($B$7-$B$10),-12*($B$6+$B$10)*(1+$B$4)^33)&gt;0,1+$B$3,1))</f>
        <v/>
      </c>
      <c r="AK142">
        <f>IF($B$1+34&gt;90,AJ142,(AJ142+IF($B$1+34&lt;=$B142,12*($B$7-$B$10),-12*($B$6+$B$10)*(1+$B$4)^34))*IF(AJ142+IF($B$1+34&lt;=$B142,12*($B$7-$B$10),-12*($B$6+$B$10)*(1+$B$4)^34)&gt;0,1+$B$3,1))</f>
        <v/>
      </c>
      <c r="AL142">
        <f>IF($B$1+35&gt;90,AK142,(AK142+IF($B$1+35&lt;=$B142,12*($B$7-$B$10),-12*($B$6+$B$10)*(1+$B$4)^35))*IF(AK142+IF($B$1+35&lt;=$B142,12*($B$7-$B$10),-12*($B$6+$B$10)*(1+$B$4)^35)&gt;0,1+$B$3,1))</f>
        <v/>
      </c>
      <c r="AM142">
        <f>IF($B$1+36&gt;90,AL142,(AL142+IF($B$1+36&lt;=$B142,12*($B$7-$B$10),-12*($B$6+$B$10)*(1+$B$4)^36))*IF(AL142+IF($B$1+36&lt;=$B142,12*($B$7-$B$10),-12*($B$6+$B$10)*(1+$B$4)^36)&gt;0,1+$B$3,1))</f>
        <v/>
      </c>
      <c r="AN142">
        <f>IF($B$1+37&gt;90,AM142,(AM142+IF($B$1+37&lt;=$B142,12*($B$7-$B$10),-12*($B$6+$B$10)*(1+$B$4)^37))*IF(AM142+IF($B$1+37&lt;=$B142,12*($B$7-$B$10),-12*($B$6+$B$10)*(1+$B$4)^37)&gt;0,1+$B$3,1))</f>
        <v/>
      </c>
      <c r="AO142">
        <f>IF($B$1+38&gt;90,AN142,(AN142+IF($B$1+38&lt;=$B142,12*($B$7-$B$10),-12*($B$6+$B$10)*(1+$B$4)^38))*IF(AN142+IF($B$1+38&lt;=$B142,12*($B$7-$B$10),-12*($B$6+$B$10)*(1+$B$4)^38)&gt;0,1+$B$3,1))</f>
        <v/>
      </c>
      <c r="AP142">
        <f>IF($B$1+39&gt;90,AO142,(AO142+IF($B$1+39&lt;=$B142,12*($B$7-$B$10),-12*($B$6+$B$10)*(1+$B$4)^39))*IF(AO142+IF($B$1+39&lt;=$B142,12*($B$7-$B$10),-12*($B$6+$B$10)*(1+$B$4)^39)&gt;0,1+$B$3,1))</f>
        <v/>
      </c>
      <c r="AQ142">
        <f>IF($B$1+40&gt;90,AP142,(AP142+IF($B$1+40&lt;=$B142,12*($B$7-$B$10),-12*($B$6+$B$10)*(1+$B$4)^40))*IF(AP142+IF($B$1+40&lt;=$B142,12*($B$7-$B$10),-12*($B$6+$B$10)*(1+$B$4)^40)&gt;0,1+$B$3,1))</f>
        <v/>
      </c>
      <c r="AR142">
        <f>IF($B$1+41&gt;90,AQ142,(AQ142+IF($B$1+41&lt;=$B142,12*($B$7-$B$10),-12*($B$6+$B$10)*(1+$B$4)^41))*IF(AQ142+IF($B$1+41&lt;=$B142,12*($B$7-$B$10),-12*($B$6+$B$10)*(1+$B$4)^41)&gt;0,1+$B$3,1))</f>
        <v/>
      </c>
      <c r="AS142">
        <f>IF($B$1+42&gt;90,AR142,(AR142+IF($B$1+42&lt;=$B142,12*($B$7-$B$10),-12*($B$6+$B$10)*(1+$B$4)^42))*IF(AR142+IF($B$1+42&lt;=$B142,12*($B$7-$B$10),-12*($B$6+$B$10)*(1+$B$4)^42)&gt;0,1+$B$3,1))</f>
        <v/>
      </c>
      <c r="AT142">
        <f>IF($B$1+43&gt;90,AS142,(AS142+IF($B$1+43&lt;=$B142,12*($B$7-$B$10),-12*($B$6+$B$10)*(1+$B$4)^43))*IF(AS142+IF($B$1+43&lt;=$B142,12*($B$7-$B$10),-12*($B$6+$B$10)*(1+$B$4)^43)&gt;0,1+$B$3,1))</f>
        <v/>
      </c>
      <c r="AU142">
        <f>IF($B$1+44&gt;90,AT142,(AT142+IF($B$1+44&lt;=$B142,12*($B$7-$B$10),-12*($B$6+$B$10)*(1+$B$4)^44))*IF(AT142+IF($B$1+44&lt;=$B142,12*($B$7-$B$10),-12*($B$6+$B$10)*(1+$B$4)^44)&gt;0,1+$B$3,1))</f>
        <v/>
      </c>
      <c r="AV142">
        <f>IF($B$1+45&gt;90,AU142,(AU142+IF($B$1+45&lt;=$B142,12*($B$7-$B$10),-12*($B$6+$B$10)*(1+$B$4)^45))*IF(AU142+IF($B$1+45&lt;=$B142,12*($B$7-$B$10),-12*($B$6+$B$10)*(1+$B$4)^45)&gt;0,1+$B$3,1))</f>
        <v/>
      </c>
      <c r="AW142">
        <f>IF($B$1+46&gt;90,AV142,(AV142+IF($B$1+46&lt;=$B142,12*($B$7-$B$10),-12*($B$6+$B$10)*(1+$B$4)^46))*IF(AV142+IF($B$1+46&lt;=$B142,12*($B$7-$B$10),-12*($B$6+$B$10)*(1+$B$4)^46)&gt;0,1+$B$3,1))</f>
        <v/>
      </c>
      <c r="AX142">
        <f>IF($B$1+47&gt;90,AW142,(AW142+IF($B$1+47&lt;=$B142,12*($B$7-$B$10),-12*($B$6+$B$10)*(1+$B$4)^47))*IF(AW142+IF($B$1+47&lt;=$B142,12*($B$7-$B$10),-12*($B$6+$B$10)*(1+$B$4)^47)&gt;0,1+$B$3,1))</f>
        <v/>
      </c>
      <c r="AY142">
        <f>IF($B$1+48&gt;90,AX142,(AX142+IF($B$1+48&lt;=$B142,12*($B$7-$B$10),-12*($B$6+$B$10)*(1+$B$4)^48))*IF(AX142+IF($B$1+48&lt;=$B142,12*($B$7-$B$10),-12*($B$6+$B$10)*(1+$B$4)^48)&gt;0,1+$B$3,1))</f>
        <v/>
      </c>
      <c r="AZ142">
        <f>IF($B$1+49&gt;90,AY142,(AY142+IF($B$1+49&lt;=$B142,12*($B$7-$B$10),-12*($B$6+$B$10)*(1+$B$4)^49))*IF(AY142+IF($B$1+49&lt;=$B142,12*($B$7-$B$10),-12*($B$6+$B$10)*(1+$B$4)^49)&gt;0,1+$B$3,1))</f>
        <v/>
      </c>
      <c r="BA142">
        <f>IF($B$1+50&gt;90,AZ142,(AZ142+IF($B$1+50&lt;=$B142,12*($B$7-$B$10),-12*($B$6+$B$10)*(1+$B$4)^50))*IF(AZ142+IF($B$1+50&lt;=$B142,12*($B$7-$B$10),-12*($B$6+$B$10)*(1+$B$4)^50)&gt;0,1+$B$3,1))</f>
        <v/>
      </c>
      <c r="BB142">
        <f>IF($B$1+51&gt;90,BA142,(BA142+IF($B$1+51&lt;=$B142,12*($B$7-$B$10),-12*($B$6+$B$10)*(1+$B$4)^51))*IF(BA142+IF($B$1+51&lt;=$B142,12*($B$7-$B$10),-12*($B$6+$B$10)*(1+$B$4)^51)&gt;0,1+$B$3,1))</f>
        <v/>
      </c>
      <c r="BC142">
        <f>IF($B$1+52&gt;90,BB142,(BB142+IF($B$1+52&lt;=$B142,12*($B$7-$B$10),-12*($B$6+$B$10)*(1+$B$4)^52))*IF(BB142+IF($B$1+52&lt;=$B142,12*($B$7-$B$10),-12*($B$6+$B$10)*(1+$B$4)^52)&gt;0,1+$B$3,1))</f>
        <v/>
      </c>
      <c r="BD142">
        <f>IF($B$1+53&gt;90,BC142,(BC142+IF($B$1+53&lt;=$B142,12*($B$7-$B$10),-12*($B$6+$B$10)*(1+$B$4)^53))*IF(BC142+IF($B$1+53&lt;=$B142,12*($B$7-$B$10),-12*($B$6+$B$10)*(1+$B$4)^53)&gt;0,1+$B$3,1))</f>
        <v/>
      </c>
      <c r="BE142">
        <f>IF($B$1+54&gt;90,BD142,(BD142+IF($B$1+54&lt;=$B142,12*($B$7-$B$10),-12*($B$6+$B$10)*(1+$B$4)^54))*IF(BD142+IF($B$1+54&lt;=$B142,12*($B$7-$B$10),-12*($B$6+$B$10)*(1+$B$4)^54)&gt;0,1+$B$3,1))</f>
        <v/>
      </c>
      <c r="BF142">
        <f>IF($B$1+55&gt;90,BE142,(BE142+IF($B$1+55&lt;=$B142,12*($B$7-$B$10),-12*($B$6+$B$10)*(1+$B$4)^55))*IF(BE142+IF($B$1+55&lt;=$B142,12*($B$7-$B$10),-12*($B$6+$B$10)*(1+$B$4)^55)&gt;0,1+$B$3,1))</f>
        <v/>
      </c>
      <c r="BG142">
        <f>IF($B$1+56&gt;90,BF142,(BF142+IF($B$1+56&lt;=$B142,12*($B$7-$B$10),-12*($B$6+$B$10)*(1+$B$4)^56))*IF(BF142+IF($B$1+56&lt;=$B142,12*($B$7-$B$10),-12*($B$6+$B$10)*(1+$B$4)^56)&gt;0,1+$B$3,1))</f>
        <v/>
      </c>
      <c r="BH142">
        <f>IF($B$1+57&gt;90,BG142,(BG142+IF($B$1+57&lt;=$B142,12*($B$7-$B$10),-12*($B$6+$B$10)*(1+$B$4)^57))*IF(BG142+IF($B$1+57&lt;=$B142,12*($B$7-$B$10),-12*($B$6+$B$10)*(1+$B$4)^57)&gt;0,1+$B$3,1))</f>
        <v/>
      </c>
      <c r="BI142">
        <f>IF($B$1+58&gt;90,BH142,(BH142+IF($B$1+58&lt;=$B142,12*($B$7-$B$10),-12*($B$6+$B$10)*(1+$B$4)^58))*IF(BH142+IF($B$1+58&lt;=$B142,12*($B$7-$B$10),-12*($B$6+$B$10)*(1+$B$4)^58)&gt;0,1+$B$3,1))</f>
        <v/>
      </c>
      <c r="BJ142">
        <f>IF($B$1+59&gt;90,BI142,(BI142+IF($B$1+59&lt;=$B142,12*($B$7-$B$10),-12*($B$6+$B$10)*(1+$B$4)^59))*IF(BI142+IF($B$1+59&lt;=$B142,12*($B$7-$B$10),-12*($B$6+$B$10)*(1+$B$4)^59)&gt;0,1+$B$3,1))</f>
        <v/>
      </c>
      <c r="BK142">
        <f>IF($B$1+60&gt;90,BJ142,(BJ142+IF($B$1+60&lt;=$B142,12*($B$7-$B$10),-12*($B$6+$B$10)*(1+$B$4)^60))*IF(BJ142+IF($B$1+60&lt;=$B142,12*($B$7-$B$10),-12*($B$6+$B$10)*(1+$B$4)^60)&gt;0,1+$B$3,1))</f>
        <v/>
      </c>
      <c r="BL142">
        <f>IF($B$1+61&gt;90,BK142,(BK142+IF($B$1+61&lt;=$B142,12*($B$7-$B$10),-12*($B$6+$B$10)*(1+$B$4)^61))*IF(BK142+IF($B$1+61&lt;=$B142,12*($B$7-$B$10),-12*($B$6+$B$10)*(1+$B$4)^61)&gt;0,1+$B$3,1))</f>
        <v/>
      </c>
      <c r="BM142">
        <f>IF($B$1+62&gt;90,BL142,(BL142+IF($B$1+62&lt;=$B142,12*($B$7-$B$10),-12*($B$6+$B$10)*(1+$B$4)^62))*IF(BL142+IF($B$1+62&lt;=$B142,12*($B$7-$B$10),-12*($B$6+$B$10)*(1+$B$4)^62)&gt;0,1+$B$3,1))</f>
        <v/>
      </c>
      <c r="BN142">
        <f>IF($B$1+63&gt;90,BM142,(BM142+IF($B$1+63&lt;=$B142,12*($B$7-$B$10),-12*($B$6+$B$10)*(1+$B$4)^63))*IF(BM142+IF($B$1+63&lt;=$B142,12*($B$7-$B$10),-12*($B$6+$B$10)*(1+$B$4)^63)&gt;0,1+$B$3,1))</f>
        <v/>
      </c>
      <c r="BO142">
        <f>IF($B$1+64&gt;90,BN142,(BN142+IF($B$1+64&lt;=$B142,12*($B$7-$B$10),-12*($B$6+$B$10)*(1+$B$4)^64))*IF(BN142+IF($B$1+64&lt;=$B142,12*($B$7-$B$10),-12*($B$6+$B$10)*(1+$B$4)^64)&gt;0,1+$B$3,1))</f>
        <v/>
      </c>
      <c r="BP142">
        <f>IF($B$1+65&gt;90,BO142,(BO142+IF($B$1+65&lt;=$B142,12*($B$7-$B$10),-12*($B$6+$B$10)*(1+$B$4)^65))*IF(BO142+IF($B$1+65&lt;=$B142,12*($B$7-$B$10),-12*($B$6+$B$10)*(1+$B$4)^65)&gt;0,1+$B$3,1))</f>
        <v/>
      </c>
      <c r="BQ142">
        <f>IF($B$1+66&gt;90,BP142,(BP142+IF($B$1+66&lt;=$B142,12*($B$7-$B$10),-12*($B$6+$B$10)*(1+$B$4)^66))*IF(BP142+IF($B$1+66&lt;=$B142,12*($B$7-$B$10),-12*($B$6+$B$10)*(1+$B$4)^66)&gt;0,1+$B$3,1))</f>
        <v/>
      </c>
      <c r="BR142">
        <f>IF($B$1+67&gt;90,BQ142,(BQ142+IF($B$1+67&lt;=$B142,12*($B$7-$B$10),-12*($B$6+$B$10)*(1+$B$4)^67))*IF(BQ142+IF($B$1+67&lt;=$B142,12*($B$7-$B$10),-12*($B$6+$B$10)*(1+$B$4)^67)&gt;0,1+$B$3,1))</f>
        <v/>
      </c>
      <c r="BS142">
        <f>IF($B$1+68&gt;90,BR142,(BR142+IF($B$1+68&lt;=$B142,12*($B$7-$B$10),-12*($B$6+$B$10)*(1+$B$4)^68))*IF(BR142+IF($B$1+68&lt;=$B142,12*($B$7-$B$10),-12*($B$6+$B$10)*(1+$B$4)^68)&gt;0,1+$B$3,1))</f>
        <v/>
      </c>
      <c r="BT142">
        <f>IF($B$1+69&gt;90,BS142,(BS142+IF($B$1+69&lt;=$B142,12*($B$7-$B$10),-12*($B$6+$B$10)*(1+$B$4)^69))*IF(BS142+IF($B$1+69&lt;=$B142,12*($B$7-$B$10),-12*($B$6+$B$10)*(1+$B$4)^69)&gt;0,1+$B$3,1))</f>
        <v/>
      </c>
      <c r="BU142">
        <f>IF($B$1+70&gt;90,BT142,(BT142+IF($B$1+70&lt;=$B142,12*($B$7-$B$10),-12*($B$6+$B$10)*(1+$B$4)^70))*IF(BT142+IF($B$1+70&lt;=$B142,12*($B$7-$B$10),-12*($B$6+$B$10)*(1+$B$4)^70)&gt;0,1+$B$3,1))</f>
        <v/>
      </c>
      <c r="BV142">
        <f>BU142</f>
        <v/>
      </c>
      <c r="BW142">
        <f>IF(AND($B142&lt;=70,BV142&gt;0),$B142,999)</f>
        <v/>
      </c>
    </row>
    <row r="143">
      <c r="A143" t="n">
        <v>47</v>
      </c>
      <c r="B143">
        <f>$B$1+47</f>
        <v/>
      </c>
      <c r="C143">
        <f>$B$2</f>
        <v/>
      </c>
      <c r="D143">
        <f>IF($B$1+1&gt;90,C143,(C143+IF($B$1+1&lt;=$B143,12*($B$7-$B$10),-12*($B$6+$B$10)*(1+$B$4)^1))*IF(C143+IF($B$1+1&lt;=$B143,12*($B$7-$B$10),-12*($B$6+$B$10)*(1+$B$4)^1)&gt;0,1+$B$3,1))</f>
        <v/>
      </c>
      <c r="E143">
        <f>IF($B$1+2&gt;90,D143,(D143+IF($B$1+2&lt;=$B143,12*($B$7-$B$10),-12*($B$6+$B$10)*(1+$B$4)^2))*IF(D143+IF($B$1+2&lt;=$B143,12*($B$7-$B$10),-12*($B$6+$B$10)*(1+$B$4)^2)&gt;0,1+$B$3,1))</f>
        <v/>
      </c>
      <c r="F143">
        <f>IF($B$1+3&gt;90,E143,(E143+IF($B$1+3&lt;=$B143,12*($B$7-$B$10),-12*($B$6+$B$10)*(1+$B$4)^3))*IF(E143+IF($B$1+3&lt;=$B143,12*($B$7-$B$10),-12*($B$6+$B$10)*(1+$B$4)^3)&gt;0,1+$B$3,1))</f>
        <v/>
      </c>
      <c r="G143">
        <f>IF($B$1+4&gt;90,F143,(F143+IF($B$1+4&lt;=$B143,12*($B$7-$B$10),-12*($B$6+$B$10)*(1+$B$4)^4))*IF(F143+IF($B$1+4&lt;=$B143,12*($B$7-$B$10),-12*($B$6+$B$10)*(1+$B$4)^4)&gt;0,1+$B$3,1))</f>
        <v/>
      </c>
      <c r="H143">
        <f>IF($B$1+5&gt;90,G143,(G143+IF($B$1+5&lt;=$B143,12*($B$7-$B$10),-12*($B$6+$B$10)*(1+$B$4)^5))*IF(G143+IF($B$1+5&lt;=$B143,12*($B$7-$B$10),-12*($B$6+$B$10)*(1+$B$4)^5)&gt;0,1+$B$3,1))</f>
        <v/>
      </c>
      <c r="I143">
        <f>IF($B$1+6&gt;90,H143,(H143+IF($B$1+6&lt;=$B143,12*($B$7-$B$10),-12*($B$6+$B$10)*(1+$B$4)^6))*IF(H143+IF($B$1+6&lt;=$B143,12*($B$7-$B$10),-12*($B$6+$B$10)*(1+$B$4)^6)&gt;0,1+$B$3,1))</f>
        <v/>
      </c>
      <c r="J143">
        <f>IF($B$1+7&gt;90,I143,(I143+IF($B$1+7&lt;=$B143,12*($B$7-$B$10),-12*($B$6+$B$10)*(1+$B$4)^7))*IF(I143+IF($B$1+7&lt;=$B143,12*($B$7-$B$10),-12*($B$6+$B$10)*(1+$B$4)^7)&gt;0,1+$B$3,1))</f>
        <v/>
      </c>
      <c r="K143">
        <f>IF($B$1+8&gt;90,J143,(J143+IF($B$1+8&lt;=$B143,12*($B$7-$B$10),-12*($B$6+$B$10)*(1+$B$4)^8))*IF(J143+IF($B$1+8&lt;=$B143,12*($B$7-$B$10),-12*($B$6+$B$10)*(1+$B$4)^8)&gt;0,1+$B$3,1))</f>
        <v/>
      </c>
      <c r="L143">
        <f>IF($B$1+9&gt;90,K143,(K143+IF($B$1+9&lt;=$B143,12*($B$7-$B$10),-12*($B$6+$B$10)*(1+$B$4)^9))*IF(K143+IF($B$1+9&lt;=$B143,12*($B$7-$B$10),-12*($B$6+$B$10)*(1+$B$4)^9)&gt;0,1+$B$3,1))</f>
        <v/>
      </c>
      <c r="M143">
        <f>IF($B$1+10&gt;90,L143,(L143+IF($B$1+10&lt;=$B143,12*($B$7-$B$10),-12*($B$6+$B$10)*(1+$B$4)^10))*IF(L143+IF($B$1+10&lt;=$B143,12*($B$7-$B$10),-12*($B$6+$B$10)*(1+$B$4)^10)&gt;0,1+$B$3,1))</f>
        <v/>
      </c>
      <c r="N143">
        <f>IF($B$1+11&gt;90,M143,(M143+IF($B$1+11&lt;=$B143,12*($B$7-$B$10),-12*($B$6+$B$10)*(1+$B$4)^11))*IF(M143+IF($B$1+11&lt;=$B143,12*($B$7-$B$10),-12*($B$6+$B$10)*(1+$B$4)^11)&gt;0,1+$B$3,1))</f>
        <v/>
      </c>
      <c r="O143">
        <f>IF($B$1+12&gt;90,N143,(N143+IF($B$1+12&lt;=$B143,12*($B$7-$B$10),-12*($B$6+$B$10)*(1+$B$4)^12))*IF(N143+IF($B$1+12&lt;=$B143,12*($B$7-$B$10),-12*($B$6+$B$10)*(1+$B$4)^12)&gt;0,1+$B$3,1))</f>
        <v/>
      </c>
      <c r="P143">
        <f>IF($B$1+13&gt;90,O143,(O143+IF($B$1+13&lt;=$B143,12*($B$7-$B$10),-12*($B$6+$B$10)*(1+$B$4)^13))*IF(O143+IF($B$1+13&lt;=$B143,12*($B$7-$B$10),-12*($B$6+$B$10)*(1+$B$4)^13)&gt;0,1+$B$3,1))</f>
        <v/>
      </c>
      <c r="Q143">
        <f>IF($B$1+14&gt;90,P143,(P143+IF($B$1+14&lt;=$B143,12*($B$7-$B$10),-12*($B$6+$B$10)*(1+$B$4)^14))*IF(P143+IF($B$1+14&lt;=$B143,12*($B$7-$B$10),-12*($B$6+$B$10)*(1+$B$4)^14)&gt;0,1+$B$3,1))</f>
        <v/>
      </c>
      <c r="R143">
        <f>IF($B$1+15&gt;90,Q143,(Q143+IF($B$1+15&lt;=$B143,12*($B$7-$B$10),-12*($B$6+$B$10)*(1+$B$4)^15))*IF(Q143+IF($B$1+15&lt;=$B143,12*($B$7-$B$10),-12*($B$6+$B$10)*(1+$B$4)^15)&gt;0,1+$B$3,1))</f>
        <v/>
      </c>
      <c r="S143">
        <f>IF($B$1+16&gt;90,R143,(R143+IF($B$1+16&lt;=$B143,12*($B$7-$B$10),-12*($B$6+$B$10)*(1+$B$4)^16))*IF(R143+IF($B$1+16&lt;=$B143,12*($B$7-$B$10),-12*($B$6+$B$10)*(1+$B$4)^16)&gt;0,1+$B$3,1))</f>
        <v/>
      </c>
      <c r="T143">
        <f>IF($B$1+17&gt;90,S143,(S143+IF($B$1+17&lt;=$B143,12*($B$7-$B$10),-12*($B$6+$B$10)*(1+$B$4)^17))*IF(S143+IF($B$1+17&lt;=$B143,12*($B$7-$B$10),-12*($B$6+$B$10)*(1+$B$4)^17)&gt;0,1+$B$3,1))</f>
        <v/>
      </c>
      <c r="U143">
        <f>IF($B$1+18&gt;90,T143,(T143+IF($B$1+18&lt;=$B143,12*($B$7-$B$10),-12*($B$6+$B$10)*(1+$B$4)^18))*IF(T143+IF($B$1+18&lt;=$B143,12*($B$7-$B$10),-12*($B$6+$B$10)*(1+$B$4)^18)&gt;0,1+$B$3,1))</f>
        <v/>
      </c>
      <c r="V143">
        <f>IF($B$1+19&gt;90,U143,(U143+IF($B$1+19&lt;=$B143,12*($B$7-$B$10),-12*($B$6+$B$10)*(1+$B$4)^19))*IF(U143+IF($B$1+19&lt;=$B143,12*($B$7-$B$10),-12*($B$6+$B$10)*(1+$B$4)^19)&gt;0,1+$B$3,1))</f>
        <v/>
      </c>
      <c r="W143">
        <f>IF($B$1+20&gt;90,V143,(V143+IF($B$1+20&lt;=$B143,12*($B$7-$B$10),-12*($B$6+$B$10)*(1+$B$4)^20))*IF(V143+IF($B$1+20&lt;=$B143,12*($B$7-$B$10),-12*($B$6+$B$10)*(1+$B$4)^20)&gt;0,1+$B$3,1))</f>
        <v/>
      </c>
      <c r="X143">
        <f>IF($B$1+21&gt;90,W143,(W143+IF($B$1+21&lt;=$B143,12*($B$7-$B$10),-12*($B$6+$B$10)*(1+$B$4)^21))*IF(W143+IF($B$1+21&lt;=$B143,12*($B$7-$B$10),-12*($B$6+$B$10)*(1+$B$4)^21)&gt;0,1+$B$3,1))</f>
        <v/>
      </c>
      <c r="Y143">
        <f>IF($B$1+22&gt;90,X143,(X143+IF($B$1+22&lt;=$B143,12*($B$7-$B$10),-12*($B$6+$B$10)*(1+$B$4)^22))*IF(X143+IF($B$1+22&lt;=$B143,12*($B$7-$B$10),-12*($B$6+$B$10)*(1+$B$4)^22)&gt;0,1+$B$3,1))</f>
        <v/>
      </c>
      <c r="Z143">
        <f>IF($B$1+23&gt;90,Y143,(Y143+IF($B$1+23&lt;=$B143,12*($B$7-$B$10),-12*($B$6+$B$10)*(1+$B$4)^23))*IF(Y143+IF($B$1+23&lt;=$B143,12*($B$7-$B$10),-12*($B$6+$B$10)*(1+$B$4)^23)&gt;0,1+$B$3,1))</f>
        <v/>
      </c>
      <c r="AA143">
        <f>IF($B$1+24&gt;90,Z143,(Z143+IF($B$1+24&lt;=$B143,12*($B$7-$B$10),-12*($B$6+$B$10)*(1+$B$4)^24))*IF(Z143+IF($B$1+24&lt;=$B143,12*($B$7-$B$10),-12*($B$6+$B$10)*(1+$B$4)^24)&gt;0,1+$B$3,1))</f>
        <v/>
      </c>
      <c r="AB143">
        <f>IF($B$1+25&gt;90,AA143,(AA143+IF($B$1+25&lt;=$B143,12*($B$7-$B$10),-12*($B$6+$B$10)*(1+$B$4)^25))*IF(AA143+IF($B$1+25&lt;=$B143,12*($B$7-$B$10),-12*($B$6+$B$10)*(1+$B$4)^25)&gt;0,1+$B$3,1))</f>
        <v/>
      </c>
      <c r="AC143">
        <f>IF($B$1+26&gt;90,AB143,(AB143+IF($B$1+26&lt;=$B143,12*($B$7-$B$10),-12*($B$6+$B$10)*(1+$B$4)^26))*IF(AB143+IF($B$1+26&lt;=$B143,12*($B$7-$B$10),-12*($B$6+$B$10)*(1+$B$4)^26)&gt;0,1+$B$3,1))</f>
        <v/>
      </c>
      <c r="AD143">
        <f>IF($B$1+27&gt;90,AC143,(AC143+IF($B$1+27&lt;=$B143,12*($B$7-$B$10),-12*($B$6+$B$10)*(1+$B$4)^27))*IF(AC143+IF($B$1+27&lt;=$B143,12*($B$7-$B$10),-12*($B$6+$B$10)*(1+$B$4)^27)&gt;0,1+$B$3,1))</f>
        <v/>
      </c>
      <c r="AE143">
        <f>IF($B$1+28&gt;90,AD143,(AD143+IF($B$1+28&lt;=$B143,12*($B$7-$B$10),-12*($B$6+$B$10)*(1+$B$4)^28))*IF(AD143+IF($B$1+28&lt;=$B143,12*($B$7-$B$10),-12*($B$6+$B$10)*(1+$B$4)^28)&gt;0,1+$B$3,1))</f>
        <v/>
      </c>
      <c r="AF143">
        <f>IF($B$1+29&gt;90,AE143,(AE143+IF($B$1+29&lt;=$B143,12*($B$7-$B$10),-12*($B$6+$B$10)*(1+$B$4)^29))*IF(AE143+IF($B$1+29&lt;=$B143,12*($B$7-$B$10),-12*($B$6+$B$10)*(1+$B$4)^29)&gt;0,1+$B$3,1))</f>
        <v/>
      </c>
      <c r="AG143">
        <f>IF($B$1+30&gt;90,AF143,(AF143+IF($B$1+30&lt;=$B143,12*($B$7-$B$10),-12*($B$6+$B$10)*(1+$B$4)^30))*IF(AF143+IF($B$1+30&lt;=$B143,12*($B$7-$B$10),-12*($B$6+$B$10)*(1+$B$4)^30)&gt;0,1+$B$3,1))</f>
        <v/>
      </c>
      <c r="AH143">
        <f>IF($B$1+31&gt;90,AG143,(AG143+IF($B$1+31&lt;=$B143,12*($B$7-$B$10),-12*($B$6+$B$10)*(1+$B$4)^31))*IF(AG143+IF($B$1+31&lt;=$B143,12*($B$7-$B$10),-12*($B$6+$B$10)*(1+$B$4)^31)&gt;0,1+$B$3,1))</f>
        <v/>
      </c>
      <c r="AI143">
        <f>IF($B$1+32&gt;90,AH143,(AH143+IF($B$1+32&lt;=$B143,12*($B$7-$B$10),-12*($B$6+$B$10)*(1+$B$4)^32))*IF(AH143+IF($B$1+32&lt;=$B143,12*($B$7-$B$10),-12*($B$6+$B$10)*(1+$B$4)^32)&gt;0,1+$B$3,1))</f>
        <v/>
      </c>
      <c r="AJ143">
        <f>IF($B$1+33&gt;90,AI143,(AI143+IF($B$1+33&lt;=$B143,12*($B$7-$B$10),-12*($B$6+$B$10)*(1+$B$4)^33))*IF(AI143+IF($B$1+33&lt;=$B143,12*($B$7-$B$10),-12*($B$6+$B$10)*(1+$B$4)^33)&gt;0,1+$B$3,1))</f>
        <v/>
      </c>
      <c r="AK143">
        <f>IF($B$1+34&gt;90,AJ143,(AJ143+IF($B$1+34&lt;=$B143,12*($B$7-$B$10),-12*($B$6+$B$10)*(1+$B$4)^34))*IF(AJ143+IF($B$1+34&lt;=$B143,12*($B$7-$B$10),-12*($B$6+$B$10)*(1+$B$4)^34)&gt;0,1+$B$3,1))</f>
        <v/>
      </c>
      <c r="AL143">
        <f>IF($B$1+35&gt;90,AK143,(AK143+IF($B$1+35&lt;=$B143,12*($B$7-$B$10),-12*($B$6+$B$10)*(1+$B$4)^35))*IF(AK143+IF($B$1+35&lt;=$B143,12*($B$7-$B$10),-12*($B$6+$B$10)*(1+$B$4)^35)&gt;0,1+$B$3,1))</f>
        <v/>
      </c>
      <c r="AM143">
        <f>IF($B$1+36&gt;90,AL143,(AL143+IF($B$1+36&lt;=$B143,12*($B$7-$B$10),-12*($B$6+$B$10)*(1+$B$4)^36))*IF(AL143+IF($B$1+36&lt;=$B143,12*($B$7-$B$10),-12*($B$6+$B$10)*(1+$B$4)^36)&gt;0,1+$B$3,1))</f>
        <v/>
      </c>
      <c r="AN143">
        <f>IF($B$1+37&gt;90,AM143,(AM143+IF($B$1+37&lt;=$B143,12*($B$7-$B$10),-12*($B$6+$B$10)*(1+$B$4)^37))*IF(AM143+IF($B$1+37&lt;=$B143,12*($B$7-$B$10),-12*($B$6+$B$10)*(1+$B$4)^37)&gt;0,1+$B$3,1))</f>
        <v/>
      </c>
      <c r="AO143">
        <f>IF($B$1+38&gt;90,AN143,(AN143+IF($B$1+38&lt;=$B143,12*($B$7-$B$10),-12*($B$6+$B$10)*(1+$B$4)^38))*IF(AN143+IF($B$1+38&lt;=$B143,12*($B$7-$B$10),-12*($B$6+$B$10)*(1+$B$4)^38)&gt;0,1+$B$3,1))</f>
        <v/>
      </c>
      <c r="AP143">
        <f>IF($B$1+39&gt;90,AO143,(AO143+IF($B$1+39&lt;=$B143,12*($B$7-$B$10),-12*($B$6+$B$10)*(1+$B$4)^39))*IF(AO143+IF($B$1+39&lt;=$B143,12*($B$7-$B$10),-12*($B$6+$B$10)*(1+$B$4)^39)&gt;0,1+$B$3,1))</f>
        <v/>
      </c>
      <c r="AQ143">
        <f>IF($B$1+40&gt;90,AP143,(AP143+IF($B$1+40&lt;=$B143,12*($B$7-$B$10),-12*($B$6+$B$10)*(1+$B$4)^40))*IF(AP143+IF($B$1+40&lt;=$B143,12*($B$7-$B$10),-12*($B$6+$B$10)*(1+$B$4)^40)&gt;0,1+$B$3,1))</f>
        <v/>
      </c>
      <c r="AR143">
        <f>IF($B$1+41&gt;90,AQ143,(AQ143+IF($B$1+41&lt;=$B143,12*($B$7-$B$10),-12*($B$6+$B$10)*(1+$B$4)^41))*IF(AQ143+IF($B$1+41&lt;=$B143,12*($B$7-$B$10),-12*($B$6+$B$10)*(1+$B$4)^41)&gt;0,1+$B$3,1))</f>
        <v/>
      </c>
      <c r="AS143">
        <f>IF($B$1+42&gt;90,AR143,(AR143+IF($B$1+42&lt;=$B143,12*($B$7-$B$10),-12*($B$6+$B$10)*(1+$B$4)^42))*IF(AR143+IF($B$1+42&lt;=$B143,12*($B$7-$B$10),-12*($B$6+$B$10)*(1+$B$4)^42)&gt;0,1+$B$3,1))</f>
        <v/>
      </c>
      <c r="AT143">
        <f>IF($B$1+43&gt;90,AS143,(AS143+IF($B$1+43&lt;=$B143,12*($B$7-$B$10),-12*($B$6+$B$10)*(1+$B$4)^43))*IF(AS143+IF($B$1+43&lt;=$B143,12*($B$7-$B$10),-12*($B$6+$B$10)*(1+$B$4)^43)&gt;0,1+$B$3,1))</f>
        <v/>
      </c>
      <c r="AU143">
        <f>IF($B$1+44&gt;90,AT143,(AT143+IF($B$1+44&lt;=$B143,12*($B$7-$B$10),-12*($B$6+$B$10)*(1+$B$4)^44))*IF(AT143+IF($B$1+44&lt;=$B143,12*($B$7-$B$10),-12*($B$6+$B$10)*(1+$B$4)^44)&gt;0,1+$B$3,1))</f>
        <v/>
      </c>
      <c r="AV143">
        <f>IF($B$1+45&gt;90,AU143,(AU143+IF($B$1+45&lt;=$B143,12*($B$7-$B$10),-12*($B$6+$B$10)*(1+$B$4)^45))*IF(AU143+IF($B$1+45&lt;=$B143,12*($B$7-$B$10),-12*($B$6+$B$10)*(1+$B$4)^45)&gt;0,1+$B$3,1))</f>
        <v/>
      </c>
      <c r="AW143">
        <f>IF($B$1+46&gt;90,AV143,(AV143+IF($B$1+46&lt;=$B143,12*($B$7-$B$10),-12*($B$6+$B$10)*(1+$B$4)^46))*IF(AV143+IF($B$1+46&lt;=$B143,12*($B$7-$B$10),-12*($B$6+$B$10)*(1+$B$4)^46)&gt;0,1+$B$3,1))</f>
        <v/>
      </c>
      <c r="AX143">
        <f>IF($B$1+47&gt;90,AW143,(AW143+IF($B$1+47&lt;=$B143,12*($B$7-$B$10),-12*($B$6+$B$10)*(1+$B$4)^47))*IF(AW143+IF($B$1+47&lt;=$B143,12*($B$7-$B$10),-12*($B$6+$B$10)*(1+$B$4)^47)&gt;0,1+$B$3,1))</f>
        <v/>
      </c>
      <c r="AY143">
        <f>IF($B$1+48&gt;90,AX143,(AX143+IF($B$1+48&lt;=$B143,12*($B$7-$B$10),-12*($B$6+$B$10)*(1+$B$4)^48))*IF(AX143+IF($B$1+48&lt;=$B143,12*($B$7-$B$10),-12*($B$6+$B$10)*(1+$B$4)^48)&gt;0,1+$B$3,1))</f>
        <v/>
      </c>
      <c r="AZ143">
        <f>IF($B$1+49&gt;90,AY143,(AY143+IF($B$1+49&lt;=$B143,12*($B$7-$B$10),-12*($B$6+$B$10)*(1+$B$4)^49))*IF(AY143+IF($B$1+49&lt;=$B143,12*($B$7-$B$10),-12*($B$6+$B$10)*(1+$B$4)^49)&gt;0,1+$B$3,1))</f>
        <v/>
      </c>
      <c r="BA143">
        <f>IF($B$1+50&gt;90,AZ143,(AZ143+IF($B$1+50&lt;=$B143,12*($B$7-$B$10),-12*($B$6+$B$10)*(1+$B$4)^50))*IF(AZ143+IF($B$1+50&lt;=$B143,12*($B$7-$B$10),-12*($B$6+$B$10)*(1+$B$4)^50)&gt;0,1+$B$3,1))</f>
        <v/>
      </c>
      <c r="BB143">
        <f>IF($B$1+51&gt;90,BA143,(BA143+IF($B$1+51&lt;=$B143,12*($B$7-$B$10),-12*($B$6+$B$10)*(1+$B$4)^51))*IF(BA143+IF($B$1+51&lt;=$B143,12*($B$7-$B$10),-12*($B$6+$B$10)*(1+$B$4)^51)&gt;0,1+$B$3,1))</f>
        <v/>
      </c>
      <c r="BC143">
        <f>IF($B$1+52&gt;90,BB143,(BB143+IF($B$1+52&lt;=$B143,12*($B$7-$B$10),-12*($B$6+$B$10)*(1+$B$4)^52))*IF(BB143+IF($B$1+52&lt;=$B143,12*($B$7-$B$10),-12*($B$6+$B$10)*(1+$B$4)^52)&gt;0,1+$B$3,1))</f>
        <v/>
      </c>
      <c r="BD143">
        <f>IF($B$1+53&gt;90,BC143,(BC143+IF($B$1+53&lt;=$B143,12*($B$7-$B$10),-12*($B$6+$B$10)*(1+$B$4)^53))*IF(BC143+IF($B$1+53&lt;=$B143,12*($B$7-$B$10),-12*($B$6+$B$10)*(1+$B$4)^53)&gt;0,1+$B$3,1))</f>
        <v/>
      </c>
      <c r="BE143">
        <f>IF($B$1+54&gt;90,BD143,(BD143+IF($B$1+54&lt;=$B143,12*($B$7-$B$10),-12*($B$6+$B$10)*(1+$B$4)^54))*IF(BD143+IF($B$1+54&lt;=$B143,12*($B$7-$B$10),-12*($B$6+$B$10)*(1+$B$4)^54)&gt;0,1+$B$3,1))</f>
        <v/>
      </c>
      <c r="BF143">
        <f>IF($B$1+55&gt;90,BE143,(BE143+IF($B$1+55&lt;=$B143,12*($B$7-$B$10),-12*($B$6+$B$10)*(1+$B$4)^55))*IF(BE143+IF($B$1+55&lt;=$B143,12*($B$7-$B$10),-12*($B$6+$B$10)*(1+$B$4)^55)&gt;0,1+$B$3,1))</f>
        <v/>
      </c>
      <c r="BG143">
        <f>IF($B$1+56&gt;90,BF143,(BF143+IF($B$1+56&lt;=$B143,12*($B$7-$B$10),-12*($B$6+$B$10)*(1+$B$4)^56))*IF(BF143+IF($B$1+56&lt;=$B143,12*($B$7-$B$10),-12*($B$6+$B$10)*(1+$B$4)^56)&gt;0,1+$B$3,1))</f>
        <v/>
      </c>
      <c r="BH143">
        <f>IF($B$1+57&gt;90,BG143,(BG143+IF($B$1+57&lt;=$B143,12*($B$7-$B$10),-12*($B$6+$B$10)*(1+$B$4)^57))*IF(BG143+IF($B$1+57&lt;=$B143,12*($B$7-$B$10),-12*($B$6+$B$10)*(1+$B$4)^57)&gt;0,1+$B$3,1))</f>
        <v/>
      </c>
      <c r="BI143">
        <f>IF($B$1+58&gt;90,BH143,(BH143+IF($B$1+58&lt;=$B143,12*($B$7-$B$10),-12*($B$6+$B$10)*(1+$B$4)^58))*IF(BH143+IF($B$1+58&lt;=$B143,12*($B$7-$B$10),-12*($B$6+$B$10)*(1+$B$4)^58)&gt;0,1+$B$3,1))</f>
        <v/>
      </c>
      <c r="BJ143">
        <f>IF($B$1+59&gt;90,BI143,(BI143+IF($B$1+59&lt;=$B143,12*($B$7-$B$10),-12*($B$6+$B$10)*(1+$B$4)^59))*IF(BI143+IF($B$1+59&lt;=$B143,12*($B$7-$B$10),-12*($B$6+$B$10)*(1+$B$4)^59)&gt;0,1+$B$3,1))</f>
        <v/>
      </c>
      <c r="BK143">
        <f>IF($B$1+60&gt;90,BJ143,(BJ143+IF($B$1+60&lt;=$B143,12*($B$7-$B$10),-12*($B$6+$B$10)*(1+$B$4)^60))*IF(BJ143+IF($B$1+60&lt;=$B143,12*($B$7-$B$10),-12*($B$6+$B$10)*(1+$B$4)^60)&gt;0,1+$B$3,1))</f>
        <v/>
      </c>
      <c r="BL143">
        <f>IF($B$1+61&gt;90,BK143,(BK143+IF($B$1+61&lt;=$B143,12*($B$7-$B$10),-12*($B$6+$B$10)*(1+$B$4)^61))*IF(BK143+IF($B$1+61&lt;=$B143,12*($B$7-$B$10),-12*($B$6+$B$10)*(1+$B$4)^61)&gt;0,1+$B$3,1))</f>
        <v/>
      </c>
      <c r="BM143">
        <f>IF($B$1+62&gt;90,BL143,(BL143+IF($B$1+62&lt;=$B143,12*($B$7-$B$10),-12*($B$6+$B$10)*(1+$B$4)^62))*IF(BL143+IF($B$1+62&lt;=$B143,12*($B$7-$B$10),-12*($B$6+$B$10)*(1+$B$4)^62)&gt;0,1+$B$3,1))</f>
        <v/>
      </c>
      <c r="BN143">
        <f>IF($B$1+63&gt;90,BM143,(BM143+IF($B$1+63&lt;=$B143,12*($B$7-$B$10),-12*($B$6+$B$10)*(1+$B$4)^63))*IF(BM143+IF($B$1+63&lt;=$B143,12*($B$7-$B$10),-12*($B$6+$B$10)*(1+$B$4)^63)&gt;0,1+$B$3,1))</f>
        <v/>
      </c>
      <c r="BO143">
        <f>IF($B$1+64&gt;90,BN143,(BN143+IF($B$1+64&lt;=$B143,12*($B$7-$B$10),-12*($B$6+$B$10)*(1+$B$4)^64))*IF(BN143+IF($B$1+64&lt;=$B143,12*($B$7-$B$10),-12*($B$6+$B$10)*(1+$B$4)^64)&gt;0,1+$B$3,1))</f>
        <v/>
      </c>
      <c r="BP143">
        <f>IF($B$1+65&gt;90,BO143,(BO143+IF($B$1+65&lt;=$B143,12*($B$7-$B$10),-12*($B$6+$B$10)*(1+$B$4)^65))*IF(BO143+IF($B$1+65&lt;=$B143,12*($B$7-$B$10),-12*($B$6+$B$10)*(1+$B$4)^65)&gt;0,1+$B$3,1))</f>
        <v/>
      </c>
      <c r="BQ143">
        <f>IF($B$1+66&gt;90,BP143,(BP143+IF($B$1+66&lt;=$B143,12*($B$7-$B$10),-12*($B$6+$B$10)*(1+$B$4)^66))*IF(BP143+IF($B$1+66&lt;=$B143,12*($B$7-$B$10),-12*($B$6+$B$10)*(1+$B$4)^66)&gt;0,1+$B$3,1))</f>
        <v/>
      </c>
      <c r="BR143">
        <f>IF($B$1+67&gt;90,BQ143,(BQ143+IF($B$1+67&lt;=$B143,12*($B$7-$B$10),-12*($B$6+$B$10)*(1+$B$4)^67))*IF(BQ143+IF($B$1+67&lt;=$B143,12*($B$7-$B$10),-12*($B$6+$B$10)*(1+$B$4)^67)&gt;0,1+$B$3,1))</f>
        <v/>
      </c>
      <c r="BS143">
        <f>IF($B$1+68&gt;90,BR143,(BR143+IF($B$1+68&lt;=$B143,12*($B$7-$B$10),-12*($B$6+$B$10)*(1+$B$4)^68))*IF(BR143+IF($B$1+68&lt;=$B143,12*($B$7-$B$10),-12*($B$6+$B$10)*(1+$B$4)^68)&gt;0,1+$B$3,1))</f>
        <v/>
      </c>
      <c r="BT143">
        <f>IF($B$1+69&gt;90,BS143,(BS143+IF($B$1+69&lt;=$B143,12*($B$7-$B$10),-12*($B$6+$B$10)*(1+$B$4)^69))*IF(BS143+IF($B$1+69&lt;=$B143,12*($B$7-$B$10),-12*($B$6+$B$10)*(1+$B$4)^69)&gt;0,1+$B$3,1))</f>
        <v/>
      </c>
      <c r="BU143">
        <f>IF($B$1+70&gt;90,BT143,(BT143+IF($B$1+70&lt;=$B143,12*($B$7-$B$10),-12*($B$6+$B$10)*(1+$B$4)^70))*IF(BT143+IF($B$1+70&lt;=$B143,12*($B$7-$B$10),-12*($B$6+$B$10)*(1+$B$4)^70)&gt;0,1+$B$3,1))</f>
        <v/>
      </c>
      <c r="BV143">
        <f>BU143</f>
        <v/>
      </c>
      <c r="BW143">
        <f>IF(AND($B143&lt;=70,BV143&gt;0),$B143,999)</f>
        <v/>
      </c>
    </row>
    <row r="144">
      <c r="A144" t="n">
        <v>48</v>
      </c>
      <c r="B144">
        <f>$B$1+48</f>
        <v/>
      </c>
      <c r="C144">
        <f>$B$2</f>
        <v/>
      </c>
      <c r="D144">
        <f>IF($B$1+1&gt;90,C144,(C144+IF($B$1+1&lt;=$B144,12*($B$7-$B$10),-12*($B$6+$B$10)*(1+$B$4)^1))*IF(C144+IF($B$1+1&lt;=$B144,12*($B$7-$B$10),-12*($B$6+$B$10)*(1+$B$4)^1)&gt;0,1+$B$3,1))</f>
        <v/>
      </c>
      <c r="E144">
        <f>IF($B$1+2&gt;90,D144,(D144+IF($B$1+2&lt;=$B144,12*($B$7-$B$10),-12*($B$6+$B$10)*(1+$B$4)^2))*IF(D144+IF($B$1+2&lt;=$B144,12*($B$7-$B$10),-12*($B$6+$B$10)*(1+$B$4)^2)&gt;0,1+$B$3,1))</f>
        <v/>
      </c>
      <c r="F144">
        <f>IF($B$1+3&gt;90,E144,(E144+IF($B$1+3&lt;=$B144,12*($B$7-$B$10),-12*($B$6+$B$10)*(1+$B$4)^3))*IF(E144+IF($B$1+3&lt;=$B144,12*($B$7-$B$10),-12*($B$6+$B$10)*(1+$B$4)^3)&gt;0,1+$B$3,1))</f>
        <v/>
      </c>
      <c r="G144">
        <f>IF($B$1+4&gt;90,F144,(F144+IF($B$1+4&lt;=$B144,12*($B$7-$B$10),-12*($B$6+$B$10)*(1+$B$4)^4))*IF(F144+IF($B$1+4&lt;=$B144,12*($B$7-$B$10),-12*($B$6+$B$10)*(1+$B$4)^4)&gt;0,1+$B$3,1))</f>
        <v/>
      </c>
      <c r="H144">
        <f>IF($B$1+5&gt;90,G144,(G144+IF($B$1+5&lt;=$B144,12*($B$7-$B$10),-12*($B$6+$B$10)*(1+$B$4)^5))*IF(G144+IF($B$1+5&lt;=$B144,12*($B$7-$B$10),-12*($B$6+$B$10)*(1+$B$4)^5)&gt;0,1+$B$3,1))</f>
        <v/>
      </c>
      <c r="I144">
        <f>IF($B$1+6&gt;90,H144,(H144+IF($B$1+6&lt;=$B144,12*($B$7-$B$10),-12*($B$6+$B$10)*(1+$B$4)^6))*IF(H144+IF($B$1+6&lt;=$B144,12*($B$7-$B$10),-12*($B$6+$B$10)*(1+$B$4)^6)&gt;0,1+$B$3,1))</f>
        <v/>
      </c>
      <c r="J144">
        <f>IF($B$1+7&gt;90,I144,(I144+IF($B$1+7&lt;=$B144,12*($B$7-$B$10),-12*($B$6+$B$10)*(1+$B$4)^7))*IF(I144+IF($B$1+7&lt;=$B144,12*($B$7-$B$10),-12*($B$6+$B$10)*(1+$B$4)^7)&gt;0,1+$B$3,1))</f>
        <v/>
      </c>
      <c r="K144">
        <f>IF($B$1+8&gt;90,J144,(J144+IF($B$1+8&lt;=$B144,12*($B$7-$B$10),-12*($B$6+$B$10)*(1+$B$4)^8))*IF(J144+IF($B$1+8&lt;=$B144,12*($B$7-$B$10),-12*($B$6+$B$10)*(1+$B$4)^8)&gt;0,1+$B$3,1))</f>
        <v/>
      </c>
      <c r="L144">
        <f>IF($B$1+9&gt;90,K144,(K144+IF($B$1+9&lt;=$B144,12*($B$7-$B$10),-12*($B$6+$B$10)*(1+$B$4)^9))*IF(K144+IF($B$1+9&lt;=$B144,12*($B$7-$B$10),-12*($B$6+$B$10)*(1+$B$4)^9)&gt;0,1+$B$3,1))</f>
        <v/>
      </c>
      <c r="M144">
        <f>IF($B$1+10&gt;90,L144,(L144+IF($B$1+10&lt;=$B144,12*($B$7-$B$10),-12*($B$6+$B$10)*(1+$B$4)^10))*IF(L144+IF($B$1+10&lt;=$B144,12*($B$7-$B$10),-12*($B$6+$B$10)*(1+$B$4)^10)&gt;0,1+$B$3,1))</f>
        <v/>
      </c>
      <c r="N144">
        <f>IF($B$1+11&gt;90,M144,(M144+IF($B$1+11&lt;=$B144,12*($B$7-$B$10),-12*($B$6+$B$10)*(1+$B$4)^11))*IF(M144+IF($B$1+11&lt;=$B144,12*($B$7-$B$10),-12*($B$6+$B$10)*(1+$B$4)^11)&gt;0,1+$B$3,1))</f>
        <v/>
      </c>
      <c r="O144">
        <f>IF($B$1+12&gt;90,N144,(N144+IF($B$1+12&lt;=$B144,12*($B$7-$B$10),-12*($B$6+$B$10)*(1+$B$4)^12))*IF(N144+IF($B$1+12&lt;=$B144,12*($B$7-$B$10),-12*($B$6+$B$10)*(1+$B$4)^12)&gt;0,1+$B$3,1))</f>
        <v/>
      </c>
      <c r="P144">
        <f>IF($B$1+13&gt;90,O144,(O144+IF($B$1+13&lt;=$B144,12*($B$7-$B$10),-12*($B$6+$B$10)*(1+$B$4)^13))*IF(O144+IF($B$1+13&lt;=$B144,12*($B$7-$B$10),-12*($B$6+$B$10)*(1+$B$4)^13)&gt;0,1+$B$3,1))</f>
        <v/>
      </c>
      <c r="Q144">
        <f>IF($B$1+14&gt;90,P144,(P144+IF($B$1+14&lt;=$B144,12*($B$7-$B$10),-12*($B$6+$B$10)*(1+$B$4)^14))*IF(P144+IF($B$1+14&lt;=$B144,12*($B$7-$B$10),-12*($B$6+$B$10)*(1+$B$4)^14)&gt;0,1+$B$3,1))</f>
        <v/>
      </c>
      <c r="R144">
        <f>IF($B$1+15&gt;90,Q144,(Q144+IF($B$1+15&lt;=$B144,12*($B$7-$B$10),-12*($B$6+$B$10)*(1+$B$4)^15))*IF(Q144+IF($B$1+15&lt;=$B144,12*($B$7-$B$10),-12*($B$6+$B$10)*(1+$B$4)^15)&gt;0,1+$B$3,1))</f>
        <v/>
      </c>
      <c r="S144">
        <f>IF($B$1+16&gt;90,R144,(R144+IF($B$1+16&lt;=$B144,12*($B$7-$B$10),-12*($B$6+$B$10)*(1+$B$4)^16))*IF(R144+IF($B$1+16&lt;=$B144,12*($B$7-$B$10),-12*($B$6+$B$10)*(1+$B$4)^16)&gt;0,1+$B$3,1))</f>
        <v/>
      </c>
      <c r="T144">
        <f>IF($B$1+17&gt;90,S144,(S144+IF($B$1+17&lt;=$B144,12*($B$7-$B$10),-12*($B$6+$B$10)*(1+$B$4)^17))*IF(S144+IF($B$1+17&lt;=$B144,12*($B$7-$B$10),-12*($B$6+$B$10)*(1+$B$4)^17)&gt;0,1+$B$3,1))</f>
        <v/>
      </c>
      <c r="U144">
        <f>IF($B$1+18&gt;90,T144,(T144+IF($B$1+18&lt;=$B144,12*($B$7-$B$10),-12*($B$6+$B$10)*(1+$B$4)^18))*IF(T144+IF($B$1+18&lt;=$B144,12*($B$7-$B$10),-12*($B$6+$B$10)*(1+$B$4)^18)&gt;0,1+$B$3,1))</f>
        <v/>
      </c>
      <c r="V144">
        <f>IF($B$1+19&gt;90,U144,(U144+IF($B$1+19&lt;=$B144,12*($B$7-$B$10),-12*($B$6+$B$10)*(1+$B$4)^19))*IF(U144+IF($B$1+19&lt;=$B144,12*($B$7-$B$10),-12*($B$6+$B$10)*(1+$B$4)^19)&gt;0,1+$B$3,1))</f>
        <v/>
      </c>
      <c r="W144">
        <f>IF($B$1+20&gt;90,V144,(V144+IF($B$1+20&lt;=$B144,12*($B$7-$B$10),-12*($B$6+$B$10)*(1+$B$4)^20))*IF(V144+IF($B$1+20&lt;=$B144,12*($B$7-$B$10),-12*($B$6+$B$10)*(1+$B$4)^20)&gt;0,1+$B$3,1))</f>
        <v/>
      </c>
      <c r="X144">
        <f>IF($B$1+21&gt;90,W144,(W144+IF($B$1+21&lt;=$B144,12*($B$7-$B$10),-12*($B$6+$B$10)*(1+$B$4)^21))*IF(W144+IF($B$1+21&lt;=$B144,12*($B$7-$B$10),-12*($B$6+$B$10)*(1+$B$4)^21)&gt;0,1+$B$3,1))</f>
        <v/>
      </c>
      <c r="Y144">
        <f>IF($B$1+22&gt;90,X144,(X144+IF($B$1+22&lt;=$B144,12*($B$7-$B$10),-12*($B$6+$B$10)*(1+$B$4)^22))*IF(X144+IF($B$1+22&lt;=$B144,12*($B$7-$B$10),-12*($B$6+$B$10)*(1+$B$4)^22)&gt;0,1+$B$3,1))</f>
        <v/>
      </c>
      <c r="Z144">
        <f>IF($B$1+23&gt;90,Y144,(Y144+IF($B$1+23&lt;=$B144,12*($B$7-$B$10),-12*($B$6+$B$10)*(1+$B$4)^23))*IF(Y144+IF($B$1+23&lt;=$B144,12*($B$7-$B$10),-12*($B$6+$B$10)*(1+$B$4)^23)&gt;0,1+$B$3,1))</f>
        <v/>
      </c>
      <c r="AA144">
        <f>IF($B$1+24&gt;90,Z144,(Z144+IF($B$1+24&lt;=$B144,12*($B$7-$B$10),-12*($B$6+$B$10)*(1+$B$4)^24))*IF(Z144+IF($B$1+24&lt;=$B144,12*($B$7-$B$10),-12*($B$6+$B$10)*(1+$B$4)^24)&gt;0,1+$B$3,1))</f>
        <v/>
      </c>
      <c r="AB144">
        <f>IF($B$1+25&gt;90,AA144,(AA144+IF($B$1+25&lt;=$B144,12*($B$7-$B$10),-12*($B$6+$B$10)*(1+$B$4)^25))*IF(AA144+IF($B$1+25&lt;=$B144,12*($B$7-$B$10),-12*($B$6+$B$10)*(1+$B$4)^25)&gt;0,1+$B$3,1))</f>
        <v/>
      </c>
      <c r="AC144">
        <f>IF($B$1+26&gt;90,AB144,(AB144+IF($B$1+26&lt;=$B144,12*($B$7-$B$10),-12*($B$6+$B$10)*(1+$B$4)^26))*IF(AB144+IF($B$1+26&lt;=$B144,12*($B$7-$B$10),-12*($B$6+$B$10)*(1+$B$4)^26)&gt;0,1+$B$3,1))</f>
        <v/>
      </c>
      <c r="AD144">
        <f>IF($B$1+27&gt;90,AC144,(AC144+IF($B$1+27&lt;=$B144,12*($B$7-$B$10),-12*($B$6+$B$10)*(1+$B$4)^27))*IF(AC144+IF($B$1+27&lt;=$B144,12*($B$7-$B$10),-12*($B$6+$B$10)*(1+$B$4)^27)&gt;0,1+$B$3,1))</f>
        <v/>
      </c>
      <c r="AE144">
        <f>IF($B$1+28&gt;90,AD144,(AD144+IF($B$1+28&lt;=$B144,12*($B$7-$B$10),-12*($B$6+$B$10)*(1+$B$4)^28))*IF(AD144+IF($B$1+28&lt;=$B144,12*($B$7-$B$10),-12*($B$6+$B$10)*(1+$B$4)^28)&gt;0,1+$B$3,1))</f>
        <v/>
      </c>
      <c r="AF144">
        <f>IF($B$1+29&gt;90,AE144,(AE144+IF($B$1+29&lt;=$B144,12*($B$7-$B$10),-12*($B$6+$B$10)*(1+$B$4)^29))*IF(AE144+IF($B$1+29&lt;=$B144,12*($B$7-$B$10),-12*($B$6+$B$10)*(1+$B$4)^29)&gt;0,1+$B$3,1))</f>
        <v/>
      </c>
      <c r="AG144">
        <f>IF($B$1+30&gt;90,AF144,(AF144+IF($B$1+30&lt;=$B144,12*($B$7-$B$10),-12*($B$6+$B$10)*(1+$B$4)^30))*IF(AF144+IF($B$1+30&lt;=$B144,12*($B$7-$B$10),-12*($B$6+$B$10)*(1+$B$4)^30)&gt;0,1+$B$3,1))</f>
        <v/>
      </c>
      <c r="AH144">
        <f>IF($B$1+31&gt;90,AG144,(AG144+IF($B$1+31&lt;=$B144,12*($B$7-$B$10),-12*($B$6+$B$10)*(1+$B$4)^31))*IF(AG144+IF($B$1+31&lt;=$B144,12*($B$7-$B$10),-12*($B$6+$B$10)*(1+$B$4)^31)&gt;0,1+$B$3,1))</f>
        <v/>
      </c>
      <c r="AI144">
        <f>IF($B$1+32&gt;90,AH144,(AH144+IF($B$1+32&lt;=$B144,12*($B$7-$B$10),-12*($B$6+$B$10)*(1+$B$4)^32))*IF(AH144+IF($B$1+32&lt;=$B144,12*($B$7-$B$10),-12*($B$6+$B$10)*(1+$B$4)^32)&gt;0,1+$B$3,1))</f>
        <v/>
      </c>
      <c r="AJ144">
        <f>IF($B$1+33&gt;90,AI144,(AI144+IF($B$1+33&lt;=$B144,12*($B$7-$B$10),-12*($B$6+$B$10)*(1+$B$4)^33))*IF(AI144+IF($B$1+33&lt;=$B144,12*($B$7-$B$10),-12*($B$6+$B$10)*(1+$B$4)^33)&gt;0,1+$B$3,1))</f>
        <v/>
      </c>
      <c r="AK144">
        <f>IF($B$1+34&gt;90,AJ144,(AJ144+IF($B$1+34&lt;=$B144,12*($B$7-$B$10),-12*($B$6+$B$10)*(1+$B$4)^34))*IF(AJ144+IF($B$1+34&lt;=$B144,12*($B$7-$B$10),-12*($B$6+$B$10)*(1+$B$4)^34)&gt;0,1+$B$3,1))</f>
        <v/>
      </c>
      <c r="AL144">
        <f>IF($B$1+35&gt;90,AK144,(AK144+IF($B$1+35&lt;=$B144,12*($B$7-$B$10),-12*($B$6+$B$10)*(1+$B$4)^35))*IF(AK144+IF($B$1+35&lt;=$B144,12*($B$7-$B$10),-12*($B$6+$B$10)*(1+$B$4)^35)&gt;0,1+$B$3,1))</f>
        <v/>
      </c>
      <c r="AM144">
        <f>IF($B$1+36&gt;90,AL144,(AL144+IF($B$1+36&lt;=$B144,12*($B$7-$B$10),-12*($B$6+$B$10)*(1+$B$4)^36))*IF(AL144+IF($B$1+36&lt;=$B144,12*($B$7-$B$10),-12*($B$6+$B$10)*(1+$B$4)^36)&gt;0,1+$B$3,1))</f>
        <v/>
      </c>
      <c r="AN144">
        <f>IF($B$1+37&gt;90,AM144,(AM144+IF($B$1+37&lt;=$B144,12*($B$7-$B$10),-12*($B$6+$B$10)*(1+$B$4)^37))*IF(AM144+IF($B$1+37&lt;=$B144,12*($B$7-$B$10),-12*($B$6+$B$10)*(1+$B$4)^37)&gt;0,1+$B$3,1))</f>
        <v/>
      </c>
      <c r="AO144">
        <f>IF($B$1+38&gt;90,AN144,(AN144+IF($B$1+38&lt;=$B144,12*($B$7-$B$10),-12*($B$6+$B$10)*(1+$B$4)^38))*IF(AN144+IF($B$1+38&lt;=$B144,12*($B$7-$B$10),-12*($B$6+$B$10)*(1+$B$4)^38)&gt;0,1+$B$3,1))</f>
        <v/>
      </c>
      <c r="AP144">
        <f>IF($B$1+39&gt;90,AO144,(AO144+IF($B$1+39&lt;=$B144,12*($B$7-$B$10),-12*($B$6+$B$10)*(1+$B$4)^39))*IF(AO144+IF($B$1+39&lt;=$B144,12*($B$7-$B$10),-12*($B$6+$B$10)*(1+$B$4)^39)&gt;0,1+$B$3,1))</f>
        <v/>
      </c>
      <c r="AQ144">
        <f>IF($B$1+40&gt;90,AP144,(AP144+IF($B$1+40&lt;=$B144,12*($B$7-$B$10),-12*($B$6+$B$10)*(1+$B$4)^40))*IF(AP144+IF($B$1+40&lt;=$B144,12*($B$7-$B$10),-12*($B$6+$B$10)*(1+$B$4)^40)&gt;0,1+$B$3,1))</f>
        <v/>
      </c>
      <c r="AR144">
        <f>IF($B$1+41&gt;90,AQ144,(AQ144+IF($B$1+41&lt;=$B144,12*($B$7-$B$10),-12*($B$6+$B$10)*(1+$B$4)^41))*IF(AQ144+IF($B$1+41&lt;=$B144,12*($B$7-$B$10),-12*($B$6+$B$10)*(1+$B$4)^41)&gt;0,1+$B$3,1))</f>
        <v/>
      </c>
      <c r="AS144">
        <f>IF($B$1+42&gt;90,AR144,(AR144+IF($B$1+42&lt;=$B144,12*($B$7-$B$10),-12*($B$6+$B$10)*(1+$B$4)^42))*IF(AR144+IF($B$1+42&lt;=$B144,12*($B$7-$B$10),-12*($B$6+$B$10)*(1+$B$4)^42)&gt;0,1+$B$3,1))</f>
        <v/>
      </c>
      <c r="AT144">
        <f>IF($B$1+43&gt;90,AS144,(AS144+IF($B$1+43&lt;=$B144,12*($B$7-$B$10),-12*($B$6+$B$10)*(1+$B$4)^43))*IF(AS144+IF($B$1+43&lt;=$B144,12*($B$7-$B$10),-12*($B$6+$B$10)*(1+$B$4)^43)&gt;0,1+$B$3,1))</f>
        <v/>
      </c>
      <c r="AU144">
        <f>IF($B$1+44&gt;90,AT144,(AT144+IF($B$1+44&lt;=$B144,12*($B$7-$B$10),-12*($B$6+$B$10)*(1+$B$4)^44))*IF(AT144+IF($B$1+44&lt;=$B144,12*($B$7-$B$10),-12*($B$6+$B$10)*(1+$B$4)^44)&gt;0,1+$B$3,1))</f>
        <v/>
      </c>
      <c r="AV144">
        <f>IF($B$1+45&gt;90,AU144,(AU144+IF($B$1+45&lt;=$B144,12*($B$7-$B$10),-12*($B$6+$B$10)*(1+$B$4)^45))*IF(AU144+IF($B$1+45&lt;=$B144,12*($B$7-$B$10),-12*($B$6+$B$10)*(1+$B$4)^45)&gt;0,1+$B$3,1))</f>
        <v/>
      </c>
      <c r="AW144">
        <f>IF($B$1+46&gt;90,AV144,(AV144+IF($B$1+46&lt;=$B144,12*($B$7-$B$10),-12*($B$6+$B$10)*(1+$B$4)^46))*IF(AV144+IF($B$1+46&lt;=$B144,12*($B$7-$B$10),-12*($B$6+$B$10)*(1+$B$4)^46)&gt;0,1+$B$3,1))</f>
        <v/>
      </c>
      <c r="AX144">
        <f>IF($B$1+47&gt;90,AW144,(AW144+IF($B$1+47&lt;=$B144,12*($B$7-$B$10),-12*($B$6+$B$10)*(1+$B$4)^47))*IF(AW144+IF($B$1+47&lt;=$B144,12*($B$7-$B$10),-12*($B$6+$B$10)*(1+$B$4)^47)&gt;0,1+$B$3,1))</f>
        <v/>
      </c>
      <c r="AY144">
        <f>IF($B$1+48&gt;90,AX144,(AX144+IF($B$1+48&lt;=$B144,12*($B$7-$B$10),-12*($B$6+$B$10)*(1+$B$4)^48))*IF(AX144+IF($B$1+48&lt;=$B144,12*($B$7-$B$10),-12*($B$6+$B$10)*(1+$B$4)^48)&gt;0,1+$B$3,1))</f>
        <v/>
      </c>
      <c r="AZ144">
        <f>IF($B$1+49&gt;90,AY144,(AY144+IF($B$1+49&lt;=$B144,12*($B$7-$B$10),-12*($B$6+$B$10)*(1+$B$4)^49))*IF(AY144+IF($B$1+49&lt;=$B144,12*($B$7-$B$10),-12*($B$6+$B$10)*(1+$B$4)^49)&gt;0,1+$B$3,1))</f>
        <v/>
      </c>
      <c r="BA144">
        <f>IF($B$1+50&gt;90,AZ144,(AZ144+IF($B$1+50&lt;=$B144,12*($B$7-$B$10),-12*($B$6+$B$10)*(1+$B$4)^50))*IF(AZ144+IF($B$1+50&lt;=$B144,12*($B$7-$B$10),-12*($B$6+$B$10)*(1+$B$4)^50)&gt;0,1+$B$3,1))</f>
        <v/>
      </c>
      <c r="BB144">
        <f>IF($B$1+51&gt;90,BA144,(BA144+IF($B$1+51&lt;=$B144,12*($B$7-$B$10),-12*($B$6+$B$10)*(1+$B$4)^51))*IF(BA144+IF($B$1+51&lt;=$B144,12*($B$7-$B$10),-12*($B$6+$B$10)*(1+$B$4)^51)&gt;0,1+$B$3,1))</f>
        <v/>
      </c>
      <c r="BC144">
        <f>IF($B$1+52&gt;90,BB144,(BB144+IF($B$1+52&lt;=$B144,12*($B$7-$B$10),-12*($B$6+$B$10)*(1+$B$4)^52))*IF(BB144+IF($B$1+52&lt;=$B144,12*($B$7-$B$10),-12*($B$6+$B$10)*(1+$B$4)^52)&gt;0,1+$B$3,1))</f>
        <v/>
      </c>
      <c r="BD144">
        <f>IF($B$1+53&gt;90,BC144,(BC144+IF($B$1+53&lt;=$B144,12*($B$7-$B$10),-12*($B$6+$B$10)*(1+$B$4)^53))*IF(BC144+IF($B$1+53&lt;=$B144,12*($B$7-$B$10),-12*($B$6+$B$10)*(1+$B$4)^53)&gt;0,1+$B$3,1))</f>
        <v/>
      </c>
      <c r="BE144">
        <f>IF($B$1+54&gt;90,BD144,(BD144+IF($B$1+54&lt;=$B144,12*($B$7-$B$10),-12*($B$6+$B$10)*(1+$B$4)^54))*IF(BD144+IF($B$1+54&lt;=$B144,12*($B$7-$B$10),-12*($B$6+$B$10)*(1+$B$4)^54)&gt;0,1+$B$3,1))</f>
        <v/>
      </c>
      <c r="BF144">
        <f>IF($B$1+55&gt;90,BE144,(BE144+IF($B$1+55&lt;=$B144,12*($B$7-$B$10),-12*($B$6+$B$10)*(1+$B$4)^55))*IF(BE144+IF($B$1+55&lt;=$B144,12*($B$7-$B$10),-12*($B$6+$B$10)*(1+$B$4)^55)&gt;0,1+$B$3,1))</f>
        <v/>
      </c>
      <c r="BG144">
        <f>IF($B$1+56&gt;90,BF144,(BF144+IF($B$1+56&lt;=$B144,12*($B$7-$B$10),-12*($B$6+$B$10)*(1+$B$4)^56))*IF(BF144+IF($B$1+56&lt;=$B144,12*($B$7-$B$10),-12*($B$6+$B$10)*(1+$B$4)^56)&gt;0,1+$B$3,1))</f>
        <v/>
      </c>
      <c r="BH144">
        <f>IF($B$1+57&gt;90,BG144,(BG144+IF($B$1+57&lt;=$B144,12*($B$7-$B$10),-12*($B$6+$B$10)*(1+$B$4)^57))*IF(BG144+IF($B$1+57&lt;=$B144,12*($B$7-$B$10),-12*($B$6+$B$10)*(1+$B$4)^57)&gt;0,1+$B$3,1))</f>
        <v/>
      </c>
      <c r="BI144">
        <f>IF($B$1+58&gt;90,BH144,(BH144+IF($B$1+58&lt;=$B144,12*($B$7-$B$10),-12*($B$6+$B$10)*(1+$B$4)^58))*IF(BH144+IF($B$1+58&lt;=$B144,12*($B$7-$B$10),-12*($B$6+$B$10)*(1+$B$4)^58)&gt;0,1+$B$3,1))</f>
        <v/>
      </c>
      <c r="BJ144">
        <f>IF($B$1+59&gt;90,BI144,(BI144+IF($B$1+59&lt;=$B144,12*($B$7-$B$10),-12*($B$6+$B$10)*(1+$B$4)^59))*IF(BI144+IF($B$1+59&lt;=$B144,12*($B$7-$B$10),-12*($B$6+$B$10)*(1+$B$4)^59)&gt;0,1+$B$3,1))</f>
        <v/>
      </c>
      <c r="BK144">
        <f>IF($B$1+60&gt;90,BJ144,(BJ144+IF($B$1+60&lt;=$B144,12*($B$7-$B$10),-12*($B$6+$B$10)*(1+$B$4)^60))*IF(BJ144+IF($B$1+60&lt;=$B144,12*($B$7-$B$10),-12*($B$6+$B$10)*(1+$B$4)^60)&gt;0,1+$B$3,1))</f>
        <v/>
      </c>
      <c r="BL144">
        <f>IF($B$1+61&gt;90,BK144,(BK144+IF($B$1+61&lt;=$B144,12*($B$7-$B$10),-12*($B$6+$B$10)*(1+$B$4)^61))*IF(BK144+IF($B$1+61&lt;=$B144,12*($B$7-$B$10),-12*($B$6+$B$10)*(1+$B$4)^61)&gt;0,1+$B$3,1))</f>
        <v/>
      </c>
      <c r="BM144">
        <f>IF($B$1+62&gt;90,BL144,(BL144+IF($B$1+62&lt;=$B144,12*($B$7-$B$10),-12*($B$6+$B$10)*(1+$B$4)^62))*IF(BL144+IF($B$1+62&lt;=$B144,12*($B$7-$B$10),-12*($B$6+$B$10)*(1+$B$4)^62)&gt;0,1+$B$3,1))</f>
        <v/>
      </c>
      <c r="BN144">
        <f>IF($B$1+63&gt;90,BM144,(BM144+IF($B$1+63&lt;=$B144,12*($B$7-$B$10),-12*($B$6+$B$10)*(1+$B$4)^63))*IF(BM144+IF($B$1+63&lt;=$B144,12*($B$7-$B$10),-12*($B$6+$B$10)*(1+$B$4)^63)&gt;0,1+$B$3,1))</f>
        <v/>
      </c>
      <c r="BO144">
        <f>IF($B$1+64&gt;90,BN144,(BN144+IF($B$1+64&lt;=$B144,12*($B$7-$B$10),-12*($B$6+$B$10)*(1+$B$4)^64))*IF(BN144+IF($B$1+64&lt;=$B144,12*($B$7-$B$10),-12*($B$6+$B$10)*(1+$B$4)^64)&gt;0,1+$B$3,1))</f>
        <v/>
      </c>
      <c r="BP144">
        <f>IF($B$1+65&gt;90,BO144,(BO144+IF($B$1+65&lt;=$B144,12*($B$7-$B$10),-12*($B$6+$B$10)*(1+$B$4)^65))*IF(BO144+IF($B$1+65&lt;=$B144,12*($B$7-$B$10),-12*($B$6+$B$10)*(1+$B$4)^65)&gt;0,1+$B$3,1))</f>
        <v/>
      </c>
      <c r="BQ144">
        <f>IF($B$1+66&gt;90,BP144,(BP144+IF($B$1+66&lt;=$B144,12*($B$7-$B$10),-12*($B$6+$B$10)*(1+$B$4)^66))*IF(BP144+IF($B$1+66&lt;=$B144,12*($B$7-$B$10),-12*($B$6+$B$10)*(1+$B$4)^66)&gt;0,1+$B$3,1))</f>
        <v/>
      </c>
      <c r="BR144">
        <f>IF($B$1+67&gt;90,BQ144,(BQ144+IF($B$1+67&lt;=$B144,12*($B$7-$B$10),-12*($B$6+$B$10)*(1+$B$4)^67))*IF(BQ144+IF($B$1+67&lt;=$B144,12*($B$7-$B$10),-12*($B$6+$B$10)*(1+$B$4)^67)&gt;0,1+$B$3,1))</f>
        <v/>
      </c>
      <c r="BS144">
        <f>IF($B$1+68&gt;90,BR144,(BR144+IF($B$1+68&lt;=$B144,12*($B$7-$B$10),-12*($B$6+$B$10)*(1+$B$4)^68))*IF(BR144+IF($B$1+68&lt;=$B144,12*($B$7-$B$10),-12*($B$6+$B$10)*(1+$B$4)^68)&gt;0,1+$B$3,1))</f>
        <v/>
      </c>
      <c r="BT144">
        <f>IF($B$1+69&gt;90,BS144,(BS144+IF($B$1+69&lt;=$B144,12*($B$7-$B$10),-12*($B$6+$B$10)*(1+$B$4)^69))*IF(BS144+IF($B$1+69&lt;=$B144,12*($B$7-$B$10),-12*($B$6+$B$10)*(1+$B$4)^69)&gt;0,1+$B$3,1))</f>
        <v/>
      </c>
      <c r="BU144">
        <f>IF($B$1+70&gt;90,BT144,(BT144+IF($B$1+70&lt;=$B144,12*($B$7-$B$10),-12*($B$6+$B$10)*(1+$B$4)^70))*IF(BT144+IF($B$1+70&lt;=$B144,12*($B$7-$B$10),-12*($B$6+$B$10)*(1+$B$4)^70)&gt;0,1+$B$3,1))</f>
        <v/>
      </c>
      <c r="BV144">
        <f>BU144</f>
        <v/>
      </c>
      <c r="BW144">
        <f>IF(AND($B144&lt;=70,BV144&gt;0),$B144,999)</f>
        <v/>
      </c>
    </row>
    <row r="145">
      <c r="A145" t="n">
        <v>49</v>
      </c>
      <c r="B145">
        <f>$B$1+49</f>
        <v/>
      </c>
      <c r="C145">
        <f>$B$2</f>
        <v/>
      </c>
      <c r="D145">
        <f>IF($B$1+1&gt;90,C145,(C145+IF($B$1+1&lt;=$B145,12*($B$7-$B$10),-12*($B$6+$B$10)*(1+$B$4)^1))*IF(C145+IF($B$1+1&lt;=$B145,12*($B$7-$B$10),-12*($B$6+$B$10)*(1+$B$4)^1)&gt;0,1+$B$3,1))</f>
        <v/>
      </c>
      <c r="E145">
        <f>IF($B$1+2&gt;90,D145,(D145+IF($B$1+2&lt;=$B145,12*($B$7-$B$10),-12*($B$6+$B$10)*(1+$B$4)^2))*IF(D145+IF($B$1+2&lt;=$B145,12*($B$7-$B$10),-12*($B$6+$B$10)*(1+$B$4)^2)&gt;0,1+$B$3,1))</f>
        <v/>
      </c>
      <c r="F145">
        <f>IF($B$1+3&gt;90,E145,(E145+IF($B$1+3&lt;=$B145,12*($B$7-$B$10),-12*($B$6+$B$10)*(1+$B$4)^3))*IF(E145+IF($B$1+3&lt;=$B145,12*($B$7-$B$10),-12*($B$6+$B$10)*(1+$B$4)^3)&gt;0,1+$B$3,1))</f>
        <v/>
      </c>
      <c r="G145">
        <f>IF($B$1+4&gt;90,F145,(F145+IF($B$1+4&lt;=$B145,12*($B$7-$B$10),-12*($B$6+$B$10)*(1+$B$4)^4))*IF(F145+IF($B$1+4&lt;=$B145,12*($B$7-$B$10),-12*($B$6+$B$10)*(1+$B$4)^4)&gt;0,1+$B$3,1))</f>
        <v/>
      </c>
      <c r="H145">
        <f>IF($B$1+5&gt;90,G145,(G145+IF($B$1+5&lt;=$B145,12*($B$7-$B$10),-12*($B$6+$B$10)*(1+$B$4)^5))*IF(G145+IF($B$1+5&lt;=$B145,12*($B$7-$B$10),-12*($B$6+$B$10)*(1+$B$4)^5)&gt;0,1+$B$3,1))</f>
        <v/>
      </c>
      <c r="I145">
        <f>IF($B$1+6&gt;90,H145,(H145+IF($B$1+6&lt;=$B145,12*($B$7-$B$10),-12*($B$6+$B$10)*(1+$B$4)^6))*IF(H145+IF($B$1+6&lt;=$B145,12*($B$7-$B$10),-12*($B$6+$B$10)*(1+$B$4)^6)&gt;0,1+$B$3,1))</f>
        <v/>
      </c>
      <c r="J145">
        <f>IF($B$1+7&gt;90,I145,(I145+IF($B$1+7&lt;=$B145,12*($B$7-$B$10),-12*($B$6+$B$10)*(1+$B$4)^7))*IF(I145+IF($B$1+7&lt;=$B145,12*($B$7-$B$10),-12*($B$6+$B$10)*(1+$B$4)^7)&gt;0,1+$B$3,1))</f>
        <v/>
      </c>
      <c r="K145">
        <f>IF($B$1+8&gt;90,J145,(J145+IF($B$1+8&lt;=$B145,12*($B$7-$B$10),-12*($B$6+$B$10)*(1+$B$4)^8))*IF(J145+IF($B$1+8&lt;=$B145,12*($B$7-$B$10),-12*($B$6+$B$10)*(1+$B$4)^8)&gt;0,1+$B$3,1))</f>
        <v/>
      </c>
      <c r="L145">
        <f>IF($B$1+9&gt;90,K145,(K145+IF($B$1+9&lt;=$B145,12*($B$7-$B$10),-12*($B$6+$B$10)*(1+$B$4)^9))*IF(K145+IF($B$1+9&lt;=$B145,12*($B$7-$B$10),-12*($B$6+$B$10)*(1+$B$4)^9)&gt;0,1+$B$3,1))</f>
        <v/>
      </c>
      <c r="M145">
        <f>IF($B$1+10&gt;90,L145,(L145+IF($B$1+10&lt;=$B145,12*($B$7-$B$10),-12*($B$6+$B$10)*(1+$B$4)^10))*IF(L145+IF($B$1+10&lt;=$B145,12*($B$7-$B$10),-12*($B$6+$B$10)*(1+$B$4)^10)&gt;0,1+$B$3,1))</f>
        <v/>
      </c>
      <c r="N145">
        <f>IF($B$1+11&gt;90,M145,(M145+IF($B$1+11&lt;=$B145,12*($B$7-$B$10),-12*($B$6+$B$10)*(1+$B$4)^11))*IF(M145+IF($B$1+11&lt;=$B145,12*($B$7-$B$10),-12*($B$6+$B$10)*(1+$B$4)^11)&gt;0,1+$B$3,1))</f>
        <v/>
      </c>
      <c r="O145">
        <f>IF($B$1+12&gt;90,N145,(N145+IF($B$1+12&lt;=$B145,12*($B$7-$B$10),-12*($B$6+$B$10)*(1+$B$4)^12))*IF(N145+IF($B$1+12&lt;=$B145,12*($B$7-$B$10),-12*($B$6+$B$10)*(1+$B$4)^12)&gt;0,1+$B$3,1))</f>
        <v/>
      </c>
      <c r="P145">
        <f>IF($B$1+13&gt;90,O145,(O145+IF($B$1+13&lt;=$B145,12*($B$7-$B$10),-12*($B$6+$B$10)*(1+$B$4)^13))*IF(O145+IF($B$1+13&lt;=$B145,12*($B$7-$B$10),-12*($B$6+$B$10)*(1+$B$4)^13)&gt;0,1+$B$3,1))</f>
        <v/>
      </c>
      <c r="Q145">
        <f>IF($B$1+14&gt;90,P145,(P145+IF($B$1+14&lt;=$B145,12*($B$7-$B$10),-12*($B$6+$B$10)*(1+$B$4)^14))*IF(P145+IF($B$1+14&lt;=$B145,12*($B$7-$B$10),-12*($B$6+$B$10)*(1+$B$4)^14)&gt;0,1+$B$3,1))</f>
        <v/>
      </c>
      <c r="R145">
        <f>IF($B$1+15&gt;90,Q145,(Q145+IF($B$1+15&lt;=$B145,12*($B$7-$B$10),-12*($B$6+$B$10)*(1+$B$4)^15))*IF(Q145+IF($B$1+15&lt;=$B145,12*($B$7-$B$10),-12*($B$6+$B$10)*(1+$B$4)^15)&gt;0,1+$B$3,1))</f>
        <v/>
      </c>
      <c r="S145">
        <f>IF($B$1+16&gt;90,R145,(R145+IF($B$1+16&lt;=$B145,12*($B$7-$B$10),-12*($B$6+$B$10)*(1+$B$4)^16))*IF(R145+IF($B$1+16&lt;=$B145,12*($B$7-$B$10),-12*($B$6+$B$10)*(1+$B$4)^16)&gt;0,1+$B$3,1))</f>
        <v/>
      </c>
      <c r="T145">
        <f>IF($B$1+17&gt;90,S145,(S145+IF($B$1+17&lt;=$B145,12*($B$7-$B$10),-12*($B$6+$B$10)*(1+$B$4)^17))*IF(S145+IF($B$1+17&lt;=$B145,12*($B$7-$B$10),-12*($B$6+$B$10)*(1+$B$4)^17)&gt;0,1+$B$3,1))</f>
        <v/>
      </c>
      <c r="U145">
        <f>IF($B$1+18&gt;90,T145,(T145+IF($B$1+18&lt;=$B145,12*($B$7-$B$10),-12*($B$6+$B$10)*(1+$B$4)^18))*IF(T145+IF($B$1+18&lt;=$B145,12*($B$7-$B$10),-12*($B$6+$B$10)*(1+$B$4)^18)&gt;0,1+$B$3,1))</f>
        <v/>
      </c>
      <c r="V145">
        <f>IF($B$1+19&gt;90,U145,(U145+IF($B$1+19&lt;=$B145,12*($B$7-$B$10),-12*($B$6+$B$10)*(1+$B$4)^19))*IF(U145+IF($B$1+19&lt;=$B145,12*($B$7-$B$10),-12*($B$6+$B$10)*(1+$B$4)^19)&gt;0,1+$B$3,1))</f>
        <v/>
      </c>
      <c r="W145">
        <f>IF($B$1+20&gt;90,V145,(V145+IF($B$1+20&lt;=$B145,12*($B$7-$B$10),-12*($B$6+$B$10)*(1+$B$4)^20))*IF(V145+IF($B$1+20&lt;=$B145,12*($B$7-$B$10),-12*($B$6+$B$10)*(1+$B$4)^20)&gt;0,1+$B$3,1))</f>
        <v/>
      </c>
      <c r="X145">
        <f>IF($B$1+21&gt;90,W145,(W145+IF($B$1+21&lt;=$B145,12*($B$7-$B$10),-12*($B$6+$B$10)*(1+$B$4)^21))*IF(W145+IF($B$1+21&lt;=$B145,12*($B$7-$B$10),-12*($B$6+$B$10)*(1+$B$4)^21)&gt;0,1+$B$3,1))</f>
        <v/>
      </c>
      <c r="Y145">
        <f>IF($B$1+22&gt;90,X145,(X145+IF($B$1+22&lt;=$B145,12*($B$7-$B$10),-12*($B$6+$B$10)*(1+$B$4)^22))*IF(X145+IF($B$1+22&lt;=$B145,12*($B$7-$B$10),-12*($B$6+$B$10)*(1+$B$4)^22)&gt;0,1+$B$3,1))</f>
        <v/>
      </c>
      <c r="Z145">
        <f>IF($B$1+23&gt;90,Y145,(Y145+IF($B$1+23&lt;=$B145,12*($B$7-$B$10),-12*($B$6+$B$10)*(1+$B$4)^23))*IF(Y145+IF($B$1+23&lt;=$B145,12*($B$7-$B$10),-12*($B$6+$B$10)*(1+$B$4)^23)&gt;0,1+$B$3,1))</f>
        <v/>
      </c>
      <c r="AA145">
        <f>IF($B$1+24&gt;90,Z145,(Z145+IF($B$1+24&lt;=$B145,12*($B$7-$B$10),-12*($B$6+$B$10)*(1+$B$4)^24))*IF(Z145+IF($B$1+24&lt;=$B145,12*($B$7-$B$10),-12*($B$6+$B$10)*(1+$B$4)^24)&gt;0,1+$B$3,1))</f>
        <v/>
      </c>
      <c r="AB145">
        <f>IF($B$1+25&gt;90,AA145,(AA145+IF($B$1+25&lt;=$B145,12*($B$7-$B$10),-12*($B$6+$B$10)*(1+$B$4)^25))*IF(AA145+IF($B$1+25&lt;=$B145,12*($B$7-$B$10),-12*($B$6+$B$10)*(1+$B$4)^25)&gt;0,1+$B$3,1))</f>
        <v/>
      </c>
      <c r="AC145">
        <f>IF($B$1+26&gt;90,AB145,(AB145+IF($B$1+26&lt;=$B145,12*($B$7-$B$10),-12*($B$6+$B$10)*(1+$B$4)^26))*IF(AB145+IF($B$1+26&lt;=$B145,12*($B$7-$B$10),-12*($B$6+$B$10)*(1+$B$4)^26)&gt;0,1+$B$3,1))</f>
        <v/>
      </c>
      <c r="AD145">
        <f>IF($B$1+27&gt;90,AC145,(AC145+IF($B$1+27&lt;=$B145,12*($B$7-$B$10),-12*($B$6+$B$10)*(1+$B$4)^27))*IF(AC145+IF($B$1+27&lt;=$B145,12*($B$7-$B$10),-12*($B$6+$B$10)*(1+$B$4)^27)&gt;0,1+$B$3,1))</f>
        <v/>
      </c>
      <c r="AE145">
        <f>IF($B$1+28&gt;90,AD145,(AD145+IF($B$1+28&lt;=$B145,12*($B$7-$B$10),-12*($B$6+$B$10)*(1+$B$4)^28))*IF(AD145+IF($B$1+28&lt;=$B145,12*($B$7-$B$10),-12*($B$6+$B$10)*(1+$B$4)^28)&gt;0,1+$B$3,1))</f>
        <v/>
      </c>
      <c r="AF145">
        <f>IF($B$1+29&gt;90,AE145,(AE145+IF($B$1+29&lt;=$B145,12*($B$7-$B$10),-12*($B$6+$B$10)*(1+$B$4)^29))*IF(AE145+IF($B$1+29&lt;=$B145,12*($B$7-$B$10),-12*($B$6+$B$10)*(1+$B$4)^29)&gt;0,1+$B$3,1))</f>
        <v/>
      </c>
      <c r="AG145">
        <f>IF($B$1+30&gt;90,AF145,(AF145+IF($B$1+30&lt;=$B145,12*($B$7-$B$10),-12*($B$6+$B$10)*(1+$B$4)^30))*IF(AF145+IF($B$1+30&lt;=$B145,12*($B$7-$B$10),-12*($B$6+$B$10)*(1+$B$4)^30)&gt;0,1+$B$3,1))</f>
        <v/>
      </c>
      <c r="AH145">
        <f>IF($B$1+31&gt;90,AG145,(AG145+IF($B$1+31&lt;=$B145,12*($B$7-$B$10),-12*($B$6+$B$10)*(1+$B$4)^31))*IF(AG145+IF($B$1+31&lt;=$B145,12*($B$7-$B$10),-12*($B$6+$B$10)*(1+$B$4)^31)&gt;0,1+$B$3,1))</f>
        <v/>
      </c>
      <c r="AI145">
        <f>IF($B$1+32&gt;90,AH145,(AH145+IF($B$1+32&lt;=$B145,12*($B$7-$B$10),-12*($B$6+$B$10)*(1+$B$4)^32))*IF(AH145+IF($B$1+32&lt;=$B145,12*($B$7-$B$10),-12*($B$6+$B$10)*(1+$B$4)^32)&gt;0,1+$B$3,1))</f>
        <v/>
      </c>
      <c r="AJ145">
        <f>IF($B$1+33&gt;90,AI145,(AI145+IF($B$1+33&lt;=$B145,12*($B$7-$B$10),-12*($B$6+$B$10)*(1+$B$4)^33))*IF(AI145+IF($B$1+33&lt;=$B145,12*($B$7-$B$10),-12*($B$6+$B$10)*(1+$B$4)^33)&gt;0,1+$B$3,1))</f>
        <v/>
      </c>
      <c r="AK145">
        <f>IF($B$1+34&gt;90,AJ145,(AJ145+IF($B$1+34&lt;=$B145,12*($B$7-$B$10),-12*($B$6+$B$10)*(1+$B$4)^34))*IF(AJ145+IF($B$1+34&lt;=$B145,12*($B$7-$B$10),-12*($B$6+$B$10)*(1+$B$4)^34)&gt;0,1+$B$3,1))</f>
        <v/>
      </c>
      <c r="AL145">
        <f>IF($B$1+35&gt;90,AK145,(AK145+IF($B$1+35&lt;=$B145,12*($B$7-$B$10),-12*($B$6+$B$10)*(1+$B$4)^35))*IF(AK145+IF($B$1+35&lt;=$B145,12*($B$7-$B$10),-12*($B$6+$B$10)*(1+$B$4)^35)&gt;0,1+$B$3,1))</f>
        <v/>
      </c>
      <c r="AM145">
        <f>IF($B$1+36&gt;90,AL145,(AL145+IF($B$1+36&lt;=$B145,12*($B$7-$B$10),-12*($B$6+$B$10)*(1+$B$4)^36))*IF(AL145+IF($B$1+36&lt;=$B145,12*($B$7-$B$10),-12*($B$6+$B$10)*(1+$B$4)^36)&gt;0,1+$B$3,1))</f>
        <v/>
      </c>
      <c r="AN145">
        <f>IF($B$1+37&gt;90,AM145,(AM145+IF($B$1+37&lt;=$B145,12*($B$7-$B$10),-12*($B$6+$B$10)*(1+$B$4)^37))*IF(AM145+IF($B$1+37&lt;=$B145,12*($B$7-$B$10),-12*($B$6+$B$10)*(1+$B$4)^37)&gt;0,1+$B$3,1))</f>
        <v/>
      </c>
      <c r="AO145">
        <f>IF($B$1+38&gt;90,AN145,(AN145+IF($B$1+38&lt;=$B145,12*($B$7-$B$10),-12*($B$6+$B$10)*(1+$B$4)^38))*IF(AN145+IF($B$1+38&lt;=$B145,12*($B$7-$B$10),-12*($B$6+$B$10)*(1+$B$4)^38)&gt;0,1+$B$3,1))</f>
        <v/>
      </c>
      <c r="AP145">
        <f>IF($B$1+39&gt;90,AO145,(AO145+IF($B$1+39&lt;=$B145,12*($B$7-$B$10),-12*($B$6+$B$10)*(1+$B$4)^39))*IF(AO145+IF($B$1+39&lt;=$B145,12*($B$7-$B$10),-12*($B$6+$B$10)*(1+$B$4)^39)&gt;0,1+$B$3,1))</f>
        <v/>
      </c>
      <c r="AQ145">
        <f>IF($B$1+40&gt;90,AP145,(AP145+IF($B$1+40&lt;=$B145,12*($B$7-$B$10),-12*($B$6+$B$10)*(1+$B$4)^40))*IF(AP145+IF($B$1+40&lt;=$B145,12*($B$7-$B$10),-12*($B$6+$B$10)*(1+$B$4)^40)&gt;0,1+$B$3,1))</f>
        <v/>
      </c>
      <c r="AR145">
        <f>IF($B$1+41&gt;90,AQ145,(AQ145+IF($B$1+41&lt;=$B145,12*($B$7-$B$10),-12*($B$6+$B$10)*(1+$B$4)^41))*IF(AQ145+IF($B$1+41&lt;=$B145,12*($B$7-$B$10),-12*($B$6+$B$10)*(1+$B$4)^41)&gt;0,1+$B$3,1))</f>
        <v/>
      </c>
      <c r="AS145">
        <f>IF($B$1+42&gt;90,AR145,(AR145+IF($B$1+42&lt;=$B145,12*($B$7-$B$10),-12*($B$6+$B$10)*(1+$B$4)^42))*IF(AR145+IF($B$1+42&lt;=$B145,12*($B$7-$B$10),-12*($B$6+$B$10)*(1+$B$4)^42)&gt;0,1+$B$3,1))</f>
        <v/>
      </c>
      <c r="AT145">
        <f>IF($B$1+43&gt;90,AS145,(AS145+IF($B$1+43&lt;=$B145,12*($B$7-$B$10),-12*($B$6+$B$10)*(1+$B$4)^43))*IF(AS145+IF($B$1+43&lt;=$B145,12*($B$7-$B$10),-12*($B$6+$B$10)*(1+$B$4)^43)&gt;0,1+$B$3,1))</f>
        <v/>
      </c>
      <c r="AU145">
        <f>IF($B$1+44&gt;90,AT145,(AT145+IF($B$1+44&lt;=$B145,12*($B$7-$B$10),-12*($B$6+$B$10)*(1+$B$4)^44))*IF(AT145+IF($B$1+44&lt;=$B145,12*($B$7-$B$10),-12*($B$6+$B$10)*(1+$B$4)^44)&gt;0,1+$B$3,1))</f>
        <v/>
      </c>
      <c r="AV145">
        <f>IF($B$1+45&gt;90,AU145,(AU145+IF($B$1+45&lt;=$B145,12*($B$7-$B$10),-12*($B$6+$B$10)*(1+$B$4)^45))*IF(AU145+IF($B$1+45&lt;=$B145,12*($B$7-$B$10),-12*($B$6+$B$10)*(1+$B$4)^45)&gt;0,1+$B$3,1))</f>
        <v/>
      </c>
      <c r="AW145">
        <f>IF($B$1+46&gt;90,AV145,(AV145+IF($B$1+46&lt;=$B145,12*($B$7-$B$10),-12*($B$6+$B$10)*(1+$B$4)^46))*IF(AV145+IF($B$1+46&lt;=$B145,12*($B$7-$B$10),-12*($B$6+$B$10)*(1+$B$4)^46)&gt;0,1+$B$3,1))</f>
        <v/>
      </c>
      <c r="AX145">
        <f>IF($B$1+47&gt;90,AW145,(AW145+IF($B$1+47&lt;=$B145,12*($B$7-$B$10),-12*($B$6+$B$10)*(1+$B$4)^47))*IF(AW145+IF($B$1+47&lt;=$B145,12*($B$7-$B$10),-12*($B$6+$B$10)*(1+$B$4)^47)&gt;0,1+$B$3,1))</f>
        <v/>
      </c>
      <c r="AY145">
        <f>IF($B$1+48&gt;90,AX145,(AX145+IF($B$1+48&lt;=$B145,12*($B$7-$B$10),-12*($B$6+$B$10)*(1+$B$4)^48))*IF(AX145+IF($B$1+48&lt;=$B145,12*($B$7-$B$10),-12*($B$6+$B$10)*(1+$B$4)^48)&gt;0,1+$B$3,1))</f>
        <v/>
      </c>
      <c r="AZ145">
        <f>IF($B$1+49&gt;90,AY145,(AY145+IF($B$1+49&lt;=$B145,12*($B$7-$B$10),-12*($B$6+$B$10)*(1+$B$4)^49))*IF(AY145+IF($B$1+49&lt;=$B145,12*($B$7-$B$10),-12*($B$6+$B$10)*(1+$B$4)^49)&gt;0,1+$B$3,1))</f>
        <v/>
      </c>
      <c r="BA145">
        <f>IF($B$1+50&gt;90,AZ145,(AZ145+IF($B$1+50&lt;=$B145,12*($B$7-$B$10),-12*($B$6+$B$10)*(1+$B$4)^50))*IF(AZ145+IF($B$1+50&lt;=$B145,12*($B$7-$B$10),-12*($B$6+$B$10)*(1+$B$4)^50)&gt;0,1+$B$3,1))</f>
        <v/>
      </c>
      <c r="BB145">
        <f>IF($B$1+51&gt;90,BA145,(BA145+IF($B$1+51&lt;=$B145,12*($B$7-$B$10),-12*($B$6+$B$10)*(1+$B$4)^51))*IF(BA145+IF($B$1+51&lt;=$B145,12*($B$7-$B$10),-12*($B$6+$B$10)*(1+$B$4)^51)&gt;0,1+$B$3,1))</f>
        <v/>
      </c>
      <c r="BC145">
        <f>IF($B$1+52&gt;90,BB145,(BB145+IF($B$1+52&lt;=$B145,12*($B$7-$B$10),-12*($B$6+$B$10)*(1+$B$4)^52))*IF(BB145+IF($B$1+52&lt;=$B145,12*($B$7-$B$10),-12*($B$6+$B$10)*(1+$B$4)^52)&gt;0,1+$B$3,1))</f>
        <v/>
      </c>
      <c r="BD145">
        <f>IF($B$1+53&gt;90,BC145,(BC145+IF($B$1+53&lt;=$B145,12*($B$7-$B$10),-12*($B$6+$B$10)*(1+$B$4)^53))*IF(BC145+IF($B$1+53&lt;=$B145,12*($B$7-$B$10),-12*($B$6+$B$10)*(1+$B$4)^53)&gt;0,1+$B$3,1))</f>
        <v/>
      </c>
      <c r="BE145">
        <f>IF($B$1+54&gt;90,BD145,(BD145+IF($B$1+54&lt;=$B145,12*($B$7-$B$10),-12*($B$6+$B$10)*(1+$B$4)^54))*IF(BD145+IF($B$1+54&lt;=$B145,12*($B$7-$B$10),-12*($B$6+$B$10)*(1+$B$4)^54)&gt;0,1+$B$3,1))</f>
        <v/>
      </c>
      <c r="BF145">
        <f>IF($B$1+55&gt;90,BE145,(BE145+IF($B$1+55&lt;=$B145,12*($B$7-$B$10),-12*($B$6+$B$10)*(1+$B$4)^55))*IF(BE145+IF($B$1+55&lt;=$B145,12*($B$7-$B$10),-12*($B$6+$B$10)*(1+$B$4)^55)&gt;0,1+$B$3,1))</f>
        <v/>
      </c>
      <c r="BG145">
        <f>IF($B$1+56&gt;90,BF145,(BF145+IF($B$1+56&lt;=$B145,12*($B$7-$B$10),-12*($B$6+$B$10)*(1+$B$4)^56))*IF(BF145+IF($B$1+56&lt;=$B145,12*($B$7-$B$10),-12*($B$6+$B$10)*(1+$B$4)^56)&gt;0,1+$B$3,1))</f>
        <v/>
      </c>
      <c r="BH145">
        <f>IF($B$1+57&gt;90,BG145,(BG145+IF($B$1+57&lt;=$B145,12*($B$7-$B$10),-12*($B$6+$B$10)*(1+$B$4)^57))*IF(BG145+IF($B$1+57&lt;=$B145,12*($B$7-$B$10),-12*($B$6+$B$10)*(1+$B$4)^57)&gt;0,1+$B$3,1))</f>
        <v/>
      </c>
      <c r="BI145">
        <f>IF($B$1+58&gt;90,BH145,(BH145+IF($B$1+58&lt;=$B145,12*($B$7-$B$10),-12*($B$6+$B$10)*(1+$B$4)^58))*IF(BH145+IF($B$1+58&lt;=$B145,12*($B$7-$B$10),-12*($B$6+$B$10)*(1+$B$4)^58)&gt;0,1+$B$3,1))</f>
        <v/>
      </c>
      <c r="BJ145">
        <f>IF($B$1+59&gt;90,BI145,(BI145+IF($B$1+59&lt;=$B145,12*($B$7-$B$10),-12*($B$6+$B$10)*(1+$B$4)^59))*IF(BI145+IF($B$1+59&lt;=$B145,12*($B$7-$B$10),-12*($B$6+$B$10)*(1+$B$4)^59)&gt;0,1+$B$3,1))</f>
        <v/>
      </c>
      <c r="BK145">
        <f>IF($B$1+60&gt;90,BJ145,(BJ145+IF($B$1+60&lt;=$B145,12*($B$7-$B$10),-12*($B$6+$B$10)*(1+$B$4)^60))*IF(BJ145+IF($B$1+60&lt;=$B145,12*($B$7-$B$10),-12*($B$6+$B$10)*(1+$B$4)^60)&gt;0,1+$B$3,1))</f>
        <v/>
      </c>
      <c r="BL145">
        <f>IF($B$1+61&gt;90,BK145,(BK145+IF($B$1+61&lt;=$B145,12*($B$7-$B$10),-12*($B$6+$B$10)*(1+$B$4)^61))*IF(BK145+IF($B$1+61&lt;=$B145,12*($B$7-$B$10),-12*($B$6+$B$10)*(1+$B$4)^61)&gt;0,1+$B$3,1))</f>
        <v/>
      </c>
      <c r="BM145">
        <f>IF($B$1+62&gt;90,BL145,(BL145+IF($B$1+62&lt;=$B145,12*($B$7-$B$10),-12*($B$6+$B$10)*(1+$B$4)^62))*IF(BL145+IF($B$1+62&lt;=$B145,12*($B$7-$B$10),-12*($B$6+$B$10)*(1+$B$4)^62)&gt;0,1+$B$3,1))</f>
        <v/>
      </c>
      <c r="BN145">
        <f>IF($B$1+63&gt;90,BM145,(BM145+IF($B$1+63&lt;=$B145,12*($B$7-$B$10),-12*($B$6+$B$10)*(1+$B$4)^63))*IF(BM145+IF($B$1+63&lt;=$B145,12*($B$7-$B$10),-12*($B$6+$B$10)*(1+$B$4)^63)&gt;0,1+$B$3,1))</f>
        <v/>
      </c>
      <c r="BO145">
        <f>IF($B$1+64&gt;90,BN145,(BN145+IF($B$1+64&lt;=$B145,12*($B$7-$B$10),-12*($B$6+$B$10)*(1+$B$4)^64))*IF(BN145+IF($B$1+64&lt;=$B145,12*($B$7-$B$10),-12*($B$6+$B$10)*(1+$B$4)^64)&gt;0,1+$B$3,1))</f>
        <v/>
      </c>
      <c r="BP145">
        <f>IF($B$1+65&gt;90,BO145,(BO145+IF($B$1+65&lt;=$B145,12*($B$7-$B$10),-12*($B$6+$B$10)*(1+$B$4)^65))*IF(BO145+IF($B$1+65&lt;=$B145,12*($B$7-$B$10),-12*($B$6+$B$10)*(1+$B$4)^65)&gt;0,1+$B$3,1))</f>
        <v/>
      </c>
      <c r="BQ145">
        <f>IF($B$1+66&gt;90,BP145,(BP145+IF($B$1+66&lt;=$B145,12*($B$7-$B$10),-12*($B$6+$B$10)*(1+$B$4)^66))*IF(BP145+IF($B$1+66&lt;=$B145,12*($B$7-$B$10),-12*($B$6+$B$10)*(1+$B$4)^66)&gt;0,1+$B$3,1))</f>
        <v/>
      </c>
      <c r="BR145">
        <f>IF($B$1+67&gt;90,BQ145,(BQ145+IF($B$1+67&lt;=$B145,12*($B$7-$B$10),-12*($B$6+$B$10)*(1+$B$4)^67))*IF(BQ145+IF($B$1+67&lt;=$B145,12*($B$7-$B$10),-12*($B$6+$B$10)*(1+$B$4)^67)&gt;0,1+$B$3,1))</f>
        <v/>
      </c>
      <c r="BS145">
        <f>IF($B$1+68&gt;90,BR145,(BR145+IF($B$1+68&lt;=$B145,12*($B$7-$B$10),-12*($B$6+$B$10)*(1+$B$4)^68))*IF(BR145+IF($B$1+68&lt;=$B145,12*($B$7-$B$10),-12*($B$6+$B$10)*(1+$B$4)^68)&gt;0,1+$B$3,1))</f>
        <v/>
      </c>
      <c r="BT145">
        <f>IF($B$1+69&gt;90,BS145,(BS145+IF($B$1+69&lt;=$B145,12*($B$7-$B$10),-12*($B$6+$B$10)*(1+$B$4)^69))*IF(BS145+IF($B$1+69&lt;=$B145,12*($B$7-$B$10),-12*($B$6+$B$10)*(1+$B$4)^69)&gt;0,1+$B$3,1))</f>
        <v/>
      </c>
      <c r="BU145">
        <f>IF($B$1+70&gt;90,BT145,(BT145+IF($B$1+70&lt;=$B145,12*($B$7-$B$10),-12*($B$6+$B$10)*(1+$B$4)^70))*IF(BT145+IF($B$1+70&lt;=$B145,12*($B$7-$B$10),-12*($B$6+$B$10)*(1+$B$4)^70)&gt;0,1+$B$3,1))</f>
        <v/>
      </c>
      <c r="BV145">
        <f>BU145</f>
        <v/>
      </c>
      <c r="BW145">
        <f>IF(AND($B145&lt;=70,BV145&gt;0),$B145,999)</f>
        <v/>
      </c>
    </row>
    <row r="146">
      <c r="A146" t="n">
        <v>50</v>
      </c>
      <c r="B146">
        <f>$B$1+50</f>
        <v/>
      </c>
      <c r="C146">
        <f>$B$2</f>
        <v/>
      </c>
      <c r="D146">
        <f>IF($B$1+1&gt;90,C146,(C146+IF($B$1+1&lt;=$B146,12*($B$7-$B$10),-12*($B$6+$B$10)*(1+$B$4)^1))*IF(C146+IF($B$1+1&lt;=$B146,12*($B$7-$B$10),-12*($B$6+$B$10)*(1+$B$4)^1)&gt;0,1+$B$3,1))</f>
        <v/>
      </c>
      <c r="E146">
        <f>IF($B$1+2&gt;90,D146,(D146+IF($B$1+2&lt;=$B146,12*($B$7-$B$10),-12*($B$6+$B$10)*(1+$B$4)^2))*IF(D146+IF($B$1+2&lt;=$B146,12*($B$7-$B$10),-12*($B$6+$B$10)*(1+$B$4)^2)&gt;0,1+$B$3,1))</f>
        <v/>
      </c>
      <c r="F146">
        <f>IF($B$1+3&gt;90,E146,(E146+IF($B$1+3&lt;=$B146,12*($B$7-$B$10),-12*($B$6+$B$10)*(1+$B$4)^3))*IF(E146+IF($B$1+3&lt;=$B146,12*($B$7-$B$10),-12*($B$6+$B$10)*(1+$B$4)^3)&gt;0,1+$B$3,1))</f>
        <v/>
      </c>
      <c r="G146">
        <f>IF($B$1+4&gt;90,F146,(F146+IF($B$1+4&lt;=$B146,12*($B$7-$B$10),-12*($B$6+$B$10)*(1+$B$4)^4))*IF(F146+IF($B$1+4&lt;=$B146,12*($B$7-$B$10),-12*($B$6+$B$10)*(1+$B$4)^4)&gt;0,1+$B$3,1))</f>
        <v/>
      </c>
      <c r="H146">
        <f>IF($B$1+5&gt;90,G146,(G146+IF($B$1+5&lt;=$B146,12*($B$7-$B$10),-12*($B$6+$B$10)*(1+$B$4)^5))*IF(G146+IF($B$1+5&lt;=$B146,12*($B$7-$B$10),-12*($B$6+$B$10)*(1+$B$4)^5)&gt;0,1+$B$3,1))</f>
        <v/>
      </c>
      <c r="I146">
        <f>IF($B$1+6&gt;90,H146,(H146+IF($B$1+6&lt;=$B146,12*($B$7-$B$10),-12*($B$6+$B$10)*(1+$B$4)^6))*IF(H146+IF($B$1+6&lt;=$B146,12*($B$7-$B$10),-12*($B$6+$B$10)*(1+$B$4)^6)&gt;0,1+$B$3,1))</f>
        <v/>
      </c>
      <c r="J146">
        <f>IF($B$1+7&gt;90,I146,(I146+IF($B$1+7&lt;=$B146,12*($B$7-$B$10),-12*($B$6+$B$10)*(1+$B$4)^7))*IF(I146+IF($B$1+7&lt;=$B146,12*($B$7-$B$10),-12*($B$6+$B$10)*(1+$B$4)^7)&gt;0,1+$B$3,1))</f>
        <v/>
      </c>
      <c r="K146">
        <f>IF($B$1+8&gt;90,J146,(J146+IF($B$1+8&lt;=$B146,12*($B$7-$B$10),-12*($B$6+$B$10)*(1+$B$4)^8))*IF(J146+IF($B$1+8&lt;=$B146,12*($B$7-$B$10),-12*($B$6+$B$10)*(1+$B$4)^8)&gt;0,1+$B$3,1))</f>
        <v/>
      </c>
      <c r="L146">
        <f>IF($B$1+9&gt;90,K146,(K146+IF($B$1+9&lt;=$B146,12*($B$7-$B$10),-12*($B$6+$B$10)*(1+$B$4)^9))*IF(K146+IF($B$1+9&lt;=$B146,12*($B$7-$B$10),-12*($B$6+$B$10)*(1+$B$4)^9)&gt;0,1+$B$3,1))</f>
        <v/>
      </c>
      <c r="M146">
        <f>IF($B$1+10&gt;90,L146,(L146+IF($B$1+10&lt;=$B146,12*($B$7-$B$10),-12*($B$6+$B$10)*(1+$B$4)^10))*IF(L146+IF($B$1+10&lt;=$B146,12*($B$7-$B$10),-12*($B$6+$B$10)*(1+$B$4)^10)&gt;0,1+$B$3,1))</f>
        <v/>
      </c>
      <c r="N146">
        <f>IF($B$1+11&gt;90,M146,(M146+IF($B$1+11&lt;=$B146,12*($B$7-$B$10),-12*($B$6+$B$10)*(1+$B$4)^11))*IF(M146+IF($B$1+11&lt;=$B146,12*($B$7-$B$10),-12*($B$6+$B$10)*(1+$B$4)^11)&gt;0,1+$B$3,1))</f>
        <v/>
      </c>
      <c r="O146">
        <f>IF($B$1+12&gt;90,N146,(N146+IF($B$1+12&lt;=$B146,12*($B$7-$B$10),-12*($B$6+$B$10)*(1+$B$4)^12))*IF(N146+IF($B$1+12&lt;=$B146,12*($B$7-$B$10),-12*($B$6+$B$10)*(1+$B$4)^12)&gt;0,1+$B$3,1))</f>
        <v/>
      </c>
      <c r="P146">
        <f>IF($B$1+13&gt;90,O146,(O146+IF($B$1+13&lt;=$B146,12*($B$7-$B$10),-12*($B$6+$B$10)*(1+$B$4)^13))*IF(O146+IF($B$1+13&lt;=$B146,12*($B$7-$B$10),-12*($B$6+$B$10)*(1+$B$4)^13)&gt;0,1+$B$3,1))</f>
        <v/>
      </c>
      <c r="Q146">
        <f>IF($B$1+14&gt;90,P146,(P146+IF($B$1+14&lt;=$B146,12*($B$7-$B$10),-12*($B$6+$B$10)*(1+$B$4)^14))*IF(P146+IF($B$1+14&lt;=$B146,12*($B$7-$B$10),-12*($B$6+$B$10)*(1+$B$4)^14)&gt;0,1+$B$3,1))</f>
        <v/>
      </c>
      <c r="R146">
        <f>IF($B$1+15&gt;90,Q146,(Q146+IF($B$1+15&lt;=$B146,12*($B$7-$B$10),-12*($B$6+$B$10)*(1+$B$4)^15))*IF(Q146+IF($B$1+15&lt;=$B146,12*($B$7-$B$10),-12*($B$6+$B$10)*(1+$B$4)^15)&gt;0,1+$B$3,1))</f>
        <v/>
      </c>
      <c r="S146">
        <f>IF($B$1+16&gt;90,R146,(R146+IF($B$1+16&lt;=$B146,12*($B$7-$B$10),-12*($B$6+$B$10)*(1+$B$4)^16))*IF(R146+IF($B$1+16&lt;=$B146,12*($B$7-$B$10),-12*($B$6+$B$10)*(1+$B$4)^16)&gt;0,1+$B$3,1))</f>
        <v/>
      </c>
      <c r="T146">
        <f>IF($B$1+17&gt;90,S146,(S146+IF($B$1+17&lt;=$B146,12*($B$7-$B$10),-12*($B$6+$B$10)*(1+$B$4)^17))*IF(S146+IF($B$1+17&lt;=$B146,12*($B$7-$B$10),-12*($B$6+$B$10)*(1+$B$4)^17)&gt;0,1+$B$3,1))</f>
        <v/>
      </c>
      <c r="U146">
        <f>IF($B$1+18&gt;90,T146,(T146+IF($B$1+18&lt;=$B146,12*($B$7-$B$10),-12*($B$6+$B$10)*(1+$B$4)^18))*IF(T146+IF($B$1+18&lt;=$B146,12*($B$7-$B$10),-12*($B$6+$B$10)*(1+$B$4)^18)&gt;0,1+$B$3,1))</f>
        <v/>
      </c>
      <c r="V146">
        <f>IF($B$1+19&gt;90,U146,(U146+IF($B$1+19&lt;=$B146,12*($B$7-$B$10),-12*($B$6+$B$10)*(1+$B$4)^19))*IF(U146+IF($B$1+19&lt;=$B146,12*($B$7-$B$10),-12*($B$6+$B$10)*(1+$B$4)^19)&gt;0,1+$B$3,1))</f>
        <v/>
      </c>
      <c r="W146">
        <f>IF($B$1+20&gt;90,V146,(V146+IF($B$1+20&lt;=$B146,12*($B$7-$B$10),-12*($B$6+$B$10)*(1+$B$4)^20))*IF(V146+IF($B$1+20&lt;=$B146,12*($B$7-$B$10),-12*($B$6+$B$10)*(1+$B$4)^20)&gt;0,1+$B$3,1))</f>
        <v/>
      </c>
      <c r="X146">
        <f>IF($B$1+21&gt;90,W146,(W146+IF($B$1+21&lt;=$B146,12*($B$7-$B$10),-12*($B$6+$B$10)*(1+$B$4)^21))*IF(W146+IF($B$1+21&lt;=$B146,12*($B$7-$B$10),-12*($B$6+$B$10)*(1+$B$4)^21)&gt;0,1+$B$3,1))</f>
        <v/>
      </c>
      <c r="Y146">
        <f>IF($B$1+22&gt;90,X146,(X146+IF($B$1+22&lt;=$B146,12*($B$7-$B$10),-12*($B$6+$B$10)*(1+$B$4)^22))*IF(X146+IF($B$1+22&lt;=$B146,12*($B$7-$B$10),-12*($B$6+$B$10)*(1+$B$4)^22)&gt;0,1+$B$3,1))</f>
        <v/>
      </c>
      <c r="Z146">
        <f>IF($B$1+23&gt;90,Y146,(Y146+IF($B$1+23&lt;=$B146,12*($B$7-$B$10),-12*($B$6+$B$10)*(1+$B$4)^23))*IF(Y146+IF($B$1+23&lt;=$B146,12*($B$7-$B$10),-12*($B$6+$B$10)*(1+$B$4)^23)&gt;0,1+$B$3,1))</f>
        <v/>
      </c>
      <c r="AA146">
        <f>IF($B$1+24&gt;90,Z146,(Z146+IF($B$1+24&lt;=$B146,12*($B$7-$B$10),-12*($B$6+$B$10)*(1+$B$4)^24))*IF(Z146+IF($B$1+24&lt;=$B146,12*($B$7-$B$10),-12*($B$6+$B$10)*(1+$B$4)^24)&gt;0,1+$B$3,1))</f>
        <v/>
      </c>
      <c r="AB146">
        <f>IF($B$1+25&gt;90,AA146,(AA146+IF($B$1+25&lt;=$B146,12*($B$7-$B$10),-12*($B$6+$B$10)*(1+$B$4)^25))*IF(AA146+IF($B$1+25&lt;=$B146,12*($B$7-$B$10),-12*($B$6+$B$10)*(1+$B$4)^25)&gt;0,1+$B$3,1))</f>
        <v/>
      </c>
      <c r="AC146">
        <f>IF($B$1+26&gt;90,AB146,(AB146+IF($B$1+26&lt;=$B146,12*($B$7-$B$10),-12*($B$6+$B$10)*(1+$B$4)^26))*IF(AB146+IF($B$1+26&lt;=$B146,12*($B$7-$B$10),-12*($B$6+$B$10)*(1+$B$4)^26)&gt;0,1+$B$3,1))</f>
        <v/>
      </c>
      <c r="AD146">
        <f>IF($B$1+27&gt;90,AC146,(AC146+IF($B$1+27&lt;=$B146,12*($B$7-$B$10),-12*($B$6+$B$10)*(1+$B$4)^27))*IF(AC146+IF($B$1+27&lt;=$B146,12*($B$7-$B$10),-12*($B$6+$B$10)*(1+$B$4)^27)&gt;0,1+$B$3,1))</f>
        <v/>
      </c>
      <c r="AE146">
        <f>IF($B$1+28&gt;90,AD146,(AD146+IF($B$1+28&lt;=$B146,12*($B$7-$B$10),-12*($B$6+$B$10)*(1+$B$4)^28))*IF(AD146+IF($B$1+28&lt;=$B146,12*($B$7-$B$10),-12*($B$6+$B$10)*(1+$B$4)^28)&gt;0,1+$B$3,1))</f>
        <v/>
      </c>
      <c r="AF146">
        <f>IF($B$1+29&gt;90,AE146,(AE146+IF($B$1+29&lt;=$B146,12*($B$7-$B$10),-12*($B$6+$B$10)*(1+$B$4)^29))*IF(AE146+IF($B$1+29&lt;=$B146,12*($B$7-$B$10),-12*($B$6+$B$10)*(1+$B$4)^29)&gt;0,1+$B$3,1))</f>
        <v/>
      </c>
      <c r="AG146">
        <f>IF($B$1+30&gt;90,AF146,(AF146+IF($B$1+30&lt;=$B146,12*($B$7-$B$10),-12*($B$6+$B$10)*(1+$B$4)^30))*IF(AF146+IF($B$1+30&lt;=$B146,12*($B$7-$B$10),-12*($B$6+$B$10)*(1+$B$4)^30)&gt;0,1+$B$3,1))</f>
        <v/>
      </c>
      <c r="AH146">
        <f>IF($B$1+31&gt;90,AG146,(AG146+IF($B$1+31&lt;=$B146,12*($B$7-$B$10),-12*($B$6+$B$10)*(1+$B$4)^31))*IF(AG146+IF($B$1+31&lt;=$B146,12*($B$7-$B$10),-12*($B$6+$B$10)*(1+$B$4)^31)&gt;0,1+$B$3,1))</f>
        <v/>
      </c>
      <c r="AI146">
        <f>IF($B$1+32&gt;90,AH146,(AH146+IF($B$1+32&lt;=$B146,12*($B$7-$B$10),-12*($B$6+$B$10)*(1+$B$4)^32))*IF(AH146+IF($B$1+32&lt;=$B146,12*($B$7-$B$10),-12*($B$6+$B$10)*(1+$B$4)^32)&gt;0,1+$B$3,1))</f>
        <v/>
      </c>
      <c r="AJ146">
        <f>IF($B$1+33&gt;90,AI146,(AI146+IF($B$1+33&lt;=$B146,12*($B$7-$B$10),-12*($B$6+$B$10)*(1+$B$4)^33))*IF(AI146+IF($B$1+33&lt;=$B146,12*($B$7-$B$10),-12*($B$6+$B$10)*(1+$B$4)^33)&gt;0,1+$B$3,1))</f>
        <v/>
      </c>
      <c r="AK146">
        <f>IF($B$1+34&gt;90,AJ146,(AJ146+IF($B$1+34&lt;=$B146,12*($B$7-$B$10),-12*($B$6+$B$10)*(1+$B$4)^34))*IF(AJ146+IF($B$1+34&lt;=$B146,12*($B$7-$B$10),-12*($B$6+$B$10)*(1+$B$4)^34)&gt;0,1+$B$3,1))</f>
        <v/>
      </c>
      <c r="AL146">
        <f>IF($B$1+35&gt;90,AK146,(AK146+IF($B$1+35&lt;=$B146,12*($B$7-$B$10),-12*($B$6+$B$10)*(1+$B$4)^35))*IF(AK146+IF($B$1+35&lt;=$B146,12*($B$7-$B$10),-12*($B$6+$B$10)*(1+$B$4)^35)&gt;0,1+$B$3,1))</f>
        <v/>
      </c>
      <c r="AM146">
        <f>IF($B$1+36&gt;90,AL146,(AL146+IF($B$1+36&lt;=$B146,12*($B$7-$B$10),-12*($B$6+$B$10)*(1+$B$4)^36))*IF(AL146+IF($B$1+36&lt;=$B146,12*($B$7-$B$10),-12*($B$6+$B$10)*(1+$B$4)^36)&gt;0,1+$B$3,1))</f>
        <v/>
      </c>
      <c r="AN146">
        <f>IF($B$1+37&gt;90,AM146,(AM146+IF($B$1+37&lt;=$B146,12*($B$7-$B$10),-12*($B$6+$B$10)*(1+$B$4)^37))*IF(AM146+IF($B$1+37&lt;=$B146,12*($B$7-$B$10),-12*($B$6+$B$10)*(1+$B$4)^37)&gt;0,1+$B$3,1))</f>
        <v/>
      </c>
      <c r="AO146">
        <f>IF($B$1+38&gt;90,AN146,(AN146+IF($B$1+38&lt;=$B146,12*($B$7-$B$10),-12*($B$6+$B$10)*(1+$B$4)^38))*IF(AN146+IF($B$1+38&lt;=$B146,12*($B$7-$B$10),-12*($B$6+$B$10)*(1+$B$4)^38)&gt;0,1+$B$3,1))</f>
        <v/>
      </c>
      <c r="AP146">
        <f>IF($B$1+39&gt;90,AO146,(AO146+IF($B$1+39&lt;=$B146,12*($B$7-$B$10),-12*($B$6+$B$10)*(1+$B$4)^39))*IF(AO146+IF($B$1+39&lt;=$B146,12*($B$7-$B$10),-12*($B$6+$B$10)*(1+$B$4)^39)&gt;0,1+$B$3,1))</f>
        <v/>
      </c>
      <c r="AQ146">
        <f>IF($B$1+40&gt;90,AP146,(AP146+IF($B$1+40&lt;=$B146,12*($B$7-$B$10),-12*($B$6+$B$10)*(1+$B$4)^40))*IF(AP146+IF($B$1+40&lt;=$B146,12*($B$7-$B$10),-12*($B$6+$B$10)*(1+$B$4)^40)&gt;0,1+$B$3,1))</f>
        <v/>
      </c>
      <c r="AR146">
        <f>IF($B$1+41&gt;90,AQ146,(AQ146+IF($B$1+41&lt;=$B146,12*($B$7-$B$10),-12*($B$6+$B$10)*(1+$B$4)^41))*IF(AQ146+IF($B$1+41&lt;=$B146,12*($B$7-$B$10),-12*($B$6+$B$10)*(1+$B$4)^41)&gt;0,1+$B$3,1))</f>
        <v/>
      </c>
      <c r="AS146">
        <f>IF($B$1+42&gt;90,AR146,(AR146+IF($B$1+42&lt;=$B146,12*($B$7-$B$10),-12*($B$6+$B$10)*(1+$B$4)^42))*IF(AR146+IF($B$1+42&lt;=$B146,12*($B$7-$B$10),-12*($B$6+$B$10)*(1+$B$4)^42)&gt;0,1+$B$3,1))</f>
        <v/>
      </c>
      <c r="AT146">
        <f>IF($B$1+43&gt;90,AS146,(AS146+IF($B$1+43&lt;=$B146,12*($B$7-$B$10),-12*($B$6+$B$10)*(1+$B$4)^43))*IF(AS146+IF($B$1+43&lt;=$B146,12*($B$7-$B$10),-12*($B$6+$B$10)*(1+$B$4)^43)&gt;0,1+$B$3,1))</f>
        <v/>
      </c>
      <c r="AU146">
        <f>IF($B$1+44&gt;90,AT146,(AT146+IF($B$1+44&lt;=$B146,12*($B$7-$B$10),-12*($B$6+$B$10)*(1+$B$4)^44))*IF(AT146+IF($B$1+44&lt;=$B146,12*($B$7-$B$10),-12*($B$6+$B$10)*(1+$B$4)^44)&gt;0,1+$B$3,1))</f>
        <v/>
      </c>
      <c r="AV146">
        <f>IF($B$1+45&gt;90,AU146,(AU146+IF($B$1+45&lt;=$B146,12*($B$7-$B$10),-12*($B$6+$B$10)*(1+$B$4)^45))*IF(AU146+IF($B$1+45&lt;=$B146,12*($B$7-$B$10),-12*($B$6+$B$10)*(1+$B$4)^45)&gt;0,1+$B$3,1))</f>
        <v/>
      </c>
      <c r="AW146">
        <f>IF($B$1+46&gt;90,AV146,(AV146+IF($B$1+46&lt;=$B146,12*($B$7-$B$10),-12*($B$6+$B$10)*(1+$B$4)^46))*IF(AV146+IF($B$1+46&lt;=$B146,12*($B$7-$B$10),-12*($B$6+$B$10)*(1+$B$4)^46)&gt;0,1+$B$3,1))</f>
        <v/>
      </c>
      <c r="AX146">
        <f>IF($B$1+47&gt;90,AW146,(AW146+IF($B$1+47&lt;=$B146,12*($B$7-$B$10),-12*($B$6+$B$10)*(1+$B$4)^47))*IF(AW146+IF($B$1+47&lt;=$B146,12*($B$7-$B$10),-12*($B$6+$B$10)*(1+$B$4)^47)&gt;0,1+$B$3,1))</f>
        <v/>
      </c>
      <c r="AY146">
        <f>IF($B$1+48&gt;90,AX146,(AX146+IF($B$1+48&lt;=$B146,12*($B$7-$B$10),-12*($B$6+$B$10)*(1+$B$4)^48))*IF(AX146+IF($B$1+48&lt;=$B146,12*($B$7-$B$10),-12*($B$6+$B$10)*(1+$B$4)^48)&gt;0,1+$B$3,1))</f>
        <v/>
      </c>
      <c r="AZ146">
        <f>IF($B$1+49&gt;90,AY146,(AY146+IF($B$1+49&lt;=$B146,12*($B$7-$B$10),-12*($B$6+$B$10)*(1+$B$4)^49))*IF(AY146+IF($B$1+49&lt;=$B146,12*($B$7-$B$10),-12*($B$6+$B$10)*(1+$B$4)^49)&gt;0,1+$B$3,1))</f>
        <v/>
      </c>
      <c r="BA146">
        <f>IF($B$1+50&gt;90,AZ146,(AZ146+IF($B$1+50&lt;=$B146,12*($B$7-$B$10),-12*($B$6+$B$10)*(1+$B$4)^50))*IF(AZ146+IF($B$1+50&lt;=$B146,12*($B$7-$B$10),-12*($B$6+$B$10)*(1+$B$4)^50)&gt;0,1+$B$3,1))</f>
        <v/>
      </c>
      <c r="BB146">
        <f>IF($B$1+51&gt;90,BA146,(BA146+IF($B$1+51&lt;=$B146,12*($B$7-$B$10),-12*($B$6+$B$10)*(1+$B$4)^51))*IF(BA146+IF($B$1+51&lt;=$B146,12*($B$7-$B$10),-12*($B$6+$B$10)*(1+$B$4)^51)&gt;0,1+$B$3,1))</f>
        <v/>
      </c>
      <c r="BC146">
        <f>IF($B$1+52&gt;90,BB146,(BB146+IF($B$1+52&lt;=$B146,12*($B$7-$B$10),-12*($B$6+$B$10)*(1+$B$4)^52))*IF(BB146+IF($B$1+52&lt;=$B146,12*($B$7-$B$10),-12*($B$6+$B$10)*(1+$B$4)^52)&gt;0,1+$B$3,1))</f>
        <v/>
      </c>
      <c r="BD146">
        <f>IF($B$1+53&gt;90,BC146,(BC146+IF($B$1+53&lt;=$B146,12*($B$7-$B$10),-12*($B$6+$B$10)*(1+$B$4)^53))*IF(BC146+IF($B$1+53&lt;=$B146,12*($B$7-$B$10),-12*($B$6+$B$10)*(1+$B$4)^53)&gt;0,1+$B$3,1))</f>
        <v/>
      </c>
      <c r="BE146">
        <f>IF($B$1+54&gt;90,BD146,(BD146+IF($B$1+54&lt;=$B146,12*($B$7-$B$10),-12*($B$6+$B$10)*(1+$B$4)^54))*IF(BD146+IF($B$1+54&lt;=$B146,12*($B$7-$B$10),-12*($B$6+$B$10)*(1+$B$4)^54)&gt;0,1+$B$3,1))</f>
        <v/>
      </c>
      <c r="BF146">
        <f>IF($B$1+55&gt;90,BE146,(BE146+IF($B$1+55&lt;=$B146,12*($B$7-$B$10),-12*($B$6+$B$10)*(1+$B$4)^55))*IF(BE146+IF($B$1+55&lt;=$B146,12*($B$7-$B$10),-12*($B$6+$B$10)*(1+$B$4)^55)&gt;0,1+$B$3,1))</f>
        <v/>
      </c>
      <c r="BG146">
        <f>IF($B$1+56&gt;90,BF146,(BF146+IF($B$1+56&lt;=$B146,12*($B$7-$B$10),-12*($B$6+$B$10)*(1+$B$4)^56))*IF(BF146+IF($B$1+56&lt;=$B146,12*($B$7-$B$10),-12*($B$6+$B$10)*(1+$B$4)^56)&gt;0,1+$B$3,1))</f>
        <v/>
      </c>
      <c r="BH146">
        <f>IF($B$1+57&gt;90,BG146,(BG146+IF($B$1+57&lt;=$B146,12*($B$7-$B$10),-12*($B$6+$B$10)*(1+$B$4)^57))*IF(BG146+IF($B$1+57&lt;=$B146,12*($B$7-$B$10),-12*($B$6+$B$10)*(1+$B$4)^57)&gt;0,1+$B$3,1))</f>
        <v/>
      </c>
      <c r="BI146">
        <f>IF($B$1+58&gt;90,BH146,(BH146+IF($B$1+58&lt;=$B146,12*($B$7-$B$10),-12*($B$6+$B$10)*(1+$B$4)^58))*IF(BH146+IF($B$1+58&lt;=$B146,12*($B$7-$B$10),-12*($B$6+$B$10)*(1+$B$4)^58)&gt;0,1+$B$3,1))</f>
        <v/>
      </c>
      <c r="BJ146">
        <f>IF($B$1+59&gt;90,BI146,(BI146+IF($B$1+59&lt;=$B146,12*($B$7-$B$10),-12*($B$6+$B$10)*(1+$B$4)^59))*IF(BI146+IF($B$1+59&lt;=$B146,12*($B$7-$B$10),-12*($B$6+$B$10)*(1+$B$4)^59)&gt;0,1+$B$3,1))</f>
        <v/>
      </c>
      <c r="BK146">
        <f>IF($B$1+60&gt;90,BJ146,(BJ146+IF($B$1+60&lt;=$B146,12*($B$7-$B$10),-12*($B$6+$B$10)*(1+$B$4)^60))*IF(BJ146+IF($B$1+60&lt;=$B146,12*($B$7-$B$10),-12*($B$6+$B$10)*(1+$B$4)^60)&gt;0,1+$B$3,1))</f>
        <v/>
      </c>
      <c r="BL146">
        <f>IF($B$1+61&gt;90,BK146,(BK146+IF($B$1+61&lt;=$B146,12*($B$7-$B$10),-12*($B$6+$B$10)*(1+$B$4)^61))*IF(BK146+IF($B$1+61&lt;=$B146,12*($B$7-$B$10),-12*($B$6+$B$10)*(1+$B$4)^61)&gt;0,1+$B$3,1))</f>
        <v/>
      </c>
      <c r="BM146">
        <f>IF($B$1+62&gt;90,BL146,(BL146+IF($B$1+62&lt;=$B146,12*($B$7-$B$10),-12*($B$6+$B$10)*(1+$B$4)^62))*IF(BL146+IF($B$1+62&lt;=$B146,12*($B$7-$B$10),-12*($B$6+$B$10)*(1+$B$4)^62)&gt;0,1+$B$3,1))</f>
        <v/>
      </c>
      <c r="BN146">
        <f>IF($B$1+63&gt;90,BM146,(BM146+IF($B$1+63&lt;=$B146,12*($B$7-$B$10),-12*($B$6+$B$10)*(1+$B$4)^63))*IF(BM146+IF($B$1+63&lt;=$B146,12*($B$7-$B$10),-12*($B$6+$B$10)*(1+$B$4)^63)&gt;0,1+$B$3,1))</f>
        <v/>
      </c>
      <c r="BO146">
        <f>IF($B$1+64&gt;90,BN146,(BN146+IF($B$1+64&lt;=$B146,12*($B$7-$B$10),-12*($B$6+$B$10)*(1+$B$4)^64))*IF(BN146+IF($B$1+64&lt;=$B146,12*($B$7-$B$10),-12*($B$6+$B$10)*(1+$B$4)^64)&gt;0,1+$B$3,1))</f>
        <v/>
      </c>
      <c r="BP146">
        <f>IF($B$1+65&gt;90,BO146,(BO146+IF($B$1+65&lt;=$B146,12*($B$7-$B$10),-12*($B$6+$B$10)*(1+$B$4)^65))*IF(BO146+IF($B$1+65&lt;=$B146,12*($B$7-$B$10),-12*($B$6+$B$10)*(1+$B$4)^65)&gt;0,1+$B$3,1))</f>
        <v/>
      </c>
      <c r="BQ146">
        <f>IF($B$1+66&gt;90,BP146,(BP146+IF($B$1+66&lt;=$B146,12*($B$7-$B$10),-12*($B$6+$B$10)*(1+$B$4)^66))*IF(BP146+IF($B$1+66&lt;=$B146,12*($B$7-$B$10),-12*($B$6+$B$10)*(1+$B$4)^66)&gt;0,1+$B$3,1))</f>
        <v/>
      </c>
      <c r="BR146">
        <f>IF($B$1+67&gt;90,BQ146,(BQ146+IF($B$1+67&lt;=$B146,12*($B$7-$B$10),-12*($B$6+$B$10)*(1+$B$4)^67))*IF(BQ146+IF($B$1+67&lt;=$B146,12*($B$7-$B$10),-12*($B$6+$B$10)*(1+$B$4)^67)&gt;0,1+$B$3,1))</f>
        <v/>
      </c>
      <c r="BS146">
        <f>IF($B$1+68&gt;90,BR146,(BR146+IF($B$1+68&lt;=$B146,12*($B$7-$B$10),-12*($B$6+$B$10)*(1+$B$4)^68))*IF(BR146+IF($B$1+68&lt;=$B146,12*($B$7-$B$10),-12*($B$6+$B$10)*(1+$B$4)^68)&gt;0,1+$B$3,1))</f>
        <v/>
      </c>
      <c r="BT146">
        <f>IF($B$1+69&gt;90,BS146,(BS146+IF($B$1+69&lt;=$B146,12*($B$7-$B$10),-12*($B$6+$B$10)*(1+$B$4)^69))*IF(BS146+IF($B$1+69&lt;=$B146,12*($B$7-$B$10),-12*($B$6+$B$10)*(1+$B$4)^69)&gt;0,1+$B$3,1))</f>
        <v/>
      </c>
      <c r="BU146">
        <f>IF($B$1+70&gt;90,BT146,(BT146+IF($B$1+70&lt;=$B146,12*($B$7-$B$10),-12*($B$6+$B$10)*(1+$B$4)^70))*IF(BT146+IF($B$1+70&lt;=$B146,12*($B$7-$B$10),-12*($B$6+$B$10)*(1+$B$4)^70)&gt;0,1+$B$3,1))</f>
        <v/>
      </c>
      <c r="BV146">
        <f>BU146</f>
        <v/>
      </c>
      <c r="BW146">
        <f>IF(AND($B146&lt;=70,BV146&gt;0),$B146,999)</f>
        <v/>
      </c>
    </row>
    <row r="149">
      <c r="A149" t="inlineStr">
        <is>
          <t>결과 2</t>
        </is>
      </c>
      <c r="B149">
        <f>MIN(BW152:BW202)</f>
        <v/>
      </c>
      <c r="C149">
        <f>IF(B149=999,"",IF(B149=$B$1,$B$1,B149-1+(-INDEX(BV152:BV202,B149-$B$1))/(INDEX(BV152:BV202,B149-$B$1+1)-INDEX(BV152:BV202,B149-$B$1))))</f>
        <v/>
      </c>
      <c r="D149">
        <f>IF(C149="","",ROUND(C149*12,0))</f>
        <v/>
      </c>
    </row>
    <row r="151">
      <c r="A151" t="inlineStr">
        <is>
          <t>시나리오 2</t>
        </is>
      </c>
      <c r="B151" t="inlineStr">
        <is>
          <t>R</t>
        </is>
      </c>
      <c r="C151" t="n">
        <v>0</v>
      </c>
      <c r="D151" t="n">
        <v>1</v>
      </c>
      <c r="E151" t="n">
        <v>2</v>
      </c>
      <c r="F151" t="n">
        <v>3</v>
      </c>
      <c r="G151" t="n">
        <v>4</v>
      </c>
      <c r="H151" t="n">
        <v>5</v>
      </c>
      <c r="I151" t="n">
        <v>6</v>
      </c>
      <c r="J151" t="n">
        <v>7</v>
      </c>
      <c r="K151" t="n">
        <v>8</v>
      </c>
      <c r="L151" t="n">
        <v>9</v>
      </c>
      <c r="M151" t="n">
        <v>10</v>
      </c>
      <c r="N151" t="n">
        <v>11</v>
      </c>
      <c r="O151" t="n">
        <v>12</v>
      </c>
      <c r="P151" t="n">
        <v>13</v>
      </c>
      <c r="Q151" t="n">
        <v>14</v>
      </c>
      <c r="R151" t="n">
        <v>15</v>
      </c>
      <c r="S151" t="n">
        <v>16</v>
      </c>
      <c r="T151" t="n">
        <v>17</v>
      </c>
      <c r="U151" t="n">
        <v>18</v>
      </c>
      <c r="V151" t="n">
        <v>19</v>
      </c>
      <c r="W151" t="n">
        <v>20</v>
      </c>
      <c r="X151" t="n">
        <v>21</v>
      </c>
      <c r="Y151" t="n">
        <v>22</v>
      </c>
      <c r="Z151" t="n">
        <v>23</v>
      </c>
      <c r="AA151" t="n">
        <v>24</v>
      </c>
      <c r="AB151" t="n">
        <v>25</v>
      </c>
      <c r="AC151" t="n">
        <v>26</v>
      </c>
      <c r="AD151" t="n">
        <v>27</v>
      </c>
      <c r="AE151" t="n">
        <v>28</v>
      </c>
      <c r="AF151" t="n">
        <v>29</v>
      </c>
      <c r="AG151" t="n">
        <v>30</v>
      </c>
      <c r="AH151" t="n">
        <v>31</v>
      </c>
      <c r="AI151" t="n">
        <v>32</v>
      </c>
      <c r="AJ151" t="n">
        <v>33</v>
      </c>
      <c r="AK151" t="n">
        <v>34</v>
      </c>
      <c r="AL151" t="n">
        <v>35</v>
      </c>
      <c r="AM151" t="n">
        <v>36</v>
      </c>
      <c r="AN151" t="n">
        <v>37</v>
      </c>
      <c r="AO151" t="n">
        <v>38</v>
      </c>
      <c r="AP151" t="n">
        <v>39</v>
      </c>
      <c r="AQ151" t="n">
        <v>40</v>
      </c>
      <c r="AR151" t="n">
        <v>41</v>
      </c>
      <c r="AS151" t="n">
        <v>42</v>
      </c>
      <c r="AT151" t="n">
        <v>43</v>
      </c>
      <c r="AU151" t="n">
        <v>44</v>
      </c>
      <c r="AV151" t="n">
        <v>45</v>
      </c>
      <c r="AW151" t="n">
        <v>46</v>
      </c>
      <c r="AX151" t="n">
        <v>47</v>
      </c>
      <c r="AY151" t="n">
        <v>48</v>
      </c>
      <c r="AZ151" t="n">
        <v>49</v>
      </c>
      <c r="BA151" t="n">
        <v>50</v>
      </c>
      <c r="BB151" t="n">
        <v>51</v>
      </c>
      <c r="BC151" t="n">
        <v>52</v>
      </c>
      <c r="BD151" t="n">
        <v>53</v>
      </c>
      <c r="BE151" t="n">
        <v>54</v>
      </c>
      <c r="BF151" t="n">
        <v>55</v>
      </c>
      <c r="BG151" t="n">
        <v>56</v>
      </c>
      <c r="BH151" t="n">
        <v>57</v>
      </c>
      <c r="BI151" t="n">
        <v>58</v>
      </c>
      <c r="BJ151" t="n">
        <v>59</v>
      </c>
      <c r="BK151" t="n">
        <v>60</v>
      </c>
      <c r="BL151" t="n">
        <v>61</v>
      </c>
      <c r="BM151" t="n">
        <v>62</v>
      </c>
      <c r="BN151" t="n">
        <v>63</v>
      </c>
      <c r="BO151" t="n">
        <v>64</v>
      </c>
      <c r="BP151" t="n">
        <v>65</v>
      </c>
      <c r="BQ151" t="n">
        <v>66</v>
      </c>
      <c r="BR151" t="n">
        <v>67</v>
      </c>
      <c r="BS151" t="n">
        <v>68</v>
      </c>
      <c r="BT151" t="n">
        <v>69</v>
      </c>
      <c r="BU151" t="n">
        <v>70</v>
      </c>
      <c r="BV151" t="inlineStr">
        <is>
          <t>90세 자산</t>
        </is>
      </c>
      <c r="BW151" t="inlineStr">
        <is>
          <t>가능 R</t>
        </is>
      </c>
    </row>
    <row r="152">
      <c r="A152" t="n">
        <v>0</v>
      </c>
      <c r="B152">
        <f>$B$1+0</f>
        <v/>
      </c>
      <c r="C152">
        <f>$B$2</f>
        <v/>
      </c>
      <c r="D152">
        <f>IF($B$1+1&gt;90,C152,(C152+IF($B$1+1&lt;=$B152,12*$B$9,-12*$B$8*(1+$B$4)^1))*IF(C152+IF($B$1+1&lt;=$B152,12*$B$9,-12*$B$8*(1+$B$4)^1)&gt;0,1+$B$3,1))</f>
        <v/>
      </c>
      <c r="E152">
        <f>IF($B$1+2&gt;90,D152,(D152+IF($B$1+2&lt;=$B152,12*$B$9,-12*$B$8*(1+$B$4)^2))*IF(D152+IF($B$1+2&lt;=$B152,12*$B$9,-12*$B$8*(1+$B$4)^2)&gt;0,1+$B$3,1))</f>
        <v/>
      </c>
      <c r="F152">
        <f>IF($B$1+3&gt;90,E152,(E152+IF($B$1+3&lt;=$B152,12*$B$9,-12*$B$8*(1+$B$4)^3))*IF(E152+IF($B$1+3&lt;=$B152,12*$B$9,-12*$B$8*(1+$B$4)^3)&gt;0,1+$B$3,1))</f>
        <v/>
      </c>
      <c r="G152">
        <f>IF($B$1+4&gt;90,F152,(F152+IF($B$1+4&lt;=$B152,12*$B$9,-12*$B$8*(1+$B$4)^4))*IF(F152+IF($B$1+4&lt;=$B152,12*$B$9,-12*$B$8*(1+$B$4)^4)&gt;0,1+$B$3,1))</f>
        <v/>
      </c>
      <c r="H152">
        <f>IF($B$1+5&gt;90,G152,(G152+IF($B$1+5&lt;=$B152,12*$B$9,-12*$B$8*(1+$B$4)^5))*IF(G152+IF($B$1+5&lt;=$B152,12*$B$9,-12*$B$8*(1+$B$4)^5)&gt;0,1+$B$3,1))</f>
        <v/>
      </c>
      <c r="I152">
        <f>IF($B$1+6&gt;90,H152,(H152+IF($B$1+6&lt;=$B152,12*$B$9,-12*$B$8*(1+$B$4)^6))*IF(H152+IF($B$1+6&lt;=$B152,12*$B$9,-12*$B$8*(1+$B$4)^6)&gt;0,1+$B$3,1))</f>
        <v/>
      </c>
      <c r="J152">
        <f>IF($B$1+7&gt;90,I152,(I152+IF($B$1+7&lt;=$B152,12*$B$9,-12*$B$8*(1+$B$4)^7))*IF(I152+IF($B$1+7&lt;=$B152,12*$B$9,-12*$B$8*(1+$B$4)^7)&gt;0,1+$B$3,1))</f>
        <v/>
      </c>
      <c r="K152">
        <f>IF($B$1+8&gt;90,J152,(J152+IF($B$1+8&lt;=$B152,12*$B$9,-12*$B$8*(1+$B$4)^8))*IF(J152+IF($B$1+8&lt;=$B152,12*$B$9,-12*$B$8*(1+$B$4)^8)&gt;0,1+$B$3,1))</f>
        <v/>
      </c>
      <c r="L152">
        <f>IF($B$1+9&gt;90,K152,(K152+IF($B$1+9&lt;=$B152,12*$B$9,-12*$B$8*(1+$B$4)^9))*IF(K152+IF($B$1+9&lt;=$B152,12*$B$9,-12*$B$8*(1+$B$4)^9)&gt;0,1+$B$3,1))</f>
        <v/>
      </c>
      <c r="M152">
        <f>IF($B$1+10&gt;90,L152,(L152+IF($B$1+10&lt;=$B152,12*$B$9,-12*$B$8*(1+$B$4)^10))*IF(L152+IF($B$1+10&lt;=$B152,12*$B$9,-12*$B$8*(1+$B$4)^10)&gt;0,1+$B$3,1))</f>
        <v/>
      </c>
      <c r="N152">
        <f>IF($B$1+11&gt;90,M152,(M152+IF($B$1+11&lt;=$B152,12*$B$9,-12*$B$8*(1+$B$4)^11))*IF(M152+IF($B$1+11&lt;=$B152,12*$B$9,-12*$B$8*(1+$B$4)^11)&gt;0,1+$B$3,1))</f>
        <v/>
      </c>
      <c r="O152">
        <f>IF($B$1+12&gt;90,N152,(N152+IF($B$1+12&lt;=$B152,12*$B$9,-12*$B$8*(1+$B$4)^12))*IF(N152+IF($B$1+12&lt;=$B152,12*$B$9,-12*$B$8*(1+$B$4)^12)&gt;0,1+$B$3,1))</f>
        <v/>
      </c>
      <c r="P152">
        <f>IF($B$1+13&gt;90,O152,(O152+IF($B$1+13&lt;=$B152,12*$B$9,-12*$B$8*(1+$B$4)^13))*IF(O152+IF($B$1+13&lt;=$B152,12*$B$9,-12*$B$8*(1+$B$4)^13)&gt;0,1+$B$3,1))</f>
        <v/>
      </c>
      <c r="Q152">
        <f>IF($B$1+14&gt;90,P152,(P152+IF($B$1+14&lt;=$B152,12*$B$9,-12*$B$8*(1+$B$4)^14))*IF(P152+IF($B$1+14&lt;=$B152,12*$B$9,-12*$B$8*(1+$B$4)^14)&gt;0,1+$B$3,1))</f>
        <v/>
      </c>
      <c r="R152">
        <f>IF($B$1+15&gt;90,Q152,(Q152+IF($B$1+15&lt;=$B152,12*$B$9,-12*$B$8*(1+$B$4)^15))*IF(Q152+IF($B$1+15&lt;=$B152,12*$B$9,-12*$B$8*(1+$B$4)^15)&gt;0,1+$B$3,1))</f>
        <v/>
      </c>
      <c r="S152">
        <f>IF($B$1+16&gt;90,R152,(R152+IF($B$1+16&lt;=$B152,12*$B$9,-12*$B$8*(1+$B$4)^16))*IF(R152+IF($B$1+16&lt;=$B152,12*$B$9,-12*$B$8*(1+$B$4)^16)&gt;0,1+$B$3,1))</f>
        <v/>
      </c>
      <c r="T152">
        <f>IF($B$1+17&gt;90,S152,(S152+IF($B$1+17&lt;=$B152,12*$B$9,-12*$B$8*(1+$B$4)^17))*IF(S152+IF($B$1+17&lt;=$B152,12*$B$9,-12*$B$8*(1+$B$4)^17)&gt;0,1+$B$3,1))</f>
        <v/>
      </c>
      <c r="U152">
        <f>IF($B$1+18&gt;90,T152,(T152+IF($B$1+18&lt;=$B152,12*$B$9,-12*$B$8*(1+$B$4)^18))*IF(T152+IF($B$1+18&lt;=$B152,12*$B$9,-12*$B$8*(1+$B$4)^18)&gt;0,1+$B$3,1))</f>
        <v/>
      </c>
      <c r="V152">
        <f>IF($B$1+19&gt;90,U152,(U152+IF($B$1+19&lt;=$B152,12*$B$9,-12*$B$8*(1+$B$4)^19))*IF(U152+IF($B$1+19&lt;=$B152,12*$B$9,-12*$B$8*(1+$B$4)^19)&gt;0,1+$B$3,1))</f>
        <v/>
      </c>
      <c r="W152">
        <f>IF($B$1+20&gt;90,V152,(V152+IF($B$1+20&lt;=$B152,12*$B$9,-12*$B$8*(1+$B$4)^20))*IF(V152+IF($B$1+20&lt;=$B152,12*$B$9,-12*$B$8*(1+$B$4)^20)&gt;0,1+$B$3,1))</f>
        <v/>
      </c>
      <c r="X152">
        <f>IF($B$1+21&gt;90,W152,(W152+IF($B$1+21&lt;=$B152,12*$B$9,-12*$B$8*(1+$B$4)^21))*IF(W152+IF($B$1+21&lt;=$B152,12*$B$9,-12*$B$8*(1+$B$4)^21)&gt;0,1+$B$3,1))</f>
        <v/>
      </c>
      <c r="Y152">
        <f>IF($B$1+22&gt;90,X152,(X152+IF($B$1+22&lt;=$B152,12*$B$9,-12*$B$8*(1+$B$4)^22))*IF(X152+IF($B$1+22&lt;=$B152,12*$B$9,-12*$B$8*(1+$B$4)^22)&gt;0,1+$B$3,1))</f>
        <v/>
      </c>
      <c r="Z152">
        <f>IF($B$1+23&gt;90,Y152,(Y152+IF($B$1+23&lt;=$B152,12*$B$9,-12*$B$8*(1+$B$4)^23))*IF(Y152+IF($B$1+23&lt;=$B152,12*$B$9,-12*$B$8*(1+$B$4)^23)&gt;0,1+$B$3,1))</f>
        <v/>
      </c>
      <c r="AA152">
        <f>IF($B$1+24&gt;90,Z152,(Z152+IF($B$1+24&lt;=$B152,12*$B$9,-12*$B$8*(1+$B$4)^24))*IF(Z152+IF($B$1+24&lt;=$B152,12*$B$9,-12*$B$8*(1+$B$4)^24)&gt;0,1+$B$3,1))</f>
        <v/>
      </c>
      <c r="AB152">
        <f>IF($B$1+25&gt;90,AA152,(AA152+IF($B$1+25&lt;=$B152,12*$B$9,-12*$B$8*(1+$B$4)^25))*IF(AA152+IF($B$1+25&lt;=$B152,12*$B$9,-12*$B$8*(1+$B$4)^25)&gt;0,1+$B$3,1))</f>
        <v/>
      </c>
      <c r="AC152">
        <f>IF($B$1+26&gt;90,AB152,(AB152+IF($B$1+26&lt;=$B152,12*$B$9,-12*$B$8*(1+$B$4)^26))*IF(AB152+IF($B$1+26&lt;=$B152,12*$B$9,-12*$B$8*(1+$B$4)^26)&gt;0,1+$B$3,1))</f>
        <v/>
      </c>
      <c r="AD152">
        <f>IF($B$1+27&gt;90,AC152,(AC152+IF($B$1+27&lt;=$B152,12*$B$9,-12*$B$8*(1+$B$4)^27))*IF(AC152+IF($B$1+27&lt;=$B152,12*$B$9,-12*$B$8*(1+$B$4)^27)&gt;0,1+$B$3,1))</f>
        <v/>
      </c>
      <c r="AE152">
        <f>IF($B$1+28&gt;90,AD152,(AD152+IF($B$1+28&lt;=$B152,12*$B$9,-12*$B$8*(1+$B$4)^28))*IF(AD152+IF($B$1+28&lt;=$B152,12*$B$9,-12*$B$8*(1+$B$4)^28)&gt;0,1+$B$3,1))</f>
        <v/>
      </c>
      <c r="AF152">
        <f>IF($B$1+29&gt;90,AE152,(AE152+IF($B$1+29&lt;=$B152,12*$B$9,-12*$B$8*(1+$B$4)^29))*IF(AE152+IF($B$1+29&lt;=$B152,12*$B$9,-12*$B$8*(1+$B$4)^29)&gt;0,1+$B$3,1))</f>
        <v/>
      </c>
      <c r="AG152">
        <f>IF($B$1+30&gt;90,AF152,(AF152+IF($B$1+30&lt;=$B152,12*$B$9,-12*$B$8*(1+$B$4)^30))*IF(AF152+IF($B$1+30&lt;=$B152,12*$B$9,-12*$B$8*(1+$B$4)^30)&gt;0,1+$B$3,1))</f>
        <v/>
      </c>
      <c r="AH152">
        <f>IF($B$1+31&gt;90,AG152,(AG152+IF($B$1+31&lt;=$B152,12*$B$9,-12*$B$8*(1+$B$4)^31))*IF(AG152+IF($B$1+31&lt;=$B152,12*$B$9,-12*$B$8*(1+$B$4)^31)&gt;0,1+$B$3,1))</f>
        <v/>
      </c>
      <c r="AI152">
        <f>IF($B$1+32&gt;90,AH152,(AH152+IF($B$1+32&lt;=$B152,12*$B$9,-12*$B$8*(1+$B$4)^32))*IF(AH152+IF($B$1+32&lt;=$B152,12*$B$9,-12*$B$8*(1+$B$4)^32)&gt;0,1+$B$3,1))</f>
        <v/>
      </c>
      <c r="AJ152">
        <f>IF($B$1+33&gt;90,AI152,(AI152+IF($B$1+33&lt;=$B152,12*$B$9,-12*$B$8*(1+$B$4)^33))*IF(AI152+IF($B$1+33&lt;=$B152,12*$B$9,-12*$B$8*(1+$B$4)^33)&gt;0,1+$B$3,1))</f>
        <v/>
      </c>
      <c r="AK152">
        <f>IF($B$1+34&gt;90,AJ152,(AJ152+IF($B$1+34&lt;=$B152,12*$B$9,-12*$B$8*(1+$B$4)^34))*IF(AJ152+IF($B$1+34&lt;=$B152,12*$B$9,-12*$B$8*(1+$B$4)^34)&gt;0,1+$B$3,1))</f>
        <v/>
      </c>
      <c r="AL152">
        <f>IF($B$1+35&gt;90,AK152,(AK152+IF($B$1+35&lt;=$B152,12*$B$9,-12*$B$8*(1+$B$4)^35))*IF(AK152+IF($B$1+35&lt;=$B152,12*$B$9,-12*$B$8*(1+$B$4)^35)&gt;0,1+$B$3,1))</f>
        <v/>
      </c>
      <c r="AM152">
        <f>IF($B$1+36&gt;90,AL152,(AL152+IF($B$1+36&lt;=$B152,12*$B$9,-12*$B$8*(1+$B$4)^36))*IF(AL152+IF($B$1+36&lt;=$B152,12*$B$9,-12*$B$8*(1+$B$4)^36)&gt;0,1+$B$3,1))</f>
        <v/>
      </c>
      <c r="AN152">
        <f>IF($B$1+37&gt;90,AM152,(AM152+IF($B$1+37&lt;=$B152,12*$B$9,-12*$B$8*(1+$B$4)^37))*IF(AM152+IF($B$1+37&lt;=$B152,12*$B$9,-12*$B$8*(1+$B$4)^37)&gt;0,1+$B$3,1))</f>
        <v/>
      </c>
      <c r="AO152">
        <f>IF($B$1+38&gt;90,AN152,(AN152+IF($B$1+38&lt;=$B152,12*$B$9,-12*$B$8*(1+$B$4)^38))*IF(AN152+IF($B$1+38&lt;=$B152,12*$B$9,-12*$B$8*(1+$B$4)^38)&gt;0,1+$B$3,1))</f>
        <v/>
      </c>
      <c r="AP152">
        <f>IF($B$1+39&gt;90,AO152,(AO152+IF($B$1+39&lt;=$B152,12*$B$9,-12*$B$8*(1+$B$4)^39))*IF(AO152+IF($B$1+39&lt;=$B152,12*$B$9,-12*$B$8*(1+$B$4)^39)&gt;0,1+$B$3,1))</f>
        <v/>
      </c>
      <c r="AQ152">
        <f>IF($B$1+40&gt;90,AP152,(AP152+IF($B$1+40&lt;=$B152,12*$B$9,-12*$B$8*(1+$B$4)^40))*IF(AP152+IF($B$1+40&lt;=$B152,12*$B$9,-12*$B$8*(1+$B$4)^40)&gt;0,1+$B$3,1))</f>
        <v/>
      </c>
      <c r="AR152">
        <f>IF($B$1+41&gt;90,AQ152,(AQ152+IF($B$1+41&lt;=$B152,12*$B$9,-12*$B$8*(1+$B$4)^41))*IF(AQ152+IF($B$1+41&lt;=$B152,12*$B$9,-12*$B$8*(1+$B$4)^41)&gt;0,1+$B$3,1))</f>
        <v/>
      </c>
      <c r="AS152">
        <f>IF($B$1+42&gt;90,AR152,(AR152+IF($B$1+42&lt;=$B152,12*$B$9,-12*$B$8*(1+$B$4)^42))*IF(AR152+IF($B$1+42&lt;=$B152,12*$B$9,-12*$B$8*(1+$B$4)^42)&gt;0,1+$B$3,1))</f>
        <v/>
      </c>
      <c r="AT152">
        <f>IF($B$1+43&gt;90,AS152,(AS152+IF($B$1+43&lt;=$B152,12*$B$9,-12*$B$8*(1+$B$4)^43))*IF(AS152+IF($B$1+43&lt;=$B152,12*$B$9,-12*$B$8*(1+$B$4)^43)&gt;0,1+$B$3,1))</f>
        <v/>
      </c>
      <c r="AU152">
        <f>IF($B$1+44&gt;90,AT152,(AT152+IF($B$1+44&lt;=$B152,12*$B$9,-12*$B$8*(1+$B$4)^44))*IF(AT152+IF($B$1+44&lt;=$B152,12*$B$9,-12*$B$8*(1+$B$4)^44)&gt;0,1+$B$3,1))</f>
        <v/>
      </c>
      <c r="AV152">
        <f>IF($B$1+45&gt;90,AU152,(AU152+IF($B$1+45&lt;=$B152,12*$B$9,-12*$B$8*(1+$B$4)^45))*IF(AU152+IF($B$1+45&lt;=$B152,12*$B$9,-12*$B$8*(1+$B$4)^45)&gt;0,1+$B$3,1))</f>
        <v/>
      </c>
      <c r="AW152">
        <f>IF($B$1+46&gt;90,AV152,(AV152+IF($B$1+46&lt;=$B152,12*$B$9,-12*$B$8*(1+$B$4)^46))*IF(AV152+IF($B$1+46&lt;=$B152,12*$B$9,-12*$B$8*(1+$B$4)^46)&gt;0,1+$B$3,1))</f>
        <v/>
      </c>
      <c r="AX152">
        <f>IF($B$1+47&gt;90,AW152,(AW152+IF($B$1+47&lt;=$B152,12*$B$9,-12*$B$8*(1+$B$4)^47))*IF(AW152+IF($B$1+47&lt;=$B152,12*$B$9,-12*$B$8*(1+$B$4)^47)&gt;0,1+$B$3,1))</f>
        <v/>
      </c>
      <c r="AY152">
        <f>IF($B$1+48&gt;90,AX152,(AX152+IF($B$1+48&lt;=$B152,12*$B$9,-12*$B$8*(1+$B$4)^48))*IF(AX152+IF($B$1+48&lt;=$B152,12*$B$9,-12*$B$8*(1+$B$4)^48)&gt;0,1+$B$3,1))</f>
        <v/>
      </c>
      <c r="AZ152">
        <f>IF($B$1+49&gt;90,AY152,(AY152+IF($B$1+49&lt;=$B152,12*$B$9,-12*$B$8*(1+$B$4)^49))*IF(AY152+IF($B$1+49&lt;=$B152,12*$B$9,-12*$B$8*(1+$B$4)^49)&gt;0,1+$B$3,1))</f>
        <v/>
      </c>
      <c r="BA152">
        <f>IF($B$1+50&gt;90,AZ152,(AZ152+IF($B$1+50&lt;=$B152,12*$B$9,-12*$B$8*(1+$B$4)^50))*IF(AZ152+IF($B$1+50&lt;=$B152,12*$B$9,-12*$B$8*(1+$B$4)^50)&gt;0,1+$B$3,1))</f>
        <v/>
      </c>
      <c r="BB152">
        <f>IF($B$1+51&gt;90,BA152,(BA152+IF($B$1+51&lt;=$B152,12*$B$9,-12*$B$8*(1+$B$4)^51))*IF(BA152+IF($B$1+51&lt;=$B152,12*$B$9,-12*$B$8*(1+$B$4)^51)&gt;0,1+$B$3,1))</f>
        <v/>
      </c>
      <c r="BC152">
        <f>IF($B$1+52&gt;90,BB152,(BB152+IF($B$1+52&lt;=$B152,12*$B$9,-12*$B$8*(1+$B$4)^52))*IF(BB152+IF($B$1+52&lt;=$B152,12*$B$9,-12*$B$8*(1+$B$4)^52)&gt;0,1+$B$3,1))</f>
        <v/>
      </c>
      <c r="BD152">
        <f>IF($B$1+53&gt;90,BC152,(BC152+IF($B$1+53&lt;=$B152,12*$B$9,-12*$B$8*(1+$B$4)^53))*IF(BC152+IF($B$1+53&lt;=$B152,12*$B$9,-12*$B$8*(1+$B$4)^53)&gt;0,1+$B$3,1))</f>
        <v/>
      </c>
      <c r="BE152">
        <f>IF($B$1+54&gt;90,BD152,(BD152+IF($B$1+54&lt;=$B152,12*$B$9,-12*$B$8*(1+$B$4)^54))*IF(BD152+IF($B$1+54&lt;=$B152,12*$B$9,-12*$B$8*(1+$B$4)^54)&gt;0,1+$B$3,1))</f>
        <v/>
      </c>
      <c r="BF152">
        <f>IF($B$1+55&gt;90,BE152,(BE152+IF($B$1+55&lt;=$B152,12*$B$9,-12*$B$8*(1+$B$4)^55))*IF(BE152+IF($B$1+55&lt;=$B152,12*$B$9,-12*$B$8*(1+$B$4)^55)&gt;0,1+$B$3,1))</f>
        <v/>
      </c>
      <c r="BG152">
        <f>IF($B$1+56&gt;90,BF152,(BF152+IF($B$1+56&lt;=$B152,12*$B$9,-12*$B$8*(1+$B$4)^56))*IF(BF152+IF($B$1+56&lt;=$B152,12*$B$9,-12*$B$8*(1+$B$4)^56)&gt;0,1+$B$3,1))</f>
        <v/>
      </c>
      <c r="BH152">
        <f>IF($B$1+57&gt;90,BG152,(BG152+IF($B$1+57&lt;=$B152,12*$B$9,-12*$B$8*(1+$B$4)^57))*IF(BG152+IF($B$1+57&lt;=$B152,12*$B$9,-12*$B$8*(1+$B$4)^57)&gt;0,1+$B$3,1))</f>
        <v/>
      </c>
      <c r="BI152">
        <f>IF($B$1+58&gt;90,BH152,(BH152+IF($B$1+58&lt;=$B152,12*$B$9,-12*$B$8*(1+$B$4)^58))*IF(BH152+IF($B$1+58&lt;=$B152,12*$B$9,-12*$B$8*(1+$B$4)^58)&gt;0,1+$B$3,1))</f>
        <v/>
      </c>
      <c r="BJ152">
        <f>IF($B$1+59&gt;90,BI152,(BI152+IF($B$1+59&lt;=$B152,12*$B$9,-12*$B$8*(1+$B$4)^59))*IF(BI152+IF($B$1+59&lt;=$B152,12*$B$9,-12*$B$8*(1+$B$4)^59)&gt;0,1+$B$3,1))</f>
        <v/>
      </c>
      <c r="BK152">
        <f>IF($B$1+60&gt;90,BJ152,(BJ152+IF($B$1+60&lt;=$B152,12*$B$9,-12*$B$8*(1+$B$4)^60))*IF(BJ152+IF($B$1+60&lt;=$B152,12*$B$9,-12*$B$8*(1+$B$4)^60)&gt;0,1+$B$3,1))</f>
        <v/>
      </c>
      <c r="BL152">
        <f>IF($B$1+61&gt;90,BK152,(BK152+IF($B$1+61&lt;=$B152,12*$B$9,-12*$B$8*(1+$B$4)^61))*IF(BK152+IF($B$1+61&lt;=$B152,12*$B$9,-12*$B$8*(1+$B$4)^61)&gt;0,1+$B$3,1))</f>
        <v/>
      </c>
      <c r="BM152">
        <f>IF($B$1+62&gt;90,BL152,(BL152+IF($B$1+62&lt;=$B152,12*$B$9,-12*$B$8*(1+$B$4)^62))*IF(BL152+IF($B$1+62&lt;=$B152,12*$B$9,-12*$B$8*(1+$B$4)^62)&gt;0,1+$B$3,1))</f>
        <v/>
      </c>
      <c r="BN152">
        <f>IF($B$1+63&gt;90,BM152,(BM152+IF($B$1+63&lt;=$B152,12*$B$9,-12*$B$8*(1+$B$4)^63))*IF(BM152+IF($B$1+63&lt;=$B152,12*$B$9,-12*$B$8*(1+$B$4)^63)&gt;0,1+$B$3,1))</f>
        <v/>
      </c>
      <c r="BO152">
        <f>IF($B$1+64&gt;90,BN152,(BN152+IF($B$1+64&lt;=$B152,12*$B$9,-12*$B$8*(1+$B$4)^64))*IF(BN152+IF($B$1+64&lt;=$B152,12*$B$9,-12*$B$8*(1+$B$4)^64)&gt;0,1+$B$3,1))</f>
        <v/>
      </c>
      <c r="BP152">
        <f>IF($B$1+65&gt;90,BO152,(BO152+IF($B$1+65&lt;=$B152,12*$B$9,-12*$B$8*(1+$B$4)^65))*IF(BO152+IF($B$1+65&lt;=$B152,12*$B$9,-12*$B$8*(1+$B$4)^65)&gt;0,1+$B$3,1))</f>
        <v/>
      </c>
      <c r="BQ152">
        <f>IF($B$1+66&gt;90,BP152,(BP152+IF($B$1+66&lt;=$B152,12*$B$9,-12*$B$8*(1+$B$4)^66))*IF(BP152+IF($B$1+66&lt;=$B152,12*$B$9,-12*$B$8*(1+$B$4)^66)&gt;0,1+$B$3,1))</f>
        <v/>
      </c>
      <c r="BR152">
        <f>IF($B$1+67&gt;90,BQ152,(BQ152+IF($B$1+67&lt;=$B152,12*$B$9,-12*$B$8*(1+$B$4)^67))*IF(BQ152+IF($B$1+67&lt;=$B152,12*$B$9,-12*$B$8*(1+$B$4)^67)&gt;0,1+$B$3,1))</f>
        <v/>
      </c>
      <c r="BS152">
        <f>IF($B$1+68&gt;90,BR152,(BR152+IF($B$1+68&lt;=$B152,12*$B$9,-12*$B$8*(1+$B$4)^68))*IF(BR152+IF($B$1+68&lt;=$B152,12*$B$9,-12*$B$8*(1+$B$4)^68)&gt;0,1+$B$3,1))</f>
        <v/>
      </c>
      <c r="BT152">
        <f>IF($B$1+69&gt;90,BS152,(BS152+IF($B$1+69&lt;=$B152,12*$B$9,-12*$B$8*(1+$B$4)^69))*IF(BS152+IF($B$1+69&lt;=$B152,12*$B$9,-12*$B$8*(1+$B$4)^69)&gt;0,1+$B$3,1))</f>
        <v/>
      </c>
      <c r="BU152">
        <f>IF($B$1+70&gt;90,BT152,(BT152+IF($B$1+70&lt;=$B152,12*$B$9,-12*$B$8*(1+$B$4)^70))*IF(BT152+IF($B$1+70&lt;=$B152,12*$B$9,-12*$B$8*(1+$B$4)^70)&gt;0,1+$B$3,1))</f>
        <v/>
      </c>
      <c r="BV152">
        <f>BU152</f>
        <v/>
      </c>
      <c r="BW152">
        <f>IF(AND($B152&lt;=70,BV152&gt;0),$B152,999)</f>
        <v/>
      </c>
    </row>
    <row r="153">
      <c r="A153" t="n">
        <v>1</v>
      </c>
      <c r="B153">
        <f>$B$1+1</f>
        <v/>
      </c>
      <c r="C153">
        <f>$B$2</f>
        <v/>
      </c>
      <c r="D153">
        <f>IF($B$1+1&gt;90,C153,(C153+IF($B$1+1&lt;=$B153,12*$B$9,-12*$B$8*(1+$B$4)^1))*IF(C153+IF($B$1+1&lt;=$B153,12*$B$9,-12*$B$8*(1+$B$4)^1)&gt;0,1+$B$3,1))</f>
        <v/>
      </c>
      <c r="E153">
        <f>IF($B$1+2&gt;90,D153,(D153+IF($B$1+2&lt;=$B153,12*$B$9,-12*$B$8*(1+$B$4)^2))*IF(D153+IF($B$1+2&lt;=$B153,12*$B$9,-12*$B$8*(1+$B$4)^2)&gt;0,1+$B$3,1))</f>
        <v/>
      </c>
      <c r="F153">
        <f>IF($B$1+3&gt;90,E153,(E153+IF($B$1+3&lt;=$B153,12*$B$9,-12*$B$8*(1+$B$4)^3))*IF(E153+IF($B$1+3&lt;=$B153,12*$B$9,-12*$B$8*(1+$B$4)^3)&gt;0,1+$B$3,1))</f>
        <v/>
      </c>
      <c r="G153">
        <f>IF($B$1+4&gt;90,F153,(F153+IF($B$1+4&lt;=$B153,12*$B$9,-12*$B$8*(1+$B$4)^4))*IF(F153+IF($B$1+4&lt;=$B153,12*$B$9,-12*$B$8*(1+$B$4)^4)&gt;0,1+$B$3,1))</f>
        <v/>
      </c>
      <c r="H153">
        <f>IF($B$1+5&gt;90,G153,(G153+IF($B$1+5&lt;=$B153,12*$B$9,-12*$B$8*(1+$B$4)^5))*IF(G153+IF($B$1+5&lt;=$B153,12*$B$9,-12*$B$8*(1+$B$4)^5)&gt;0,1+$B$3,1))</f>
        <v/>
      </c>
      <c r="I153">
        <f>IF($B$1+6&gt;90,H153,(H153+IF($B$1+6&lt;=$B153,12*$B$9,-12*$B$8*(1+$B$4)^6))*IF(H153+IF($B$1+6&lt;=$B153,12*$B$9,-12*$B$8*(1+$B$4)^6)&gt;0,1+$B$3,1))</f>
        <v/>
      </c>
      <c r="J153">
        <f>IF($B$1+7&gt;90,I153,(I153+IF($B$1+7&lt;=$B153,12*$B$9,-12*$B$8*(1+$B$4)^7))*IF(I153+IF($B$1+7&lt;=$B153,12*$B$9,-12*$B$8*(1+$B$4)^7)&gt;0,1+$B$3,1))</f>
        <v/>
      </c>
      <c r="K153">
        <f>IF($B$1+8&gt;90,J153,(J153+IF($B$1+8&lt;=$B153,12*$B$9,-12*$B$8*(1+$B$4)^8))*IF(J153+IF($B$1+8&lt;=$B153,12*$B$9,-12*$B$8*(1+$B$4)^8)&gt;0,1+$B$3,1))</f>
        <v/>
      </c>
      <c r="L153">
        <f>IF($B$1+9&gt;90,K153,(K153+IF($B$1+9&lt;=$B153,12*$B$9,-12*$B$8*(1+$B$4)^9))*IF(K153+IF($B$1+9&lt;=$B153,12*$B$9,-12*$B$8*(1+$B$4)^9)&gt;0,1+$B$3,1))</f>
        <v/>
      </c>
      <c r="M153">
        <f>IF($B$1+10&gt;90,L153,(L153+IF($B$1+10&lt;=$B153,12*$B$9,-12*$B$8*(1+$B$4)^10))*IF(L153+IF($B$1+10&lt;=$B153,12*$B$9,-12*$B$8*(1+$B$4)^10)&gt;0,1+$B$3,1))</f>
        <v/>
      </c>
      <c r="N153">
        <f>IF($B$1+11&gt;90,M153,(M153+IF($B$1+11&lt;=$B153,12*$B$9,-12*$B$8*(1+$B$4)^11))*IF(M153+IF($B$1+11&lt;=$B153,12*$B$9,-12*$B$8*(1+$B$4)^11)&gt;0,1+$B$3,1))</f>
        <v/>
      </c>
      <c r="O153">
        <f>IF($B$1+12&gt;90,N153,(N153+IF($B$1+12&lt;=$B153,12*$B$9,-12*$B$8*(1+$B$4)^12))*IF(N153+IF($B$1+12&lt;=$B153,12*$B$9,-12*$B$8*(1+$B$4)^12)&gt;0,1+$B$3,1))</f>
        <v/>
      </c>
      <c r="P153">
        <f>IF($B$1+13&gt;90,O153,(O153+IF($B$1+13&lt;=$B153,12*$B$9,-12*$B$8*(1+$B$4)^13))*IF(O153+IF($B$1+13&lt;=$B153,12*$B$9,-12*$B$8*(1+$B$4)^13)&gt;0,1+$B$3,1))</f>
        <v/>
      </c>
      <c r="Q153">
        <f>IF($B$1+14&gt;90,P153,(P153+IF($B$1+14&lt;=$B153,12*$B$9,-12*$B$8*(1+$B$4)^14))*IF(P153+IF($B$1+14&lt;=$B153,12*$B$9,-12*$B$8*(1+$B$4)^14)&gt;0,1+$B$3,1))</f>
        <v/>
      </c>
      <c r="R153">
        <f>IF($B$1+15&gt;90,Q153,(Q153+IF($B$1+15&lt;=$B153,12*$B$9,-12*$B$8*(1+$B$4)^15))*IF(Q153+IF($B$1+15&lt;=$B153,12*$B$9,-12*$B$8*(1+$B$4)^15)&gt;0,1+$B$3,1))</f>
        <v/>
      </c>
      <c r="S153">
        <f>IF($B$1+16&gt;90,R153,(R153+IF($B$1+16&lt;=$B153,12*$B$9,-12*$B$8*(1+$B$4)^16))*IF(R153+IF($B$1+16&lt;=$B153,12*$B$9,-12*$B$8*(1+$B$4)^16)&gt;0,1+$B$3,1))</f>
        <v/>
      </c>
      <c r="T153">
        <f>IF($B$1+17&gt;90,S153,(S153+IF($B$1+17&lt;=$B153,12*$B$9,-12*$B$8*(1+$B$4)^17))*IF(S153+IF($B$1+17&lt;=$B153,12*$B$9,-12*$B$8*(1+$B$4)^17)&gt;0,1+$B$3,1))</f>
        <v/>
      </c>
      <c r="U153">
        <f>IF($B$1+18&gt;90,T153,(T153+IF($B$1+18&lt;=$B153,12*$B$9,-12*$B$8*(1+$B$4)^18))*IF(T153+IF($B$1+18&lt;=$B153,12*$B$9,-12*$B$8*(1+$B$4)^18)&gt;0,1+$B$3,1))</f>
        <v/>
      </c>
      <c r="V153">
        <f>IF($B$1+19&gt;90,U153,(U153+IF($B$1+19&lt;=$B153,12*$B$9,-12*$B$8*(1+$B$4)^19))*IF(U153+IF($B$1+19&lt;=$B153,12*$B$9,-12*$B$8*(1+$B$4)^19)&gt;0,1+$B$3,1))</f>
        <v/>
      </c>
      <c r="W153">
        <f>IF($B$1+20&gt;90,V153,(V153+IF($B$1+20&lt;=$B153,12*$B$9,-12*$B$8*(1+$B$4)^20))*IF(V153+IF($B$1+20&lt;=$B153,12*$B$9,-12*$B$8*(1+$B$4)^20)&gt;0,1+$B$3,1))</f>
        <v/>
      </c>
      <c r="X153">
        <f>IF($B$1+21&gt;90,W153,(W153+IF($B$1+21&lt;=$B153,12*$B$9,-12*$B$8*(1+$B$4)^21))*IF(W153+IF($B$1+21&lt;=$B153,12*$B$9,-12*$B$8*(1+$B$4)^21)&gt;0,1+$B$3,1))</f>
        <v/>
      </c>
      <c r="Y153">
        <f>IF($B$1+22&gt;90,X153,(X153+IF($B$1+22&lt;=$B153,12*$B$9,-12*$B$8*(1+$B$4)^22))*IF(X153+IF($B$1+22&lt;=$B153,12*$B$9,-12*$B$8*(1+$B$4)^22)&gt;0,1+$B$3,1))</f>
        <v/>
      </c>
      <c r="Z153">
        <f>IF($B$1+23&gt;90,Y153,(Y153+IF($B$1+23&lt;=$B153,12*$B$9,-12*$B$8*(1+$B$4)^23))*IF(Y153+IF($B$1+23&lt;=$B153,12*$B$9,-12*$B$8*(1+$B$4)^23)&gt;0,1+$B$3,1))</f>
        <v/>
      </c>
      <c r="AA153">
        <f>IF($B$1+24&gt;90,Z153,(Z153+IF($B$1+24&lt;=$B153,12*$B$9,-12*$B$8*(1+$B$4)^24))*IF(Z153+IF($B$1+24&lt;=$B153,12*$B$9,-12*$B$8*(1+$B$4)^24)&gt;0,1+$B$3,1))</f>
        <v/>
      </c>
      <c r="AB153">
        <f>IF($B$1+25&gt;90,AA153,(AA153+IF($B$1+25&lt;=$B153,12*$B$9,-12*$B$8*(1+$B$4)^25))*IF(AA153+IF($B$1+25&lt;=$B153,12*$B$9,-12*$B$8*(1+$B$4)^25)&gt;0,1+$B$3,1))</f>
        <v/>
      </c>
      <c r="AC153">
        <f>IF($B$1+26&gt;90,AB153,(AB153+IF($B$1+26&lt;=$B153,12*$B$9,-12*$B$8*(1+$B$4)^26))*IF(AB153+IF($B$1+26&lt;=$B153,12*$B$9,-12*$B$8*(1+$B$4)^26)&gt;0,1+$B$3,1))</f>
        <v/>
      </c>
      <c r="AD153">
        <f>IF($B$1+27&gt;90,AC153,(AC153+IF($B$1+27&lt;=$B153,12*$B$9,-12*$B$8*(1+$B$4)^27))*IF(AC153+IF($B$1+27&lt;=$B153,12*$B$9,-12*$B$8*(1+$B$4)^27)&gt;0,1+$B$3,1))</f>
        <v/>
      </c>
      <c r="AE153">
        <f>IF($B$1+28&gt;90,AD153,(AD153+IF($B$1+28&lt;=$B153,12*$B$9,-12*$B$8*(1+$B$4)^28))*IF(AD153+IF($B$1+28&lt;=$B153,12*$B$9,-12*$B$8*(1+$B$4)^28)&gt;0,1+$B$3,1))</f>
        <v/>
      </c>
      <c r="AF153">
        <f>IF($B$1+29&gt;90,AE153,(AE153+IF($B$1+29&lt;=$B153,12*$B$9,-12*$B$8*(1+$B$4)^29))*IF(AE153+IF($B$1+29&lt;=$B153,12*$B$9,-12*$B$8*(1+$B$4)^29)&gt;0,1+$B$3,1))</f>
        <v/>
      </c>
      <c r="AG153">
        <f>IF($B$1+30&gt;90,AF153,(AF153+IF($B$1+30&lt;=$B153,12*$B$9,-12*$B$8*(1+$B$4)^30))*IF(AF153+IF($B$1+30&lt;=$B153,12*$B$9,-12*$B$8*(1+$B$4)^30)&gt;0,1+$B$3,1))</f>
        <v/>
      </c>
      <c r="AH153">
        <f>IF($B$1+31&gt;90,AG153,(AG153+IF($B$1+31&lt;=$B153,12*$B$9,-12*$B$8*(1+$B$4)^31))*IF(AG153+IF($B$1+31&lt;=$B153,12*$B$9,-12*$B$8*(1+$B$4)^31)&gt;0,1+$B$3,1))</f>
        <v/>
      </c>
      <c r="AI153">
        <f>IF($B$1+32&gt;90,AH153,(AH153+IF($B$1+32&lt;=$B153,12*$B$9,-12*$B$8*(1+$B$4)^32))*IF(AH153+IF($B$1+32&lt;=$B153,12*$B$9,-12*$B$8*(1+$B$4)^32)&gt;0,1+$B$3,1))</f>
        <v/>
      </c>
      <c r="AJ153">
        <f>IF($B$1+33&gt;90,AI153,(AI153+IF($B$1+33&lt;=$B153,12*$B$9,-12*$B$8*(1+$B$4)^33))*IF(AI153+IF($B$1+33&lt;=$B153,12*$B$9,-12*$B$8*(1+$B$4)^33)&gt;0,1+$B$3,1))</f>
        <v/>
      </c>
      <c r="AK153">
        <f>IF($B$1+34&gt;90,AJ153,(AJ153+IF($B$1+34&lt;=$B153,12*$B$9,-12*$B$8*(1+$B$4)^34))*IF(AJ153+IF($B$1+34&lt;=$B153,12*$B$9,-12*$B$8*(1+$B$4)^34)&gt;0,1+$B$3,1))</f>
        <v/>
      </c>
      <c r="AL153">
        <f>IF($B$1+35&gt;90,AK153,(AK153+IF($B$1+35&lt;=$B153,12*$B$9,-12*$B$8*(1+$B$4)^35))*IF(AK153+IF($B$1+35&lt;=$B153,12*$B$9,-12*$B$8*(1+$B$4)^35)&gt;0,1+$B$3,1))</f>
        <v/>
      </c>
      <c r="AM153">
        <f>IF($B$1+36&gt;90,AL153,(AL153+IF($B$1+36&lt;=$B153,12*$B$9,-12*$B$8*(1+$B$4)^36))*IF(AL153+IF($B$1+36&lt;=$B153,12*$B$9,-12*$B$8*(1+$B$4)^36)&gt;0,1+$B$3,1))</f>
        <v/>
      </c>
      <c r="AN153">
        <f>IF($B$1+37&gt;90,AM153,(AM153+IF($B$1+37&lt;=$B153,12*$B$9,-12*$B$8*(1+$B$4)^37))*IF(AM153+IF($B$1+37&lt;=$B153,12*$B$9,-12*$B$8*(1+$B$4)^37)&gt;0,1+$B$3,1))</f>
        <v/>
      </c>
      <c r="AO153">
        <f>IF($B$1+38&gt;90,AN153,(AN153+IF($B$1+38&lt;=$B153,12*$B$9,-12*$B$8*(1+$B$4)^38))*IF(AN153+IF($B$1+38&lt;=$B153,12*$B$9,-12*$B$8*(1+$B$4)^38)&gt;0,1+$B$3,1))</f>
        <v/>
      </c>
      <c r="AP153">
        <f>IF($B$1+39&gt;90,AO153,(AO153+IF($B$1+39&lt;=$B153,12*$B$9,-12*$B$8*(1+$B$4)^39))*IF(AO153+IF($B$1+39&lt;=$B153,12*$B$9,-12*$B$8*(1+$B$4)^39)&gt;0,1+$B$3,1))</f>
        <v/>
      </c>
      <c r="AQ153">
        <f>IF($B$1+40&gt;90,AP153,(AP153+IF($B$1+40&lt;=$B153,12*$B$9,-12*$B$8*(1+$B$4)^40))*IF(AP153+IF($B$1+40&lt;=$B153,12*$B$9,-12*$B$8*(1+$B$4)^40)&gt;0,1+$B$3,1))</f>
        <v/>
      </c>
      <c r="AR153">
        <f>IF($B$1+41&gt;90,AQ153,(AQ153+IF($B$1+41&lt;=$B153,12*$B$9,-12*$B$8*(1+$B$4)^41))*IF(AQ153+IF($B$1+41&lt;=$B153,12*$B$9,-12*$B$8*(1+$B$4)^41)&gt;0,1+$B$3,1))</f>
        <v/>
      </c>
      <c r="AS153">
        <f>IF($B$1+42&gt;90,AR153,(AR153+IF($B$1+42&lt;=$B153,12*$B$9,-12*$B$8*(1+$B$4)^42))*IF(AR153+IF($B$1+42&lt;=$B153,12*$B$9,-12*$B$8*(1+$B$4)^42)&gt;0,1+$B$3,1))</f>
        <v/>
      </c>
      <c r="AT153">
        <f>IF($B$1+43&gt;90,AS153,(AS153+IF($B$1+43&lt;=$B153,12*$B$9,-12*$B$8*(1+$B$4)^43))*IF(AS153+IF($B$1+43&lt;=$B153,12*$B$9,-12*$B$8*(1+$B$4)^43)&gt;0,1+$B$3,1))</f>
        <v/>
      </c>
      <c r="AU153">
        <f>IF($B$1+44&gt;90,AT153,(AT153+IF($B$1+44&lt;=$B153,12*$B$9,-12*$B$8*(1+$B$4)^44))*IF(AT153+IF($B$1+44&lt;=$B153,12*$B$9,-12*$B$8*(1+$B$4)^44)&gt;0,1+$B$3,1))</f>
        <v/>
      </c>
      <c r="AV153">
        <f>IF($B$1+45&gt;90,AU153,(AU153+IF($B$1+45&lt;=$B153,12*$B$9,-12*$B$8*(1+$B$4)^45))*IF(AU153+IF($B$1+45&lt;=$B153,12*$B$9,-12*$B$8*(1+$B$4)^45)&gt;0,1+$B$3,1))</f>
        <v/>
      </c>
      <c r="AW153">
        <f>IF($B$1+46&gt;90,AV153,(AV153+IF($B$1+46&lt;=$B153,12*$B$9,-12*$B$8*(1+$B$4)^46))*IF(AV153+IF($B$1+46&lt;=$B153,12*$B$9,-12*$B$8*(1+$B$4)^46)&gt;0,1+$B$3,1))</f>
        <v/>
      </c>
      <c r="AX153">
        <f>IF($B$1+47&gt;90,AW153,(AW153+IF($B$1+47&lt;=$B153,12*$B$9,-12*$B$8*(1+$B$4)^47))*IF(AW153+IF($B$1+47&lt;=$B153,12*$B$9,-12*$B$8*(1+$B$4)^47)&gt;0,1+$B$3,1))</f>
        <v/>
      </c>
      <c r="AY153">
        <f>IF($B$1+48&gt;90,AX153,(AX153+IF($B$1+48&lt;=$B153,12*$B$9,-12*$B$8*(1+$B$4)^48))*IF(AX153+IF($B$1+48&lt;=$B153,12*$B$9,-12*$B$8*(1+$B$4)^48)&gt;0,1+$B$3,1))</f>
        <v/>
      </c>
      <c r="AZ153">
        <f>IF($B$1+49&gt;90,AY153,(AY153+IF($B$1+49&lt;=$B153,12*$B$9,-12*$B$8*(1+$B$4)^49))*IF(AY153+IF($B$1+49&lt;=$B153,12*$B$9,-12*$B$8*(1+$B$4)^49)&gt;0,1+$B$3,1))</f>
        <v/>
      </c>
      <c r="BA153">
        <f>IF($B$1+50&gt;90,AZ153,(AZ153+IF($B$1+50&lt;=$B153,12*$B$9,-12*$B$8*(1+$B$4)^50))*IF(AZ153+IF($B$1+50&lt;=$B153,12*$B$9,-12*$B$8*(1+$B$4)^50)&gt;0,1+$B$3,1))</f>
        <v/>
      </c>
      <c r="BB153">
        <f>IF($B$1+51&gt;90,BA153,(BA153+IF($B$1+51&lt;=$B153,12*$B$9,-12*$B$8*(1+$B$4)^51))*IF(BA153+IF($B$1+51&lt;=$B153,12*$B$9,-12*$B$8*(1+$B$4)^51)&gt;0,1+$B$3,1))</f>
        <v/>
      </c>
      <c r="BC153">
        <f>IF($B$1+52&gt;90,BB153,(BB153+IF($B$1+52&lt;=$B153,12*$B$9,-12*$B$8*(1+$B$4)^52))*IF(BB153+IF($B$1+52&lt;=$B153,12*$B$9,-12*$B$8*(1+$B$4)^52)&gt;0,1+$B$3,1))</f>
        <v/>
      </c>
      <c r="BD153">
        <f>IF($B$1+53&gt;90,BC153,(BC153+IF($B$1+53&lt;=$B153,12*$B$9,-12*$B$8*(1+$B$4)^53))*IF(BC153+IF($B$1+53&lt;=$B153,12*$B$9,-12*$B$8*(1+$B$4)^53)&gt;0,1+$B$3,1))</f>
        <v/>
      </c>
      <c r="BE153">
        <f>IF($B$1+54&gt;90,BD153,(BD153+IF($B$1+54&lt;=$B153,12*$B$9,-12*$B$8*(1+$B$4)^54))*IF(BD153+IF($B$1+54&lt;=$B153,12*$B$9,-12*$B$8*(1+$B$4)^54)&gt;0,1+$B$3,1))</f>
        <v/>
      </c>
      <c r="BF153">
        <f>IF($B$1+55&gt;90,BE153,(BE153+IF($B$1+55&lt;=$B153,12*$B$9,-12*$B$8*(1+$B$4)^55))*IF(BE153+IF($B$1+55&lt;=$B153,12*$B$9,-12*$B$8*(1+$B$4)^55)&gt;0,1+$B$3,1))</f>
        <v/>
      </c>
      <c r="BG153">
        <f>IF($B$1+56&gt;90,BF153,(BF153+IF($B$1+56&lt;=$B153,12*$B$9,-12*$B$8*(1+$B$4)^56))*IF(BF153+IF($B$1+56&lt;=$B153,12*$B$9,-12*$B$8*(1+$B$4)^56)&gt;0,1+$B$3,1))</f>
        <v/>
      </c>
      <c r="BH153">
        <f>IF($B$1+57&gt;90,BG153,(BG153+IF($B$1+57&lt;=$B153,12*$B$9,-12*$B$8*(1+$B$4)^57))*IF(BG153+IF($B$1+57&lt;=$B153,12*$B$9,-12*$B$8*(1+$B$4)^57)&gt;0,1+$B$3,1))</f>
        <v/>
      </c>
      <c r="BI153">
        <f>IF($B$1+58&gt;90,BH153,(BH153+IF($B$1+58&lt;=$B153,12*$B$9,-12*$B$8*(1+$B$4)^58))*IF(BH153+IF($B$1+58&lt;=$B153,12*$B$9,-12*$B$8*(1+$B$4)^58)&gt;0,1+$B$3,1))</f>
        <v/>
      </c>
      <c r="BJ153">
        <f>IF($B$1+59&gt;90,BI153,(BI153+IF($B$1+59&lt;=$B153,12*$B$9,-12*$B$8*(1+$B$4)^59))*IF(BI153+IF($B$1+59&lt;=$B153,12*$B$9,-12*$B$8*(1+$B$4)^59)&gt;0,1+$B$3,1))</f>
        <v/>
      </c>
      <c r="BK153">
        <f>IF($B$1+60&gt;90,BJ153,(BJ153+IF($B$1+60&lt;=$B153,12*$B$9,-12*$B$8*(1+$B$4)^60))*IF(BJ153+IF($B$1+60&lt;=$B153,12*$B$9,-12*$B$8*(1+$B$4)^60)&gt;0,1+$B$3,1))</f>
        <v/>
      </c>
      <c r="BL153">
        <f>IF($B$1+61&gt;90,BK153,(BK153+IF($B$1+61&lt;=$B153,12*$B$9,-12*$B$8*(1+$B$4)^61))*IF(BK153+IF($B$1+61&lt;=$B153,12*$B$9,-12*$B$8*(1+$B$4)^61)&gt;0,1+$B$3,1))</f>
        <v/>
      </c>
      <c r="BM153">
        <f>IF($B$1+62&gt;90,BL153,(BL153+IF($B$1+62&lt;=$B153,12*$B$9,-12*$B$8*(1+$B$4)^62))*IF(BL153+IF($B$1+62&lt;=$B153,12*$B$9,-12*$B$8*(1+$B$4)^62)&gt;0,1+$B$3,1))</f>
        <v/>
      </c>
      <c r="BN153">
        <f>IF($B$1+63&gt;90,BM153,(BM153+IF($B$1+63&lt;=$B153,12*$B$9,-12*$B$8*(1+$B$4)^63))*IF(BM153+IF($B$1+63&lt;=$B153,12*$B$9,-12*$B$8*(1+$B$4)^63)&gt;0,1+$B$3,1))</f>
        <v/>
      </c>
      <c r="BO153">
        <f>IF($B$1+64&gt;90,BN153,(BN153+IF($B$1+64&lt;=$B153,12*$B$9,-12*$B$8*(1+$B$4)^64))*IF(BN153+IF($B$1+64&lt;=$B153,12*$B$9,-12*$B$8*(1+$B$4)^64)&gt;0,1+$B$3,1))</f>
        <v/>
      </c>
      <c r="BP153">
        <f>IF($B$1+65&gt;90,BO153,(BO153+IF($B$1+65&lt;=$B153,12*$B$9,-12*$B$8*(1+$B$4)^65))*IF(BO153+IF($B$1+65&lt;=$B153,12*$B$9,-12*$B$8*(1+$B$4)^65)&gt;0,1+$B$3,1))</f>
        <v/>
      </c>
      <c r="BQ153">
        <f>IF($B$1+66&gt;90,BP153,(BP153+IF($B$1+66&lt;=$B153,12*$B$9,-12*$B$8*(1+$B$4)^66))*IF(BP153+IF($B$1+66&lt;=$B153,12*$B$9,-12*$B$8*(1+$B$4)^66)&gt;0,1+$B$3,1))</f>
        <v/>
      </c>
      <c r="BR153">
        <f>IF($B$1+67&gt;90,BQ153,(BQ153+IF($B$1+67&lt;=$B153,12*$B$9,-12*$B$8*(1+$B$4)^67))*IF(BQ153+IF($B$1+67&lt;=$B153,12*$B$9,-12*$B$8*(1+$B$4)^67)&gt;0,1+$B$3,1))</f>
        <v/>
      </c>
      <c r="BS153">
        <f>IF($B$1+68&gt;90,BR153,(BR153+IF($B$1+68&lt;=$B153,12*$B$9,-12*$B$8*(1+$B$4)^68))*IF(BR153+IF($B$1+68&lt;=$B153,12*$B$9,-12*$B$8*(1+$B$4)^68)&gt;0,1+$B$3,1))</f>
        <v/>
      </c>
      <c r="BT153">
        <f>IF($B$1+69&gt;90,BS153,(BS153+IF($B$1+69&lt;=$B153,12*$B$9,-12*$B$8*(1+$B$4)^69))*IF(BS153+IF($B$1+69&lt;=$B153,12*$B$9,-12*$B$8*(1+$B$4)^69)&gt;0,1+$B$3,1))</f>
        <v/>
      </c>
      <c r="BU153">
        <f>IF($B$1+70&gt;90,BT153,(BT153+IF($B$1+70&lt;=$B153,12*$B$9,-12*$B$8*(1+$B$4)^70))*IF(BT153+IF($B$1+70&lt;=$B153,12*$B$9,-12*$B$8*(1+$B$4)^70)&gt;0,1+$B$3,1))</f>
        <v/>
      </c>
      <c r="BV153">
        <f>BU153</f>
        <v/>
      </c>
      <c r="BW153">
        <f>IF(AND($B153&lt;=70,BV153&gt;0),$B153,999)</f>
        <v/>
      </c>
    </row>
    <row r="154">
      <c r="A154" t="n">
        <v>2</v>
      </c>
      <c r="B154">
        <f>$B$1+2</f>
        <v/>
      </c>
      <c r="C154">
        <f>$B$2</f>
        <v/>
      </c>
      <c r="D154">
        <f>IF($B$1+1&gt;90,C154,(C154+IF($B$1+1&lt;=$B154,12*$B$9,-12*$B$8*(1+$B$4)^1))*IF(C154+IF($B$1+1&lt;=$B154,12*$B$9,-12*$B$8*(1+$B$4)^1)&gt;0,1+$B$3,1))</f>
        <v/>
      </c>
      <c r="E154">
        <f>IF($B$1+2&gt;90,D154,(D154+IF($B$1+2&lt;=$B154,12*$B$9,-12*$B$8*(1+$B$4)^2))*IF(D154+IF($B$1+2&lt;=$B154,12*$B$9,-12*$B$8*(1+$B$4)^2)&gt;0,1+$B$3,1))</f>
        <v/>
      </c>
      <c r="F154">
        <f>IF($B$1+3&gt;90,E154,(E154+IF($B$1+3&lt;=$B154,12*$B$9,-12*$B$8*(1+$B$4)^3))*IF(E154+IF($B$1+3&lt;=$B154,12*$B$9,-12*$B$8*(1+$B$4)^3)&gt;0,1+$B$3,1))</f>
        <v/>
      </c>
      <c r="G154">
        <f>IF($B$1+4&gt;90,F154,(F154+IF($B$1+4&lt;=$B154,12*$B$9,-12*$B$8*(1+$B$4)^4))*IF(F154+IF($B$1+4&lt;=$B154,12*$B$9,-12*$B$8*(1+$B$4)^4)&gt;0,1+$B$3,1))</f>
        <v/>
      </c>
      <c r="H154">
        <f>IF($B$1+5&gt;90,G154,(G154+IF($B$1+5&lt;=$B154,12*$B$9,-12*$B$8*(1+$B$4)^5))*IF(G154+IF($B$1+5&lt;=$B154,12*$B$9,-12*$B$8*(1+$B$4)^5)&gt;0,1+$B$3,1))</f>
        <v/>
      </c>
      <c r="I154">
        <f>IF($B$1+6&gt;90,H154,(H154+IF($B$1+6&lt;=$B154,12*$B$9,-12*$B$8*(1+$B$4)^6))*IF(H154+IF($B$1+6&lt;=$B154,12*$B$9,-12*$B$8*(1+$B$4)^6)&gt;0,1+$B$3,1))</f>
        <v/>
      </c>
      <c r="J154">
        <f>IF($B$1+7&gt;90,I154,(I154+IF($B$1+7&lt;=$B154,12*$B$9,-12*$B$8*(1+$B$4)^7))*IF(I154+IF($B$1+7&lt;=$B154,12*$B$9,-12*$B$8*(1+$B$4)^7)&gt;0,1+$B$3,1))</f>
        <v/>
      </c>
      <c r="K154">
        <f>IF($B$1+8&gt;90,J154,(J154+IF($B$1+8&lt;=$B154,12*$B$9,-12*$B$8*(1+$B$4)^8))*IF(J154+IF($B$1+8&lt;=$B154,12*$B$9,-12*$B$8*(1+$B$4)^8)&gt;0,1+$B$3,1))</f>
        <v/>
      </c>
      <c r="L154">
        <f>IF($B$1+9&gt;90,K154,(K154+IF($B$1+9&lt;=$B154,12*$B$9,-12*$B$8*(1+$B$4)^9))*IF(K154+IF($B$1+9&lt;=$B154,12*$B$9,-12*$B$8*(1+$B$4)^9)&gt;0,1+$B$3,1))</f>
        <v/>
      </c>
      <c r="M154">
        <f>IF($B$1+10&gt;90,L154,(L154+IF($B$1+10&lt;=$B154,12*$B$9,-12*$B$8*(1+$B$4)^10))*IF(L154+IF($B$1+10&lt;=$B154,12*$B$9,-12*$B$8*(1+$B$4)^10)&gt;0,1+$B$3,1))</f>
        <v/>
      </c>
      <c r="N154">
        <f>IF($B$1+11&gt;90,M154,(M154+IF($B$1+11&lt;=$B154,12*$B$9,-12*$B$8*(1+$B$4)^11))*IF(M154+IF($B$1+11&lt;=$B154,12*$B$9,-12*$B$8*(1+$B$4)^11)&gt;0,1+$B$3,1))</f>
        <v/>
      </c>
      <c r="O154">
        <f>IF($B$1+12&gt;90,N154,(N154+IF($B$1+12&lt;=$B154,12*$B$9,-12*$B$8*(1+$B$4)^12))*IF(N154+IF($B$1+12&lt;=$B154,12*$B$9,-12*$B$8*(1+$B$4)^12)&gt;0,1+$B$3,1))</f>
        <v/>
      </c>
      <c r="P154">
        <f>IF($B$1+13&gt;90,O154,(O154+IF($B$1+13&lt;=$B154,12*$B$9,-12*$B$8*(1+$B$4)^13))*IF(O154+IF($B$1+13&lt;=$B154,12*$B$9,-12*$B$8*(1+$B$4)^13)&gt;0,1+$B$3,1))</f>
        <v/>
      </c>
      <c r="Q154">
        <f>IF($B$1+14&gt;90,P154,(P154+IF($B$1+14&lt;=$B154,12*$B$9,-12*$B$8*(1+$B$4)^14))*IF(P154+IF($B$1+14&lt;=$B154,12*$B$9,-12*$B$8*(1+$B$4)^14)&gt;0,1+$B$3,1))</f>
        <v/>
      </c>
      <c r="R154">
        <f>IF($B$1+15&gt;90,Q154,(Q154+IF($B$1+15&lt;=$B154,12*$B$9,-12*$B$8*(1+$B$4)^15))*IF(Q154+IF($B$1+15&lt;=$B154,12*$B$9,-12*$B$8*(1+$B$4)^15)&gt;0,1+$B$3,1))</f>
        <v/>
      </c>
      <c r="S154">
        <f>IF($B$1+16&gt;90,R154,(R154+IF($B$1+16&lt;=$B154,12*$B$9,-12*$B$8*(1+$B$4)^16))*IF(R154+IF($B$1+16&lt;=$B154,12*$B$9,-12*$B$8*(1+$B$4)^16)&gt;0,1+$B$3,1))</f>
        <v/>
      </c>
      <c r="T154">
        <f>IF($B$1+17&gt;90,S154,(S154+IF($B$1+17&lt;=$B154,12*$B$9,-12*$B$8*(1+$B$4)^17))*IF(S154+IF($B$1+17&lt;=$B154,12*$B$9,-12*$B$8*(1+$B$4)^17)&gt;0,1+$B$3,1))</f>
        <v/>
      </c>
      <c r="U154">
        <f>IF($B$1+18&gt;90,T154,(T154+IF($B$1+18&lt;=$B154,12*$B$9,-12*$B$8*(1+$B$4)^18))*IF(T154+IF($B$1+18&lt;=$B154,12*$B$9,-12*$B$8*(1+$B$4)^18)&gt;0,1+$B$3,1))</f>
        <v/>
      </c>
      <c r="V154">
        <f>IF($B$1+19&gt;90,U154,(U154+IF($B$1+19&lt;=$B154,12*$B$9,-12*$B$8*(1+$B$4)^19))*IF(U154+IF($B$1+19&lt;=$B154,12*$B$9,-12*$B$8*(1+$B$4)^19)&gt;0,1+$B$3,1))</f>
        <v/>
      </c>
      <c r="W154">
        <f>IF($B$1+20&gt;90,V154,(V154+IF($B$1+20&lt;=$B154,12*$B$9,-12*$B$8*(1+$B$4)^20))*IF(V154+IF($B$1+20&lt;=$B154,12*$B$9,-12*$B$8*(1+$B$4)^20)&gt;0,1+$B$3,1))</f>
        <v/>
      </c>
      <c r="X154">
        <f>IF($B$1+21&gt;90,W154,(W154+IF($B$1+21&lt;=$B154,12*$B$9,-12*$B$8*(1+$B$4)^21))*IF(W154+IF($B$1+21&lt;=$B154,12*$B$9,-12*$B$8*(1+$B$4)^21)&gt;0,1+$B$3,1))</f>
        <v/>
      </c>
      <c r="Y154">
        <f>IF($B$1+22&gt;90,X154,(X154+IF($B$1+22&lt;=$B154,12*$B$9,-12*$B$8*(1+$B$4)^22))*IF(X154+IF($B$1+22&lt;=$B154,12*$B$9,-12*$B$8*(1+$B$4)^22)&gt;0,1+$B$3,1))</f>
        <v/>
      </c>
      <c r="Z154">
        <f>IF($B$1+23&gt;90,Y154,(Y154+IF($B$1+23&lt;=$B154,12*$B$9,-12*$B$8*(1+$B$4)^23))*IF(Y154+IF($B$1+23&lt;=$B154,12*$B$9,-12*$B$8*(1+$B$4)^23)&gt;0,1+$B$3,1))</f>
        <v/>
      </c>
      <c r="AA154">
        <f>IF($B$1+24&gt;90,Z154,(Z154+IF($B$1+24&lt;=$B154,12*$B$9,-12*$B$8*(1+$B$4)^24))*IF(Z154+IF($B$1+24&lt;=$B154,12*$B$9,-12*$B$8*(1+$B$4)^24)&gt;0,1+$B$3,1))</f>
        <v/>
      </c>
      <c r="AB154">
        <f>IF($B$1+25&gt;90,AA154,(AA154+IF($B$1+25&lt;=$B154,12*$B$9,-12*$B$8*(1+$B$4)^25))*IF(AA154+IF($B$1+25&lt;=$B154,12*$B$9,-12*$B$8*(1+$B$4)^25)&gt;0,1+$B$3,1))</f>
        <v/>
      </c>
      <c r="AC154">
        <f>IF($B$1+26&gt;90,AB154,(AB154+IF($B$1+26&lt;=$B154,12*$B$9,-12*$B$8*(1+$B$4)^26))*IF(AB154+IF($B$1+26&lt;=$B154,12*$B$9,-12*$B$8*(1+$B$4)^26)&gt;0,1+$B$3,1))</f>
        <v/>
      </c>
      <c r="AD154">
        <f>IF($B$1+27&gt;90,AC154,(AC154+IF($B$1+27&lt;=$B154,12*$B$9,-12*$B$8*(1+$B$4)^27))*IF(AC154+IF($B$1+27&lt;=$B154,12*$B$9,-12*$B$8*(1+$B$4)^27)&gt;0,1+$B$3,1))</f>
        <v/>
      </c>
      <c r="AE154">
        <f>IF($B$1+28&gt;90,AD154,(AD154+IF($B$1+28&lt;=$B154,12*$B$9,-12*$B$8*(1+$B$4)^28))*IF(AD154+IF($B$1+28&lt;=$B154,12*$B$9,-12*$B$8*(1+$B$4)^28)&gt;0,1+$B$3,1))</f>
        <v/>
      </c>
      <c r="AF154">
        <f>IF($B$1+29&gt;90,AE154,(AE154+IF($B$1+29&lt;=$B154,12*$B$9,-12*$B$8*(1+$B$4)^29))*IF(AE154+IF($B$1+29&lt;=$B154,12*$B$9,-12*$B$8*(1+$B$4)^29)&gt;0,1+$B$3,1))</f>
        <v/>
      </c>
      <c r="AG154">
        <f>IF($B$1+30&gt;90,AF154,(AF154+IF($B$1+30&lt;=$B154,12*$B$9,-12*$B$8*(1+$B$4)^30))*IF(AF154+IF($B$1+30&lt;=$B154,12*$B$9,-12*$B$8*(1+$B$4)^30)&gt;0,1+$B$3,1))</f>
        <v/>
      </c>
      <c r="AH154">
        <f>IF($B$1+31&gt;90,AG154,(AG154+IF($B$1+31&lt;=$B154,12*$B$9,-12*$B$8*(1+$B$4)^31))*IF(AG154+IF($B$1+31&lt;=$B154,12*$B$9,-12*$B$8*(1+$B$4)^31)&gt;0,1+$B$3,1))</f>
        <v/>
      </c>
      <c r="AI154">
        <f>IF($B$1+32&gt;90,AH154,(AH154+IF($B$1+32&lt;=$B154,12*$B$9,-12*$B$8*(1+$B$4)^32))*IF(AH154+IF($B$1+32&lt;=$B154,12*$B$9,-12*$B$8*(1+$B$4)^32)&gt;0,1+$B$3,1))</f>
        <v/>
      </c>
      <c r="AJ154">
        <f>IF($B$1+33&gt;90,AI154,(AI154+IF($B$1+33&lt;=$B154,12*$B$9,-12*$B$8*(1+$B$4)^33))*IF(AI154+IF($B$1+33&lt;=$B154,12*$B$9,-12*$B$8*(1+$B$4)^33)&gt;0,1+$B$3,1))</f>
        <v/>
      </c>
      <c r="AK154">
        <f>IF($B$1+34&gt;90,AJ154,(AJ154+IF($B$1+34&lt;=$B154,12*$B$9,-12*$B$8*(1+$B$4)^34))*IF(AJ154+IF($B$1+34&lt;=$B154,12*$B$9,-12*$B$8*(1+$B$4)^34)&gt;0,1+$B$3,1))</f>
        <v/>
      </c>
      <c r="AL154">
        <f>IF($B$1+35&gt;90,AK154,(AK154+IF($B$1+35&lt;=$B154,12*$B$9,-12*$B$8*(1+$B$4)^35))*IF(AK154+IF($B$1+35&lt;=$B154,12*$B$9,-12*$B$8*(1+$B$4)^35)&gt;0,1+$B$3,1))</f>
        <v/>
      </c>
      <c r="AM154">
        <f>IF($B$1+36&gt;90,AL154,(AL154+IF($B$1+36&lt;=$B154,12*$B$9,-12*$B$8*(1+$B$4)^36))*IF(AL154+IF($B$1+36&lt;=$B154,12*$B$9,-12*$B$8*(1+$B$4)^36)&gt;0,1+$B$3,1))</f>
        <v/>
      </c>
      <c r="AN154">
        <f>IF($B$1+37&gt;90,AM154,(AM154+IF($B$1+37&lt;=$B154,12*$B$9,-12*$B$8*(1+$B$4)^37))*IF(AM154+IF($B$1+37&lt;=$B154,12*$B$9,-12*$B$8*(1+$B$4)^37)&gt;0,1+$B$3,1))</f>
        <v/>
      </c>
      <c r="AO154">
        <f>IF($B$1+38&gt;90,AN154,(AN154+IF($B$1+38&lt;=$B154,12*$B$9,-12*$B$8*(1+$B$4)^38))*IF(AN154+IF($B$1+38&lt;=$B154,12*$B$9,-12*$B$8*(1+$B$4)^38)&gt;0,1+$B$3,1))</f>
        <v/>
      </c>
      <c r="AP154">
        <f>IF($B$1+39&gt;90,AO154,(AO154+IF($B$1+39&lt;=$B154,12*$B$9,-12*$B$8*(1+$B$4)^39))*IF(AO154+IF($B$1+39&lt;=$B154,12*$B$9,-12*$B$8*(1+$B$4)^39)&gt;0,1+$B$3,1))</f>
        <v/>
      </c>
      <c r="AQ154">
        <f>IF($B$1+40&gt;90,AP154,(AP154+IF($B$1+40&lt;=$B154,12*$B$9,-12*$B$8*(1+$B$4)^40))*IF(AP154+IF($B$1+40&lt;=$B154,12*$B$9,-12*$B$8*(1+$B$4)^40)&gt;0,1+$B$3,1))</f>
        <v/>
      </c>
      <c r="AR154">
        <f>IF($B$1+41&gt;90,AQ154,(AQ154+IF($B$1+41&lt;=$B154,12*$B$9,-12*$B$8*(1+$B$4)^41))*IF(AQ154+IF($B$1+41&lt;=$B154,12*$B$9,-12*$B$8*(1+$B$4)^41)&gt;0,1+$B$3,1))</f>
        <v/>
      </c>
      <c r="AS154">
        <f>IF($B$1+42&gt;90,AR154,(AR154+IF($B$1+42&lt;=$B154,12*$B$9,-12*$B$8*(1+$B$4)^42))*IF(AR154+IF($B$1+42&lt;=$B154,12*$B$9,-12*$B$8*(1+$B$4)^42)&gt;0,1+$B$3,1))</f>
        <v/>
      </c>
      <c r="AT154">
        <f>IF($B$1+43&gt;90,AS154,(AS154+IF($B$1+43&lt;=$B154,12*$B$9,-12*$B$8*(1+$B$4)^43))*IF(AS154+IF($B$1+43&lt;=$B154,12*$B$9,-12*$B$8*(1+$B$4)^43)&gt;0,1+$B$3,1))</f>
        <v/>
      </c>
      <c r="AU154">
        <f>IF($B$1+44&gt;90,AT154,(AT154+IF($B$1+44&lt;=$B154,12*$B$9,-12*$B$8*(1+$B$4)^44))*IF(AT154+IF($B$1+44&lt;=$B154,12*$B$9,-12*$B$8*(1+$B$4)^44)&gt;0,1+$B$3,1))</f>
        <v/>
      </c>
      <c r="AV154">
        <f>IF($B$1+45&gt;90,AU154,(AU154+IF($B$1+45&lt;=$B154,12*$B$9,-12*$B$8*(1+$B$4)^45))*IF(AU154+IF($B$1+45&lt;=$B154,12*$B$9,-12*$B$8*(1+$B$4)^45)&gt;0,1+$B$3,1))</f>
        <v/>
      </c>
      <c r="AW154">
        <f>IF($B$1+46&gt;90,AV154,(AV154+IF($B$1+46&lt;=$B154,12*$B$9,-12*$B$8*(1+$B$4)^46))*IF(AV154+IF($B$1+46&lt;=$B154,12*$B$9,-12*$B$8*(1+$B$4)^46)&gt;0,1+$B$3,1))</f>
        <v/>
      </c>
      <c r="AX154">
        <f>IF($B$1+47&gt;90,AW154,(AW154+IF($B$1+47&lt;=$B154,12*$B$9,-12*$B$8*(1+$B$4)^47))*IF(AW154+IF($B$1+47&lt;=$B154,12*$B$9,-12*$B$8*(1+$B$4)^47)&gt;0,1+$B$3,1))</f>
        <v/>
      </c>
      <c r="AY154">
        <f>IF($B$1+48&gt;90,AX154,(AX154+IF($B$1+48&lt;=$B154,12*$B$9,-12*$B$8*(1+$B$4)^48))*IF(AX154+IF($B$1+48&lt;=$B154,12*$B$9,-12*$B$8*(1+$B$4)^48)&gt;0,1+$B$3,1))</f>
        <v/>
      </c>
      <c r="AZ154">
        <f>IF($B$1+49&gt;90,AY154,(AY154+IF($B$1+49&lt;=$B154,12*$B$9,-12*$B$8*(1+$B$4)^49))*IF(AY154+IF($B$1+49&lt;=$B154,12*$B$9,-12*$B$8*(1+$B$4)^49)&gt;0,1+$B$3,1))</f>
        <v/>
      </c>
      <c r="BA154">
        <f>IF($B$1+50&gt;90,AZ154,(AZ154+IF($B$1+50&lt;=$B154,12*$B$9,-12*$B$8*(1+$B$4)^50))*IF(AZ154+IF($B$1+50&lt;=$B154,12*$B$9,-12*$B$8*(1+$B$4)^50)&gt;0,1+$B$3,1))</f>
        <v/>
      </c>
      <c r="BB154">
        <f>IF($B$1+51&gt;90,BA154,(BA154+IF($B$1+51&lt;=$B154,12*$B$9,-12*$B$8*(1+$B$4)^51))*IF(BA154+IF($B$1+51&lt;=$B154,12*$B$9,-12*$B$8*(1+$B$4)^51)&gt;0,1+$B$3,1))</f>
        <v/>
      </c>
      <c r="BC154">
        <f>IF($B$1+52&gt;90,BB154,(BB154+IF($B$1+52&lt;=$B154,12*$B$9,-12*$B$8*(1+$B$4)^52))*IF(BB154+IF($B$1+52&lt;=$B154,12*$B$9,-12*$B$8*(1+$B$4)^52)&gt;0,1+$B$3,1))</f>
        <v/>
      </c>
      <c r="BD154">
        <f>IF($B$1+53&gt;90,BC154,(BC154+IF($B$1+53&lt;=$B154,12*$B$9,-12*$B$8*(1+$B$4)^53))*IF(BC154+IF($B$1+53&lt;=$B154,12*$B$9,-12*$B$8*(1+$B$4)^53)&gt;0,1+$B$3,1))</f>
        <v/>
      </c>
      <c r="BE154">
        <f>IF($B$1+54&gt;90,BD154,(BD154+IF($B$1+54&lt;=$B154,12*$B$9,-12*$B$8*(1+$B$4)^54))*IF(BD154+IF($B$1+54&lt;=$B154,12*$B$9,-12*$B$8*(1+$B$4)^54)&gt;0,1+$B$3,1))</f>
        <v/>
      </c>
      <c r="BF154">
        <f>IF($B$1+55&gt;90,BE154,(BE154+IF($B$1+55&lt;=$B154,12*$B$9,-12*$B$8*(1+$B$4)^55))*IF(BE154+IF($B$1+55&lt;=$B154,12*$B$9,-12*$B$8*(1+$B$4)^55)&gt;0,1+$B$3,1))</f>
        <v/>
      </c>
      <c r="BG154">
        <f>IF($B$1+56&gt;90,BF154,(BF154+IF($B$1+56&lt;=$B154,12*$B$9,-12*$B$8*(1+$B$4)^56))*IF(BF154+IF($B$1+56&lt;=$B154,12*$B$9,-12*$B$8*(1+$B$4)^56)&gt;0,1+$B$3,1))</f>
        <v/>
      </c>
      <c r="BH154">
        <f>IF($B$1+57&gt;90,BG154,(BG154+IF($B$1+57&lt;=$B154,12*$B$9,-12*$B$8*(1+$B$4)^57))*IF(BG154+IF($B$1+57&lt;=$B154,12*$B$9,-12*$B$8*(1+$B$4)^57)&gt;0,1+$B$3,1))</f>
        <v/>
      </c>
      <c r="BI154">
        <f>IF($B$1+58&gt;90,BH154,(BH154+IF($B$1+58&lt;=$B154,12*$B$9,-12*$B$8*(1+$B$4)^58))*IF(BH154+IF($B$1+58&lt;=$B154,12*$B$9,-12*$B$8*(1+$B$4)^58)&gt;0,1+$B$3,1))</f>
        <v/>
      </c>
      <c r="BJ154">
        <f>IF($B$1+59&gt;90,BI154,(BI154+IF($B$1+59&lt;=$B154,12*$B$9,-12*$B$8*(1+$B$4)^59))*IF(BI154+IF($B$1+59&lt;=$B154,12*$B$9,-12*$B$8*(1+$B$4)^59)&gt;0,1+$B$3,1))</f>
        <v/>
      </c>
      <c r="BK154">
        <f>IF($B$1+60&gt;90,BJ154,(BJ154+IF($B$1+60&lt;=$B154,12*$B$9,-12*$B$8*(1+$B$4)^60))*IF(BJ154+IF($B$1+60&lt;=$B154,12*$B$9,-12*$B$8*(1+$B$4)^60)&gt;0,1+$B$3,1))</f>
        <v/>
      </c>
      <c r="BL154">
        <f>IF($B$1+61&gt;90,BK154,(BK154+IF($B$1+61&lt;=$B154,12*$B$9,-12*$B$8*(1+$B$4)^61))*IF(BK154+IF($B$1+61&lt;=$B154,12*$B$9,-12*$B$8*(1+$B$4)^61)&gt;0,1+$B$3,1))</f>
        <v/>
      </c>
      <c r="BM154">
        <f>IF($B$1+62&gt;90,BL154,(BL154+IF($B$1+62&lt;=$B154,12*$B$9,-12*$B$8*(1+$B$4)^62))*IF(BL154+IF($B$1+62&lt;=$B154,12*$B$9,-12*$B$8*(1+$B$4)^62)&gt;0,1+$B$3,1))</f>
        <v/>
      </c>
      <c r="BN154">
        <f>IF($B$1+63&gt;90,BM154,(BM154+IF($B$1+63&lt;=$B154,12*$B$9,-12*$B$8*(1+$B$4)^63))*IF(BM154+IF($B$1+63&lt;=$B154,12*$B$9,-12*$B$8*(1+$B$4)^63)&gt;0,1+$B$3,1))</f>
        <v/>
      </c>
      <c r="BO154">
        <f>IF($B$1+64&gt;90,BN154,(BN154+IF($B$1+64&lt;=$B154,12*$B$9,-12*$B$8*(1+$B$4)^64))*IF(BN154+IF($B$1+64&lt;=$B154,12*$B$9,-12*$B$8*(1+$B$4)^64)&gt;0,1+$B$3,1))</f>
        <v/>
      </c>
      <c r="BP154">
        <f>IF($B$1+65&gt;90,BO154,(BO154+IF($B$1+65&lt;=$B154,12*$B$9,-12*$B$8*(1+$B$4)^65))*IF(BO154+IF($B$1+65&lt;=$B154,12*$B$9,-12*$B$8*(1+$B$4)^65)&gt;0,1+$B$3,1))</f>
        <v/>
      </c>
      <c r="BQ154">
        <f>IF($B$1+66&gt;90,BP154,(BP154+IF($B$1+66&lt;=$B154,12*$B$9,-12*$B$8*(1+$B$4)^66))*IF(BP154+IF($B$1+66&lt;=$B154,12*$B$9,-12*$B$8*(1+$B$4)^66)&gt;0,1+$B$3,1))</f>
        <v/>
      </c>
      <c r="BR154">
        <f>IF($B$1+67&gt;90,BQ154,(BQ154+IF($B$1+67&lt;=$B154,12*$B$9,-12*$B$8*(1+$B$4)^67))*IF(BQ154+IF($B$1+67&lt;=$B154,12*$B$9,-12*$B$8*(1+$B$4)^67)&gt;0,1+$B$3,1))</f>
        <v/>
      </c>
      <c r="BS154">
        <f>IF($B$1+68&gt;90,BR154,(BR154+IF($B$1+68&lt;=$B154,12*$B$9,-12*$B$8*(1+$B$4)^68))*IF(BR154+IF($B$1+68&lt;=$B154,12*$B$9,-12*$B$8*(1+$B$4)^68)&gt;0,1+$B$3,1))</f>
        <v/>
      </c>
      <c r="BT154">
        <f>IF($B$1+69&gt;90,BS154,(BS154+IF($B$1+69&lt;=$B154,12*$B$9,-12*$B$8*(1+$B$4)^69))*IF(BS154+IF($B$1+69&lt;=$B154,12*$B$9,-12*$B$8*(1+$B$4)^69)&gt;0,1+$B$3,1))</f>
        <v/>
      </c>
      <c r="BU154">
        <f>IF($B$1+70&gt;90,BT154,(BT154+IF($B$1+70&lt;=$B154,12*$B$9,-12*$B$8*(1+$B$4)^70))*IF(BT154+IF($B$1+70&lt;=$B154,12*$B$9,-12*$B$8*(1+$B$4)^70)&gt;0,1+$B$3,1))</f>
        <v/>
      </c>
      <c r="BV154">
        <f>BU154</f>
        <v/>
      </c>
      <c r="BW154">
        <f>IF(AND($B154&lt;=70,BV154&gt;0),$B154,999)</f>
        <v/>
      </c>
    </row>
    <row r="155">
      <c r="A155" t="n">
        <v>3</v>
      </c>
      <c r="B155">
        <f>$B$1+3</f>
        <v/>
      </c>
      <c r="C155">
        <f>$B$2</f>
        <v/>
      </c>
      <c r="D155">
        <f>IF($B$1+1&gt;90,C155,(C155+IF($B$1+1&lt;=$B155,12*$B$9,-12*$B$8*(1+$B$4)^1))*IF(C155+IF($B$1+1&lt;=$B155,12*$B$9,-12*$B$8*(1+$B$4)^1)&gt;0,1+$B$3,1))</f>
        <v/>
      </c>
      <c r="E155">
        <f>IF($B$1+2&gt;90,D155,(D155+IF($B$1+2&lt;=$B155,12*$B$9,-12*$B$8*(1+$B$4)^2))*IF(D155+IF($B$1+2&lt;=$B155,12*$B$9,-12*$B$8*(1+$B$4)^2)&gt;0,1+$B$3,1))</f>
        <v/>
      </c>
      <c r="F155">
        <f>IF($B$1+3&gt;90,E155,(E155+IF($B$1+3&lt;=$B155,12*$B$9,-12*$B$8*(1+$B$4)^3))*IF(E155+IF($B$1+3&lt;=$B155,12*$B$9,-12*$B$8*(1+$B$4)^3)&gt;0,1+$B$3,1))</f>
        <v/>
      </c>
      <c r="G155">
        <f>IF($B$1+4&gt;90,F155,(F155+IF($B$1+4&lt;=$B155,12*$B$9,-12*$B$8*(1+$B$4)^4))*IF(F155+IF($B$1+4&lt;=$B155,12*$B$9,-12*$B$8*(1+$B$4)^4)&gt;0,1+$B$3,1))</f>
        <v/>
      </c>
      <c r="H155">
        <f>IF($B$1+5&gt;90,G155,(G155+IF($B$1+5&lt;=$B155,12*$B$9,-12*$B$8*(1+$B$4)^5))*IF(G155+IF($B$1+5&lt;=$B155,12*$B$9,-12*$B$8*(1+$B$4)^5)&gt;0,1+$B$3,1))</f>
        <v/>
      </c>
      <c r="I155">
        <f>IF($B$1+6&gt;90,H155,(H155+IF($B$1+6&lt;=$B155,12*$B$9,-12*$B$8*(1+$B$4)^6))*IF(H155+IF($B$1+6&lt;=$B155,12*$B$9,-12*$B$8*(1+$B$4)^6)&gt;0,1+$B$3,1))</f>
        <v/>
      </c>
      <c r="J155">
        <f>IF($B$1+7&gt;90,I155,(I155+IF($B$1+7&lt;=$B155,12*$B$9,-12*$B$8*(1+$B$4)^7))*IF(I155+IF($B$1+7&lt;=$B155,12*$B$9,-12*$B$8*(1+$B$4)^7)&gt;0,1+$B$3,1))</f>
        <v/>
      </c>
      <c r="K155">
        <f>IF($B$1+8&gt;90,J155,(J155+IF($B$1+8&lt;=$B155,12*$B$9,-12*$B$8*(1+$B$4)^8))*IF(J155+IF($B$1+8&lt;=$B155,12*$B$9,-12*$B$8*(1+$B$4)^8)&gt;0,1+$B$3,1))</f>
        <v/>
      </c>
      <c r="L155">
        <f>IF($B$1+9&gt;90,K155,(K155+IF($B$1+9&lt;=$B155,12*$B$9,-12*$B$8*(1+$B$4)^9))*IF(K155+IF($B$1+9&lt;=$B155,12*$B$9,-12*$B$8*(1+$B$4)^9)&gt;0,1+$B$3,1))</f>
        <v/>
      </c>
      <c r="M155">
        <f>IF($B$1+10&gt;90,L155,(L155+IF($B$1+10&lt;=$B155,12*$B$9,-12*$B$8*(1+$B$4)^10))*IF(L155+IF($B$1+10&lt;=$B155,12*$B$9,-12*$B$8*(1+$B$4)^10)&gt;0,1+$B$3,1))</f>
        <v/>
      </c>
      <c r="N155">
        <f>IF($B$1+11&gt;90,M155,(M155+IF($B$1+11&lt;=$B155,12*$B$9,-12*$B$8*(1+$B$4)^11))*IF(M155+IF($B$1+11&lt;=$B155,12*$B$9,-12*$B$8*(1+$B$4)^11)&gt;0,1+$B$3,1))</f>
        <v/>
      </c>
      <c r="O155">
        <f>IF($B$1+12&gt;90,N155,(N155+IF($B$1+12&lt;=$B155,12*$B$9,-12*$B$8*(1+$B$4)^12))*IF(N155+IF($B$1+12&lt;=$B155,12*$B$9,-12*$B$8*(1+$B$4)^12)&gt;0,1+$B$3,1))</f>
        <v/>
      </c>
      <c r="P155">
        <f>IF($B$1+13&gt;90,O155,(O155+IF($B$1+13&lt;=$B155,12*$B$9,-12*$B$8*(1+$B$4)^13))*IF(O155+IF($B$1+13&lt;=$B155,12*$B$9,-12*$B$8*(1+$B$4)^13)&gt;0,1+$B$3,1))</f>
        <v/>
      </c>
      <c r="Q155">
        <f>IF($B$1+14&gt;90,P155,(P155+IF($B$1+14&lt;=$B155,12*$B$9,-12*$B$8*(1+$B$4)^14))*IF(P155+IF($B$1+14&lt;=$B155,12*$B$9,-12*$B$8*(1+$B$4)^14)&gt;0,1+$B$3,1))</f>
        <v/>
      </c>
      <c r="R155">
        <f>IF($B$1+15&gt;90,Q155,(Q155+IF($B$1+15&lt;=$B155,12*$B$9,-12*$B$8*(1+$B$4)^15))*IF(Q155+IF($B$1+15&lt;=$B155,12*$B$9,-12*$B$8*(1+$B$4)^15)&gt;0,1+$B$3,1))</f>
        <v/>
      </c>
      <c r="S155">
        <f>IF($B$1+16&gt;90,R155,(R155+IF($B$1+16&lt;=$B155,12*$B$9,-12*$B$8*(1+$B$4)^16))*IF(R155+IF($B$1+16&lt;=$B155,12*$B$9,-12*$B$8*(1+$B$4)^16)&gt;0,1+$B$3,1))</f>
        <v/>
      </c>
      <c r="T155">
        <f>IF($B$1+17&gt;90,S155,(S155+IF($B$1+17&lt;=$B155,12*$B$9,-12*$B$8*(1+$B$4)^17))*IF(S155+IF($B$1+17&lt;=$B155,12*$B$9,-12*$B$8*(1+$B$4)^17)&gt;0,1+$B$3,1))</f>
        <v/>
      </c>
      <c r="U155">
        <f>IF($B$1+18&gt;90,T155,(T155+IF($B$1+18&lt;=$B155,12*$B$9,-12*$B$8*(1+$B$4)^18))*IF(T155+IF($B$1+18&lt;=$B155,12*$B$9,-12*$B$8*(1+$B$4)^18)&gt;0,1+$B$3,1))</f>
        <v/>
      </c>
      <c r="V155">
        <f>IF($B$1+19&gt;90,U155,(U155+IF($B$1+19&lt;=$B155,12*$B$9,-12*$B$8*(1+$B$4)^19))*IF(U155+IF($B$1+19&lt;=$B155,12*$B$9,-12*$B$8*(1+$B$4)^19)&gt;0,1+$B$3,1))</f>
        <v/>
      </c>
      <c r="W155">
        <f>IF($B$1+20&gt;90,V155,(V155+IF($B$1+20&lt;=$B155,12*$B$9,-12*$B$8*(1+$B$4)^20))*IF(V155+IF($B$1+20&lt;=$B155,12*$B$9,-12*$B$8*(1+$B$4)^20)&gt;0,1+$B$3,1))</f>
        <v/>
      </c>
      <c r="X155">
        <f>IF($B$1+21&gt;90,W155,(W155+IF($B$1+21&lt;=$B155,12*$B$9,-12*$B$8*(1+$B$4)^21))*IF(W155+IF($B$1+21&lt;=$B155,12*$B$9,-12*$B$8*(1+$B$4)^21)&gt;0,1+$B$3,1))</f>
        <v/>
      </c>
      <c r="Y155">
        <f>IF($B$1+22&gt;90,X155,(X155+IF($B$1+22&lt;=$B155,12*$B$9,-12*$B$8*(1+$B$4)^22))*IF(X155+IF($B$1+22&lt;=$B155,12*$B$9,-12*$B$8*(1+$B$4)^22)&gt;0,1+$B$3,1))</f>
        <v/>
      </c>
      <c r="Z155">
        <f>IF($B$1+23&gt;90,Y155,(Y155+IF($B$1+23&lt;=$B155,12*$B$9,-12*$B$8*(1+$B$4)^23))*IF(Y155+IF($B$1+23&lt;=$B155,12*$B$9,-12*$B$8*(1+$B$4)^23)&gt;0,1+$B$3,1))</f>
        <v/>
      </c>
      <c r="AA155">
        <f>IF($B$1+24&gt;90,Z155,(Z155+IF($B$1+24&lt;=$B155,12*$B$9,-12*$B$8*(1+$B$4)^24))*IF(Z155+IF($B$1+24&lt;=$B155,12*$B$9,-12*$B$8*(1+$B$4)^24)&gt;0,1+$B$3,1))</f>
        <v/>
      </c>
      <c r="AB155">
        <f>IF($B$1+25&gt;90,AA155,(AA155+IF($B$1+25&lt;=$B155,12*$B$9,-12*$B$8*(1+$B$4)^25))*IF(AA155+IF($B$1+25&lt;=$B155,12*$B$9,-12*$B$8*(1+$B$4)^25)&gt;0,1+$B$3,1))</f>
        <v/>
      </c>
      <c r="AC155">
        <f>IF($B$1+26&gt;90,AB155,(AB155+IF($B$1+26&lt;=$B155,12*$B$9,-12*$B$8*(1+$B$4)^26))*IF(AB155+IF($B$1+26&lt;=$B155,12*$B$9,-12*$B$8*(1+$B$4)^26)&gt;0,1+$B$3,1))</f>
        <v/>
      </c>
      <c r="AD155">
        <f>IF($B$1+27&gt;90,AC155,(AC155+IF($B$1+27&lt;=$B155,12*$B$9,-12*$B$8*(1+$B$4)^27))*IF(AC155+IF($B$1+27&lt;=$B155,12*$B$9,-12*$B$8*(1+$B$4)^27)&gt;0,1+$B$3,1))</f>
        <v/>
      </c>
      <c r="AE155">
        <f>IF($B$1+28&gt;90,AD155,(AD155+IF($B$1+28&lt;=$B155,12*$B$9,-12*$B$8*(1+$B$4)^28))*IF(AD155+IF($B$1+28&lt;=$B155,12*$B$9,-12*$B$8*(1+$B$4)^28)&gt;0,1+$B$3,1))</f>
        <v/>
      </c>
      <c r="AF155">
        <f>IF($B$1+29&gt;90,AE155,(AE155+IF($B$1+29&lt;=$B155,12*$B$9,-12*$B$8*(1+$B$4)^29))*IF(AE155+IF($B$1+29&lt;=$B155,12*$B$9,-12*$B$8*(1+$B$4)^29)&gt;0,1+$B$3,1))</f>
        <v/>
      </c>
      <c r="AG155">
        <f>IF($B$1+30&gt;90,AF155,(AF155+IF($B$1+30&lt;=$B155,12*$B$9,-12*$B$8*(1+$B$4)^30))*IF(AF155+IF($B$1+30&lt;=$B155,12*$B$9,-12*$B$8*(1+$B$4)^30)&gt;0,1+$B$3,1))</f>
        <v/>
      </c>
      <c r="AH155">
        <f>IF($B$1+31&gt;90,AG155,(AG155+IF($B$1+31&lt;=$B155,12*$B$9,-12*$B$8*(1+$B$4)^31))*IF(AG155+IF($B$1+31&lt;=$B155,12*$B$9,-12*$B$8*(1+$B$4)^31)&gt;0,1+$B$3,1))</f>
        <v/>
      </c>
      <c r="AI155">
        <f>IF($B$1+32&gt;90,AH155,(AH155+IF($B$1+32&lt;=$B155,12*$B$9,-12*$B$8*(1+$B$4)^32))*IF(AH155+IF($B$1+32&lt;=$B155,12*$B$9,-12*$B$8*(1+$B$4)^32)&gt;0,1+$B$3,1))</f>
        <v/>
      </c>
      <c r="AJ155">
        <f>IF($B$1+33&gt;90,AI155,(AI155+IF($B$1+33&lt;=$B155,12*$B$9,-12*$B$8*(1+$B$4)^33))*IF(AI155+IF($B$1+33&lt;=$B155,12*$B$9,-12*$B$8*(1+$B$4)^33)&gt;0,1+$B$3,1))</f>
        <v/>
      </c>
      <c r="AK155">
        <f>IF($B$1+34&gt;90,AJ155,(AJ155+IF($B$1+34&lt;=$B155,12*$B$9,-12*$B$8*(1+$B$4)^34))*IF(AJ155+IF($B$1+34&lt;=$B155,12*$B$9,-12*$B$8*(1+$B$4)^34)&gt;0,1+$B$3,1))</f>
        <v/>
      </c>
      <c r="AL155">
        <f>IF($B$1+35&gt;90,AK155,(AK155+IF($B$1+35&lt;=$B155,12*$B$9,-12*$B$8*(1+$B$4)^35))*IF(AK155+IF($B$1+35&lt;=$B155,12*$B$9,-12*$B$8*(1+$B$4)^35)&gt;0,1+$B$3,1))</f>
        <v/>
      </c>
      <c r="AM155">
        <f>IF($B$1+36&gt;90,AL155,(AL155+IF($B$1+36&lt;=$B155,12*$B$9,-12*$B$8*(1+$B$4)^36))*IF(AL155+IF($B$1+36&lt;=$B155,12*$B$9,-12*$B$8*(1+$B$4)^36)&gt;0,1+$B$3,1))</f>
        <v/>
      </c>
      <c r="AN155">
        <f>IF($B$1+37&gt;90,AM155,(AM155+IF($B$1+37&lt;=$B155,12*$B$9,-12*$B$8*(1+$B$4)^37))*IF(AM155+IF($B$1+37&lt;=$B155,12*$B$9,-12*$B$8*(1+$B$4)^37)&gt;0,1+$B$3,1))</f>
        <v/>
      </c>
      <c r="AO155">
        <f>IF($B$1+38&gt;90,AN155,(AN155+IF($B$1+38&lt;=$B155,12*$B$9,-12*$B$8*(1+$B$4)^38))*IF(AN155+IF($B$1+38&lt;=$B155,12*$B$9,-12*$B$8*(1+$B$4)^38)&gt;0,1+$B$3,1))</f>
        <v/>
      </c>
      <c r="AP155">
        <f>IF($B$1+39&gt;90,AO155,(AO155+IF($B$1+39&lt;=$B155,12*$B$9,-12*$B$8*(1+$B$4)^39))*IF(AO155+IF($B$1+39&lt;=$B155,12*$B$9,-12*$B$8*(1+$B$4)^39)&gt;0,1+$B$3,1))</f>
        <v/>
      </c>
      <c r="AQ155">
        <f>IF($B$1+40&gt;90,AP155,(AP155+IF($B$1+40&lt;=$B155,12*$B$9,-12*$B$8*(1+$B$4)^40))*IF(AP155+IF($B$1+40&lt;=$B155,12*$B$9,-12*$B$8*(1+$B$4)^40)&gt;0,1+$B$3,1))</f>
        <v/>
      </c>
      <c r="AR155">
        <f>IF($B$1+41&gt;90,AQ155,(AQ155+IF($B$1+41&lt;=$B155,12*$B$9,-12*$B$8*(1+$B$4)^41))*IF(AQ155+IF($B$1+41&lt;=$B155,12*$B$9,-12*$B$8*(1+$B$4)^41)&gt;0,1+$B$3,1))</f>
        <v/>
      </c>
      <c r="AS155">
        <f>IF($B$1+42&gt;90,AR155,(AR155+IF($B$1+42&lt;=$B155,12*$B$9,-12*$B$8*(1+$B$4)^42))*IF(AR155+IF($B$1+42&lt;=$B155,12*$B$9,-12*$B$8*(1+$B$4)^42)&gt;0,1+$B$3,1))</f>
        <v/>
      </c>
      <c r="AT155">
        <f>IF($B$1+43&gt;90,AS155,(AS155+IF($B$1+43&lt;=$B155,12*$B$9,-12*$B$8*(1+$B$4)^43))*IF(AS155+IF($B$1+43&lt;=$B155,12*$B$9,-12*$B$8*(1+$B$4)^43)&gt;0,1+$B$3,1))</f>
        <v/>
      </c>
      <c r="AU155">
        <f>IF($B$1+44&gt;90,AT155,(AT155+IF($B$1+44&lt;=$B155,12*$B$9,-12*$B$8*(1+$B$4)^44))*IF(AT155+IF($B$1+44&lt;=$B155,12*$B$9,-12*$B$8*(1+$B$4)^44)&gt;0,1+$B$3,1))</f>
        <v/>
      </c>
      <c r="AV155">
        <f>IF($B$1+45&gt;90,AU155,(AU155+IF($B$1+45&lt;=$B155,12*$B$9,-12*$B$8*(1+$B$4)^45))*IF(AU155+IF($B$1+45&lt;=$B155,12*$B$9,-12*$B$8*(1+$B$4)^45)&gt;0,1+$B$3,1))</f>
        <v/>
      </c>
      <c r="AW155">
        <f>IF($B$1+46&gt;90,AV155,(AV155+IF($B$1+46&lt;=$B155,12*$B$9,-12*$B$8*(1+$B$4)^46))*IF(AV155+IF($B$1+46&lt;=$B155,12*$B$9,-12*$B$8*(1+$B$4)^46)&gt;0,1+$B$3,1))</f>
        <v/>
      </c>
      <c r="AX155">
        <f>IF($B$1+47&gt;90,AW155,(AW155+IF($B$1+47&lt;=$B155,12*$B$9,-12*$B$8*(1+$B$4)^47))*IF(AW155+IF($B$1+47&lt;=$B155,12*$B$9,-12*$B$8*(1+$B$4)^47)&gt;0,1+$B$3,1))</f>
        <v/>
      </c>
      <c r="AY155">
        <f>IF($B$1+48&gt;90,AX155,(AX155+IF($B$1+48&lt;=$B155,12*$B$9,-12*$B$8*(1+$B$4)^48))*IF(AX155+IF($B$1+48&lt;=$B155,12*$B$9,-12*$B$8*(1+$B$4)^48)&gt;0,1+$B$3,1))</f>
        <v/>
      </c>
      <c r="AZ155">
        <f>IF($B$1+49&gt;90,AY155,(AY155+IF($B$1+49&lt;=$B155,12*$B$9,-12*$B$8*(1+$B$4)^49))*IF(AY155+IF($B$1+49&lt;=$B155,12*$B$9,-12*$B$8*(1+$B$4)^49)&gt;0,1+$B$3,1))</f>
        <v/>
      </c>
      <c r="BA155">
        <f>IF($B$1+50&gt;90,AZ155,(AZ155+IF($B$1+50&lt;=$B155,12*$B$9,-12*$B$8*(1+$B$4)^50))*IF(AZ155+IF($B$1+50&lt;=$B155,12*$B$9,-12*$B$8*(1+$B$4)^50)&gt;0,1+$B$3,1))</f>
        <v/>
      </c>
      <c r="BB155">
        <f>IF($B$1+51&gt;90,BA155,(BA155+IF($B$1+51&lt;=$B155,12*$B$9,-12*$B$8*(1+$B$4)^51))*IF(BA155+IF($B$1+51&lt;=$B155,12*$B$9,-12*$B$8*(1+$B$4)^51)&gt;0,1+$B$3,1))</f>
        <v/>
      </c>
      <c r="BC155">
        <f>IF($B$1+52&gt;90,BB155,(BB155+IF($B$1+52&lt;=$B155,12*$B$9,-12*$B$8*(1+$B$4)^52))*IF(BB155+IF($B$1+52&lt;=$B155,12*$B$9,-12*$B$8*(1+$B$4)^52)&gt;0,1+$B$3,1))</f>
        <v/>
      </c>
      <c r="BD155">
        <f>IF($B$1+53&gt;90,BC155,(BC155+IF($B$1+53&lt;=$B155,12*$B$9,-12*$B$8*(1+$B$4)^53))*IF(BC155+IF($B$1+53&lt;=$B155,12*$B$9,-12*$B$8*(1+$B$4)^53)&gt;0,1+$B$3,1))</f>
        <v/>
      </c>
      <c r="BE155">
        <f>IF($B$1+54&gt;90,BD155,(BD155+IF($B$1+54&lt;=$B155,12*$B$9,-12*$B$8*(1+$B$4)^54))*IF(BD155+IF($B$1+54&lt;=$B155,12*$B$9,-12*$B$8*(1+$B$4)^54)&gt;0,1+$B$3,1))</f>
        <v/>
      </c>
      <c r="BF155">
        <f>IF($B$1+55&gt;90,BE155,(BE155+IF($B$1+55&lt;=$B155,12*$B$9,-12*$B$8*(1+$B$4)^55))*IF(BE155+IF($B$1+55&lt;=$B155,12*$B$9,-12*$B$8*(1+$B$4)^55)&gt;0,1+$B$3,1))</f>
        <v/>
      </c>
      <c r="BG155">
        <f>IF($B$1+56&gt;90,BF155,(BF155+IF($B$1+56&lt;=$B155,12*$B$9,-12*$B$8*(1+$B$4)^56))*IF(BF155+IF($B$1+56&lt;=$B155,12*$B$9,-12*$B$8*(1+$B$4)^56)&gt;0,1+$B$3,1))</f>
        <v/>
      </c>
      <c r="BH155">
        <f>IF($B$1+57&gt;90,BG155,(BG155+IF($B$1+57&lt;=$B155,12*$B$9,-12*$B$8*(1+$B$4)^57))*IF(BG155+IF($B$1+57&lt;=$B155,12*$B$9,-12*$B$8*(1+$B$4)^57)&gt;0,1+$B$3,1))</f>
        <v/>
      </c>
      <c r="BI155">
        <f>IF($B$1+58&gt;90,BH155,(BH155+IF($B$1+58&lt;=$B155,12*$B$9,-12*$B$8*(1+$B$4)^58))*IF(BH155+IF($B$1+58&lt;=$B155,12*$B$9,-12*$B$8*(1+$B$4)^58)&gt;0,1+$B$3,1))</f>
        <v/>
      </c>
      <c r="BJ155">
        <f>IF($B$1+59&gt;90,BI155,(BI155+IF($B$1+59&lt;=$B155,12*$B$9,-12*$B$8*(1+$B$4)^59))*IF(BI155+IF($B$1+59&lt;=$B155,12*$B$9,-12*$B$8*(1+$B$4)^59)&gt;0,1+$B$3,1))</f>
        <v/>
      </c>
      <c r="BK155">
        <f>IF($B$1+60&gt;90,BJ155,(BJ155+IF($B$1+60&lt;=$B155,12*$B$9,-12*$B$8*(1+$B$4)^60))*IF(BJ155+IF($B$1+60&lt;=$B155,12*$B$9,-12*$B$8*(1+$B$4)^60)&gt;0,1+$B$3,1))</f>
        <v/>
      </c>
      <c r="BL155">
        <f>IF($B$1+61&gt;90,BK155,(BK155+IF($B$1+61&lt;=$B155,12*$B$9,-12*$B$8*(1+$B$4)^61))*IF(BK155+IF($B$1+61&lt;=$B155,12*$B$9,-12*$B$8*(1+$B$4)^61)&gt;0,1+$B$3,1))</f>
        <v/>
      </c>
      <c r="BM155">
        <f>IF($B$1+62&gt;90,BL155,(BL155+IF($B$1+62&lt;=$B155,12*$B$9,-12*$B$8*(1+$B$4)^62))*IF(BL155+IF($B$1+62&lt;=$B155,12*$B$9,-12*$B$8*(1+$B$4)^62)&gt;0,1+$B$3,1))</f>
        <v/>
      </c>
      <c r="BN155">
        <f>IF($B$1+63&gt;90,BM155,(BM155+IF($B$1+63&lt;=$B155,12*$B$9,-12*$B$8*(1+$B$4)^63))*IF(BM155+IF($B$1+63&lt;=$B155,12*$B$9,-12*$B$8*(1+$B$4)^63)&gt;0,1+$B$3,1))</f>
        <v/>
      </c>
      <c r="BO155">
        <f>IF($B$1+64&gt;90,BN155,(BN155+IF($B$1+64&lt;=$B155,12*$B$9,-12*$B$8*(1+$B$4)^64))*IF(BN155+IF($B$1+64&lt;=$B155,12*$B$9,-12*$B$8*(1+$B$4)^64)&gt;0,1+$B$3,1))</f>
        <v/>
      </c>
      <c r="BP155">
        <f>IF($B$1+65&gt;90,BO155,(BO155+IF($B$1+65&lt;=$B155,12*$B$9,-12*$B$8*(1+$B$4)^65))*IF(BO155+IF($B$1+65&lt;=$B155,12*$B$9,-12*$B$8*(1+$B$4)^65)&gt;0,1+$B$3,1))</f>
        <v/>
      </c>
      <c r="BQ155">
        <f>IF($B$1+66&gt;90,BP155,(BP155+IF($B$1+66&lt;=$B155,12*$B$9,-12*$B$8*(1+$B$4)^66))*IF(BP155+IF($B$1+66&lt;=$B155,12*$B$9,-12*$B$8*(1+$B$4)^66)&gt;0,1+$B$3,1))</f>
        <v/>
      </c>
      <c r="BR155">
        <f>IF($B$1+67&gt;90,BQ155,(BQ155+IF($B$1+67&lt;=$B155,12*$B$9,-12*$B$8*(1+$B$4)^67))*IF(BQ155+IF($B$1+67&lt;=$B155,12*$B$9,-12*$B$8*(1+$B$4)^67)&gt;0,1+$B$3,1))</f>
        <v/>
      </c>
      <c r="BS155">
        <f>IF($B$1+68&gt;90,BR155,(BR155+IF($B$1+68&lt;=$B155,12*$B$9,-12*$B$8*(1+$B$4)^68))*IF(BR155+IF($B$1+68&lt;=$B155,12*$B$9,-12*$B$8*(1+$B$4)^68)&gt;0,1+$B$3,1))</f>
        <v/>
      </c>
      <c r="BT155">
        <f>IF($B$1+69&gt;90,BS155,(BS155+IF($B$1+69&lt;=$B155,12*$B$9,-12*$B$8*(1+$B$4)^69))*IF(BS155+IF($B$1+69&lt;=$B155,12*$B$9,-12*$B$8*(1+$B$4)^69)&gt;0,1+$B$3,1))</f>
        <v/>
      </c>
      <c r="BU155">
        <f>IF($B$1+70&gt;90,BT155,(BT155+IF($B$1+70&lt;=$B155,12*$B$9,-12*$B$8*(1+$B$4)^70))*IF(BT155+IF($B$1+70&lt;=$B155,12*$B$9,-12*$B$8*(1+$B$4)^70)&gt;0,1+$B$3,1))</f>
        <v/>
      </c>
      <c r="BV155">
        <f>BU155</f>
        <v/>
      </c>
      <c r="BW155">
        <f>IF(AND($B155&lt;=70,BV155&gt;0),$B155,999)</f>
        <v/>
      </c>
    </row>
    <row r="156">
      <c r="A156" t="n">
        <v>4</v>
      </c>
      <c r="B156">
        <f>$B$1+4</f>
        <v/>
      </c>
      <c r="C156">
        <f>$B$2</f>
        <v/>
      </c>
      <c r="D156">
        <f>IF($B$1+1&gt;90,C156,(C156+IF($B$1+1&lt;=$B156,12*$B$9,-12*$B$8*(1+$B$4)^1))*IF(C156+IF($B$1+1&lt;=$B156,12*$B$9,-12*$B$8*(1+$B$4)^1)&gt;0,1+$B$3,1))</f>
        <v/>
      </c>
      <c r="E156">
        <f>IF($B$1+2&gt;90,D156,(D156+IF($B$1+2&lt;=$B156,12*$B$9,-12*$B$8*(1+$B$4)^2))*IF(D156+IF($B$1+2&lt;=$B156,12*$B$9,-12*$B$8*(1+$B$4)^2)&gt;0,1+$B$3,1))</f>
        <v/>
      </c>
      <c r="F156">
        <f>IF($B$1+3&gt;90,E156,(E156+IF($B$1+3&lt;=$B156,12*$B$9,-12*$B$8*(1+$B$4)^3))*IF(E156+IF($B$1+3&lt;=$B156,12*$B$9,-12*$B$8*(1+$B$4)^3)&gt;0,1+$B$3,1))</f>
        <v/>
      </c>
      <c r="G156">
        <f>IF($B$1+4&gt;90,F156,(F156+IF($B$1+4&lt;=$B156,12*$B$9,-12*$B$8*(1+$B$4)^4))*IF(F156+IF($B$1+4&lt;=$B156,12*$B$9,-12*$B$8*(1+$B$4)^4)&gt;0,1+$B$3,1))</f>
        <v/>
      </c>
      <c r="H156">
        <f>IF($B$1+5&gt;90,G156,(G156+IF($B$1+5&lt;=$B156,12*$B$9,-12*$B$8*(1+$B$4)^5))*IF(G156+IF($B$1+5&lt;=$B156,12*$B$9,-12*$B$8*(1+$B$4)^5)&gt;0,1+$B$3,1))</f>
        <v/>
      </c>
      <c r="I156">
        <f>IF($B$1+6&gt;90,H156,(H156+IF($B$1+6&lt;=$B156,12*$B$9,-12*$B$8*(1+$B$4)^6))*IF(H156+IF($B$1+6&lt;=$B156,12*$B$9,-12*$B$8*(1+$B$4)^6)&gt;0,1+$B$3,1))</f>
        <v/>
      </c>
      <c r="J156">
        <f>IF($B$1+7&gt;90,I156,(I156+IF($B$1+7&lt;=$B156,12*$B$9,-12*$B$8*(1+$B$4)^7))*IF(I156+IF($B$1+7&lt;=$B156,12*$B$9,-12*$B$8*(1+$B$4)^7)&gt;0,1+$B$3,1))</f>
        <v/>
      </c>
      <c r="K156">
        <f>IF($B$1+8&gt;90,J156,(J156+IF($B$1+8&lt;=$B156,12*$B$9,-12*$B$8*(1+$B$4)^8))*IF(J156+IF($B$1+8&lt;=$B156,12*$B$9,-12*$B$8*(1+$B$4)^8)&gt;0,1+$B$3,1))</f>
        <v/>
      </c>
      <c r="L156">
        <f>IF($B$1+9&gt;90,K156,(K156+IF($B$1+9&lt;=$B156,12*$B$9,-12*$B$8*(1+$B$4)^9))*IF(K156+IF($B$1+9&lt;=$B156,12*$B$9,-12*$B$8*(1+$B$4)^9)&gt;0,1+$B$3,1))</f>
        <v/>
      </c>
      <c r="M156">
        <f>IF($B$1+10&gt;90,L156,(L156+IF($B$1+10&lt;=$B156,12*$B$9,-12*$B$8*(1+$B$4)^10))*IF(L156+IF($B$1+10&lt;=$B156,12*$B$9,-12*$B$8*(1+$B$4)^10)&gt;0,1+$B$3,1))</f>
        <v/>
      </c>
      <c r="N156">
        <f>IF($B$1+11&gt;90,M156,(M156+IF($B$1+11&lt;=$B156,12*$B$9,-12*$B$8*(1+$B$4)^11))*IF(M156+IF($B$1+11&lt;=$B156,12*$B$9,-12*$B$8*(1+$B$4)^11)&gt;0,1+$B$3,1))</f>
        <v/>
      </c>
      <c r="O156">
        <f>IF($B$1+12&gt;90,N156,(N156+IF($B$1+12&lt;=$B156,12*$B$9,-12*$B$8*(1+$B$4)^12))*IF(N156+IF($B$1+12&lt;=$B156,12*$B$9,-12*$B$8*(1+$B$4)^12)&gt;0,1+$B$3,1))</f>
        <v/>
      </c>
      <c r="P156">
        <f>IF($B$1+13&gt;90,O156,(O156+IF($B$1+13&lt;=$B156,12*$B$9,-12*$B$8*(1+$B$4)^13))*IF(O156+IF($B$1+13&lt;=$B156,12*$B$9,-12*$B$8*(1+$B$4)^13)&gt;0,1+$B$3,1))</f>
        <v/>
      </c>
      <c r="Q156">
        <f>IF($B$1+14&gt;90,P156,(P156+IF($B$1+14&lt;=$B156,12*$B$9,-12*$B$8*(1+$B$4)^14))*IF(P156+IF($B$1+14&lt;=$B156,12*$B$9,-12*$B$8*(1+$B$4)^14)&gt;0,1+$B$3,1))</f>
        <v/>
      </c>
      <c r="R156">
        <f>IF($B$1+15&gt;90,Q156,(Q156+IF($B$1+15&lt;=$B156,12*$B$9,-12*$B$8*(1+$B$4)^15))*IF(Q156+IF($B$1+15&lt;=$B156,12*$B$9,-12*$B$8*(1+$B$4)^15)&gt;0,1+$B$3,1))</f>
        <v/>
      </c>
      <c r="S156">
        <f>IF($B$1+16&gt;90,R156,(R156+IF($B$1+16&lt;=$B156,12*$B$9,-12*$B$8*(1+$B$4)^16))*IF(R156+IF($B$1+16&lt;=$B156,12*$B$9,-12*$B$8*(1+$B$4)^16)&gt;0,1+$B$3,1))</f>
        <v/>
      </c>
      <c r="T156">
        <f>IF($B$1+17&gt;90,S156,(S156+IF($B$1+17&lt;=$B156,12*$B$9,-12*$B$8*(1+$B$4)^17))*IF(S156+IF($B$1+17&lt;=$B156,12*$B$9,-12*$B$8*(1+$B$4)^17)&gt;0,1+$B$3,1))</f>
        <v/>
      </c>
      <c r="U156">
        <f>IF($B$1+18&gt;90,T156,(T156+IF($B$1+18&lt;=$B156,12*$B$9,-12*$B$8*(1+$B$4)^18))*IF(T156+IF($B$1+18&lt;=$B156,12*$B$9,-12*$B$8*(1+$B$4)^18)&gt;0,1+$B$3,1))</f>
        <v/>
      </c>
      <c r="V156">
        <f>IF($B$1+19&gt;90,U156,(U156+IF($B$1+19&lt;=$B156,12*$B$9,-12*$B$8*(1+$B$4)^19))*IF(U156+IF($B$1+19&lt;=$B156,12*$B$9,-12*$B$8*(1+$B$4)^19)&gt;0,1+$B$3,1))</f>
        <v/>
      </c>
      <c r="W156">
        <f>IF($B$1+20&gt;90,V156,(V156+IF($B$1+20&lt;=$B156,12*$B$9,-12*$B$8*(1+$B$4)^20))*IF(V156+IF($B$1+20&lt;=$B156,12*$B$9,-12*$B$8*(1+$B$4)^20)&gt;0,1+$B$3,1))</f>
        <v/>
      </c>
      <c r="X156">
        <f>IF($B$1+21&gt;90,W156,(W156+IF($B$1+21&lt;=$B156,12*$B$9,-12*$B$8*(1+$B$4)^21))*IF(W156+IF($B$1+21&lt;=$B156,12*$B$9,-12*$B$8*(1+$B$4)^21)&gt;0,1+$B$3,1))</f>
        <v/>
      </c>
      <c r="Y156">
        <f>IF($B$1+22&gt;90,X156,(X156+IF($B$1+22&lt;=$B156,12*$B$9,-12*$B$8*(1+$B$4)^22))*IF(X156+IF($B$1+22&lt;=$B156,12*$B$9,-12*$B$8*(1+$B$4)^22)&gt;0,1+$B$3,1))</f>
        <v/>
      </c>
      <c r="Z156">
        <f>IF($B$1+23&gt;90,Y156,(Y156+IF($B$1+23&lt;=$B156,12*$B$9,-12*$B$8*(1+$B$4)^23))*IF(Y156+IF($B$1+23&lt;=$B156,12*$B$9,-12*$B$8*(1+$B$4)^23)&gt;0,1+$B$3,1))</f>
        <v/>
      </c>
      <c r="AA156">
        <f>IF($B$1+24&gt;90,Z156,(Z156+IF($B$1+24&lt;=$B156,12*$B$9,-12*$B$8*(1+$B$4)^24))*IF(Z156+IF($B$1+24&lt;=$B156,12*$B$9,-12*$B$8*(1+$B$4)^24)&gt;0,1+$B$3,1))</f>
        <v/>
      </c>
      <c r="AB156">
        <f>IF($B$1+25&gt;90,AA156,(AA156+IF($B$1+25&lt;=$B156,12*$B$9,-12*$B$8*(1+$B$4)^25))*IF(AA156+IF($B$1+25&lt;=$B156,12*$B$9,-12*$B$8*(1+$B$4)^25)&gt;0,1+$B$3,1))</f>
        <v/>
      </c>
      <c r="AC156">
        <f>IF($B$1+26&gt;90,AB156,(AB156+IF($B$1+26&lt;=$B156,12*$B$9,-12*$B$8*(1+$B$4)^26))*IF(AB156+IF($B$1+26&lt;=$B156,12*$B$9,-12*$B$8*(1+$B$4)^26)&gt;0,1+$B$3,1))</f>
        <v/>
      </c>
      <c r="AD156">
        <f>IF($B$1+27&gt;90,AC156,(AC156+IF($B$1+27&lt;=$B156,12*$B$9,-12*$B$8*(1+$B$4)^27))*IF(AC156+IF($B$1+27&lt;=$B156,12*$B$9,-12*$B$8*(1+$B$4)^27)&gt;0,1+$B$3,1))</f>
        <v/>
      </c>
      <c r="AE156">
        <f>IF($B$1+28&gt;90,AD156,(AD156+IF($B$1+28&lt;=$B156,12*$B$9,-12*$B$8*(1+$B$4)^28))*IF(AD156+IF($B$1+28&lt;=$B156,12*$B$9,-12*$B$8*(1+$B$4)^28)&gt;0,1+$B$3,1))</f>
        <v/>
      </c>
      <c r="AF156">
        <f>IF($B$1+29&gt;90,AE156,(AE156+IF($B$1+29&lt;=$B156,12*$B$9,-12*$B$8*(1+$B$4)^29))*IF(AE156+IF($B$1+29&lt;=$B156,12*$B$9,-12*$B$8*(1+$B$4)^29)&gt;0,1+$B$3,1))</f>
        <v/>
      </c>
      <c r="AG156">
        <f>IF($B$1+30&gt;90,AF156,(AF156+IF($B$1+30&lt;=$B156,12*$B$9,-12*$B$8*(1+$B$4)^30))*IF(AF156+IF($B$1+30&lt;=$B156,12*$B$9,-12*$B$8*(1+$B$4)^30)&gt;0,1+$B$3,1))</f>
        <v/>
      </c>
      <c r="AH156">
        <f>IF($B$1+31&gt;90,AG156,(AG156+IF($B$1+31&lt;=$B156,12*$B$9,-12*$B$8*(1+$B$4)^31))*IF(AG156+IF($B$1+31&lt;=$B156,12*$B$9,-12*$B$8*(1+$B$4)^31)&gt;0,1+$B$3,1))</f>
        <v/>
      </c>
      <c r="AI156">
        <f>IF($B$1+32&gt;90,AH156,(AH156+IF($B$1+32&lt;=$B156,12*$B$9,-12*$B$8*(1+$B$4)^32))*IF(AH156+IF($B$1+32&lt;=$B156,12*$B$9,-12*$B$8*(1+$B$4)^32)&gt;0,1+$B$3,1))</f>
        <v/>
      </c>
      <c r="AJ156">
        <f>IF($B$1+33&gt;90,AI156,(AI156+IF($B$1+33&lt;=$B156,12*$B$9,-12*$B$8*(1+$B$4)^33))*IF(AI156+IF($B$1+33&lt;=$B156,12*$B$9,-12*$B$8*(1+$B$4)^33)&gt;0,1+$B$3,1))</f>
        <v/>
      </c>
      <c r="AK156">
        <f>IF($B$1+34&gt;90,AJ156,(AJ156+IF($B$1+34&lt;=$B156,12*$B$9,-12*$B$8*(1+$B$4)^34))*IF(AJ156+IF($B$1+34&lt;=$B156,12*$B$9,-12*$B$8*(1+$B$4)^34)&gt;0,1+$B$3,1))</f>
        <v/>
      </c>
      <c r="AL156">
        <f>IF($B$1+35&gt;90,AK156,(AK156+IF($B$1+35&lt;=$B156,12*$B$9,-12*$B$8*(1+$B$4)^35))*IF(AK156+IF($B$1+35&lt;=$B156,12*$B$9,-12*$B$8*(1+$B$4)^35)&gt;0,1+$B$3,1))</f>
        <v/>
      </c>
      <c r="AM156">
        <f>IF($B$1+36&gt;90,AL156,(AL156+IF($B$1+36&lt;=$B156,12*$B$9,-12*$B$8*(1+$B$4)^36))*IF(AL156+IF($B$1+36&lt;=$B156,12*$B$9,-12*$B$8*(1+$B$4)^36)&gt;0,1+$B$3,1))</f>
        <v/>
      </c>
      <c r="AN156">
        <f>IF($B$1+37&gt;90,AM156,(AM156+IF($B$1+37&lt;=$B156,12*$B$9,-12*$B$8*(1+$B$4)^37))*IF(AM156+IF($B$1+37&lt;=$B156,12*$B$9,-12*$B$8*(1+$B$4)^37)&gt;0,1+$B$3,1))</f>
        <v/>
      </c>
      <c r="AO156">
        <f>IF($B$1+38&gt;90,AN156,(AN156+IF($B$1+38&lt;=$B156,12*$B$9,-12*$B$8*(1+$B$4)^38))*IF(AN156+IF($B$1+38&lt;=$B156,12*$B$9,-12*$B$8*(1+$B$4)^38)&gt;0,1+$B$3,1))</f>
        <v/>
      </c>
      <c r="AP156">
        <f>IF($B$1+39&gt;90,AO156,(AO156+IF($B$1+39&lt;=$B156,12*$B$9,-12*$B$8*(1+$B$4)^39))*IF(AO156+IF($B$1+39&lt;=$B156,12*$B$9,-12*$B$8*(1+$B$4)^39)&gt;0,1+$B$3,1))</f>
        <v/>
      </c>
      <c r="AQ156">
        <f>IF($B$1+40&gt;90,AP156,(AP156+IF($B$1+40&lt;=$B156,12*$B$9,-12*$B$8*(1+$B$4)^40))*IF(AP156+IF($B$1+40&lt;=$B156,12*$B$9,-12*$B$8*(1+$B$4)^40)&gt;0,1+$B$3,1))</f>
        <v/>
      </c>
      <c r="AR156">
        <f>IF($B$1+41&gt;90,AQ156,(AQ156+IF($B$1+41&lt;=$B156,12*$B$9,-12*$B$8*(1+$B$4)^41))*IF(AQ156+IF($B$1+41&lt;=$B156,12*$B$9,-12*$B$8*(1+$B$4)^41)&gt;0,1+$B$3,1))</f>
        <v/>
      </c>
      <c r="AS156">
        <f>IF($B$1+42&gt;90,AR156,(AR156+IF($B$1+42&lt;=$B156,12*$B$9,-12*$B$8*(1+$B$4)^42))*IF(AR156+IF($B$1+42&lt;=$B156,12*$B$9,-12*$B$8*(1+$B$4)^42)&gt;0,1+$B$3,1))</f>
        <v/>
      </c>
      <c r="AT156">
        <f>IF($B$1+43&gt;90,AS156,(AS156+IF($B$1+43&lt;=$B156,12*$B$9,-12*$B$8*(1+$B$4)^43))*IF(AS156+IF($B$1+43&lt;=$B156,12*$B$9,-12*$B$8*(1+$B$4)^43)&gt;0,1+$B$3,1))</f>
        <v/>
      </c>
      <c r="AU156">
        <f>IF($B$1+44&gt;90,AT156,(AT156+IF($B$1+44&lt;=$B156,12*$B$9,-12*$B$8*(1+$B$4)^44))*IF(AT156+IF($B$1+44&lt;=$B156,12*$B$9,-12*$B$8*(1+$B$4)^44)&gt;0,1+$B$3,1))</f>
        <v/>
      </c>
      <c r="AV156">
        <f>IF($B$1+45&gt;90,AU156,(AU156+IF($B$1+45&lt;=$B156,12*$B$9,-12*$B$8*(1+$B$4)^45))*IF(AU156+IF($B$1+45&lt;=$B156,12*$B$9,-12*$B$8*(1+$B$4)^45)&gt;0,1+$B$3,1))</f>
        <v/>
      </c>
      <c r="AW156">
        <f>IF($B$1+46&gt;90,AV156,(AV156+IF($B$1+46&lt;=$B156,12*$B$9,-12*$B$8*(1+$B$4)^46))*IF(AV156+IF($B$1+46&lt;=$B156,12*$B$9,-12*$B$8*(1+$B$4)^46)&gt;0,1+$B$3,1))</f>
        <v/>
      </c>
      <c r="AX156">
        <f>IF($B$1+47&gt;90,AW156,(AW156+IF($B$1+47&lt;=$B156,12*$B$9,-12*$B$8*(1+$B$4)^47))*IF(AW156+IF($B$1+47&lt;=$B156,12*$B$9,-12*$B$8*(1+$B$4)^47)&gt;0,1+$B$3,1))</f>
        <v/>
      </c>
      <c r="AY156">
        <f>IF($B$1+48&gt;90,AX156,(AX156+IF($B$1+48&lt;=$B156,12*$B$9,-12*$B$8*(1+$B$4)^48))*IF(AX156+IF($B$1+48&lt;=$B156,12*$B$9,-12*$B$8*(1+$B$4)^48)&gt;0,1+$B$3,1))</f>
        <v/>
      </c>
      <c r="AZ156">
        <f>IF($B$1+49&gt;90,AY156,(AY156+IF($B$1+49&lt;=$B156,12*$B$9,-12*$B$8*(1+$B$4)^49))*IF(AY156+IF($B$1+49&lt;=$B156,12*$B$9,-12*$B$8*(1+$B$4)^49)&gt;0,1+$B$3,1))</f>
        <v/>
      </c>
      <c r="BA156">
        <f>IF($B$1+50&gt;90,AZ156,(AZ156+IF($B$1+50&lt;=$B156,12*$B$9,-12*$B$8*(1+$B$4)^50))*IF(AZ156+IF($B$1+50&lt;=$B156,12*$B$9,-12*$B$8*(1+$B$4)^50)&gt;0,1+$B$3,1))</f>
        <v/>
      </c>
      <c r="BB156">
        <f>IF($B$1+51&gt;90,BA156,(BA156+IF($B$1+51&lt;=$B156,12*$B$9,-12*$B$8*(1+$B$4)^51))*IF(BA156+IF($B$1+51&lt;=$B156,12*$B$9,-12*$B$8*(1+$B$4)^51)&gt;0,1+$B$3,1))</f>
        <v/>
      </c>
      <c r="BC156">
        <f>IF($B$1+52&gt;90,BB156,(BB156+IF($B$1+52&lt;=$B156,12*$B$9,-12*$B$8*(1+$B$4)^52))*IF(BB156+IF($B$1+52&lt;=$B156,12*$B$9,-12*$B$8*(1+$B$4)^52)&gt;0,1+$B$3,1))</f>
        <v/>
      </c>
      <c r="BD156">
        <f>IF($B$1+53&gt;90,BC156,(BC156+IF($B$1+53&lt;=$B156,12*$B$9,-12*$B$8*(1+$B$4)^53))*IF(BC156+IF($B$1+53&lt;=$B156,12*$B$9,-12*$B$8*(1+$B$4)^53)&gt;0,1+$B$3,1))</f>
        <v/>
      </c>
      <c r="BE156">
        <f>IF($B$1+54&gt;90,BD156,(BD156+IF($B$1+54&lt;=$B156,12*$B$9,-12*$B$8*(1+$B$4)^54))*IF(BD156+IF($B$1+54&lt;=$B156,12*$B$9,-12*$B$8*(1+$B$4)^54)&gt;0,1+$B$3,1))</f>
        <v/>
      </c>
      <c r="BF156">
        <f>IF($B$1+55&gt;90,BE156,(BE156+IF($B$1+55&lt;=$B156,12*$B$9,-12*$B$8*(1+$B$4)^55))*IF(BE156+IF($B$1+55&lt;=$B156,12*$B$9,-12*$B$8*(1+$B$4)^55)&gt;0,1+$B$3,1))</f>
        <v/>
      </c>
      <c r="BG156">
        <f>IF($B$1+56&gt;90,BF156,(BF156+IF($B$1+56&lt;=$B156,12*$B$9,-12*$B$8*(1+$B$4)^56))*IF(BF156+IF($B$1+56&lt;=$B156,12*$B$9,-12*$B$8*(1+$B$4)^56)&gt;0,1+$B$3,1))</f>
        <v/>
      </c>
      <c r="BH156">
        <f>IF($B$1+57&gt;90,BG156,(BG156+IF($B$1+57&lt;=$B156,12*$B$9,-12*$B$8*(1+$B$4)^57))*IF(BG156+IF($B$1+57&lt;=$B156,12*$B$9,-12*$B$8*(1+$B$4)^57)&gt;0,1+$B$3,1))</f>
        <v/>
      </c>
      <c r="BI156">
        <f>IF($B$1+58&gt;90,BH156,(BH156+IF($B$1+58&lt;=$B156,12*$B$9,-12*$B$8*(1+$B$4)^58))*IF(BH156+IF($B$1+58&lt;=$B156,12*$B$9,-12*$B$8*(1+$B$4)^58)&gt;0,1+$B$3,1))</f>
        <v/>
      </c>
      <c r="BJ156">
        <f>IF($B$1+59&gt;90,BI156,(BI156+IF($B$1+59&lt;=$B156,12*$B$9,-12*$B$8*(1+$B$4)^59))*IF(BI156+IF($B$1+59&lt;=$B156,12*$B$9,-12*$B$8*(1+$B$4)^59)&gt;0,1+$B$3,1))</f>
        <v/>
      </c>
      <c r="BK156">
        <f>IF($B$1+60&gt;90,BJ156,(BJ156+IF($B$1+60&lt;=$B156,12*$B$9,-12*$B$8*(1+$B$4)^60))*IF(BJ156+IF($B$1+60&lt;=$B156,12*$B$9,-12*$B$8*(1+$B$4)^60)&gt;0,1+$B$3,1))</f>
        <v/>
      </c>
      <c r="BL156">
        <f>IF($B$1+61&gt;90,BK156,(BK156+IF($B$1+61&lt;=$B156,12*$B$9,-12*$B$8*(1+$B$4)^61))*IF(BK156+IF($B$1+61&lt;=$B156,12*$B$9,-12*$B$8*(1+$B$4)^61)&gt;0,1+$B$3,1))</f>
        <v/>
      </c>
      <c r="BM156">
        <f>IF($B$1+62&gt;90,BL156,(BL156+IF($B$1+62&lt;=$B156,12*$B$9,-12*$B$8*(1+$B$4)^62))*IF(BL156+IF($B$1+62&lt;=$B156,12*$B$9,-12*$B$8*(1+$B$4)^62)&gt;0,1+$B$3,1))</f>
        <v/>
      </c>
      <c r="BN156">
        <f>IF($B$1+63&gt;90,BM156,(BM156+IF($B$1+63&lt;=$B156,12*$B$9,-12*$B$8*(1+$B$4)^63))*IF(BM156+IF($B$1+63&lt;=$B156,12*$B$9,-12*$B$8*(1+$B$4)^63)&gt;0,1+$B$3,1))</f>
        <v/>
      </c>
      <c r="BO156">
        <f>IF($B$1+64&gt;90,BN156,(BN156+IF($B$1+64&lt;=$B156,12*$B$9,-12*$B$8*(1+$B$4)^64))*IF(BN156+IF($B$1+64&lt;=$B156,12*$B$9,-12*$B$8*(1+$B$4)^64)&gt;0,1+$B$3,1))</f>
        <v/>
      </c>
      <c r="BP156">
        <f>IF($B$1+65&gt;90,BO156,(BO156+IF($B$1+65&lt;=$B156,12*$B$9,-12*$B$8*(1+$B$4)^65))*IF(BO156+IF($B$1+65&lt;=$B156,12*$B$9,-12*$B$8*(1+$B$4)^65)&gt;0,1+$B$3,1))</f>
        <v/>
      </c>
      <c r="BQ156">
        <f>IF($B$1+66&gt;90,BP156,(BP156+IF($B$1+66&lt;=$B156,12*$B$9,-12*$B$8*(1+$B$4)^66))*IF(BP156+IF($B$1+66&lt;=$B156,12*$B$9,-12*$B$8*(1+$B$4)^66)&gt;0,1+$B$3,1))</f>
        <v/>
      </c>
      <c r="BR156">
        <f>IF($B$1+67&gt;90,BQ156,(BQ156+IF($B$1+67&lt;=$B156,12*$B$9,-12*$B$8*(1+$B$4)^67))*IF(BQ156+IF($B$1+67&lt;=$B156,12*$B$9,-12*$B$8*(1+$B$4)^67)&gt;0,1+$B$3,1))</f>
        <v/>
      </c>
      <c r="BS156">
        <f>IF($B$1+68&gt;90,BR156,(BR156+IF($B$1+68&lt;=$B156,12*$B$9,-12*$B$8*(1+$B$4)^68))*IF(BR156+IF($B$1+68&lt;=$B156,12*$B$9,-12*$B$8*(1+$B$4)^68)&gt;0,1+$B$3,1))</f>
        <v/>
      </c>
      <c r="BT156">
        <f>IF($B$1+69&gt;90,BS156,(BS156+IF($B$1+69&lt;=$B156,12*$B$9,-12*$B$8*(1+$B$4)^69))*IF(BS156+IF($B$1+69&lt;=$B156,12*$B$9,-12*$B$8*(1+$B$4)^69)&gt;0,1+$B$3,1))</f>
        <v/>
      </c>
      <c r="BU156">
        <f>IF($B$1+70&gt;90,BT156,(BT156+IF($B$1+70&lt;=$B156,12*$B$9,-12*$B$8*(1+$B$4)^70))*IF(BT156+IF($B$1+70&lt;=$B156,12*$B$9,-12*$B$8*(1+$B$4)^70)&gt;0,1+$B$3,1))</f>
        <v/>
      </c>
      <c r="BV156">
        <f>BU156</f>
        <v/>
      </c>
      <c r="BW156">
        <f>IF(AND($B156&lt;=70,BV156&gt;0),$B156,999)</f>
        <v/>
      </c>
    </row>
    <row r="157">
      <c r="A157" t="n">
        <v>5</v>
      </c>
      <c r="B157">
        <f>$B$1+5</f>
        <v/>
      </c>
      <c r="C157">
        <f>$B$2</f>
        <v/>
      </c>
      <c r="D157">
        <f>IF($B$1+1&gt;90,C157,(C157+IF($B$1+1&lt;=$B157,12*$B$9,-12*$B$8*(1+$B$4)^1))*IF(C157+IF($B$1+1&lt;=$B157,12*$B$9,-12*$B$8*(1+$B$4)^1)&gt;0,1+$B$3,1))</f>
        <v/>
      </c>
      <c r="E157">
        <f>IF($B$1+2&gt;90,D157,(D157+IF($B$1+2&lt;=$B157,12*$B$9,-12*$B$8*(1+$B$4)^2))*IF(D157+IF($B$1+2&lt;=$B157,12*$B$9,-12*$B$8*(1+$B$4)^2)&gt;0,1+$B$3,1))</f>
        <v/>
      </c>
      <c r="F157">
        <f>IF($B$1+3&gt;90,E157,(E157+IF($B$1+3&lt;=$B157,12*$B$9,-12*$B$8*(1+$B$4)^3))*IF(E157+IF($B$1+3&lt;=$B157,12*$B$9,-12*$B$8*(1+$B$4)^3)&gt;0,1+$B$3,1))</f>
        <v/>
      </c>
      <c r="G157">
        <f>IF($B$1+4&gt;90,F157,(F157+IF($B$1+4&lt;=$B157,12*$B$9,-12*$B$8*(1+$B$4)^4))*IF(F157+IF($B$1+4&lt;=$B157,12*$B$9,-12*$B$8*(1+$B$4)^4)&gt;0,1+$B$3,1))</f>
        <v/>
      </c>
      <c r="H157">
        <f>IF($B$1+5&gt;90,G157,(G157+IF($B$1+5&lt;=$B157,12*$B$9,-12*$B$8*(1+$B$4)^5))*IF(G157+IF($B$1+5&lt;=$B157,12*$B$9,-12*$B$8*(1+$B$4)^5)&gt;0,1+$B$3,1))</f>
        <v/>
      </c>
      <c r="I157">
        <f>IF($B$1+6&gt;90,H157,(H157+IF($B$1+6&lt;=$B157,12*$B$9,-12*$B$8*(1+$B$4)^6))*IF(H157+IF($B$1+6&lt;=$B157,12*$B$9,-12*$B$8*(1+$B$4)^6)&gt;0,1+$B$3,1))</f>
        <v/>
      </c>
      <c r="J157">
        <f>IF($B$1+7&gt;90,I157,(I157+IF($B$1+7&lt;=$B157,12*$B$9,-12*$B$8*(1+$B$4)^7))*IF(I157+IF($B$1+7&lt;=$B157,12*$B$9,-12*$B$8*(1+$B$4)^7)&gt;0,1+$B$3,1))</f>
        <v/>
      </c>
      <c r="K157">
        <f>IF($B$1+8&gt;90,J157,(J157+IF($B$1+8&lt;=$B157,12*$B$9,-12*$B$8*(1+$B$4)^8))*IF(J157+IF($B$1+8&lt;=$B157,12*$B$9,-12*$B$8*(1+$B$4)^8)&gt;0,1+$B$3,1))</f>
        <v/>
      </c>
      <c r="L157">
        <f>IF($B$1+9&gt;90,K157,(K157+IF($B$1+9&lt;=$B157,12*$B$9,-12*$B$8*(1+$B$4)^9))*IF(K157+IF($B$1+9&lt;=$B157,12*$B$9,-12*$B$8*(1+$B$4)^9)&gt;0,1+$B$3,1))</f>
        <v/>
      </c>
      <c r="M157">
        <f>IF($B$1+10&gt;90,L157,(L157+IF($B$1+10&lt;=$B157,12*$B$9,-12*$B$8*(1+$B$4)^10))*IF(L157+IF($B$1+10&lt;=$B157,12*$B$9,-12*$B$8*(1+$B$4)^10)&gt;0,1+$B$3,1))</f>
        <v/>
      </c>
      <c r="N157">
        <f>IF($B$1+11&gt;90,M157,(M157+IF($B$1+11&lt;=$B157,12*$B$9,-12*$B$8*(1+$B$4)^11))*IF(M157+IF($B$1+11&lt;=$B157,12*$B$9,-12*$B$8*(1+$B$4)^11)&gt;0,1+$B$3,1))</f>
        <v/>
      </c>
      <c r="O157">
        <f>IF($B$1+12&gt;90,N157,(N157+IF($B$1+12&lt;=$B157,12*$B$9,-12*$B$8*(1+$B$4)^12))*IF(N157+IF($B$1+12&lt;=$B157,12*$B$9,-12*$B$8*(1+$B$4)^12)&gt;0,1+$B$3,1))</f>
        <v/>
      </c>
      <c r="P157">
        <f>IF($B$1+13&gt;90,O157,(O157+IF($B$1+13&lt;=$B157,12*$B$9,-12*$B$8*(1+$B$4)^13))*IF(O157+IF($B$1+13&lt;=$B157,12*$B$9,-12*$B$8*(1+$B$4)^13)&gt;0,1+$B$3,1))</f>
        <v/>
      </c>
      <c r="Q157">
        <f>IF($B$1+14&gt;90,P157,(P157+IF($B$1+14&lt;=$B157,12*$B$9,-12*$B$8*(1+$B$4)^14))*IF(P157+IF($B$1+14&lt;=$B157,12*$B$9,-12*$B$8*(1+$B$4)^14)&gt;0,1+$B$3,1))</f>
        <v/>
      </c>
      <c r="R157">
        <f>IF($B$1+15&gt;90,Q157,(Q157+IF($B$1+15&lt;=$B157,12*$B$9,-12*$B$8*(1+$B$4)^15))*IF(Q157+IF($B$1+15&lt;=$B157,12*$B$9,-12*$B$8*(1+$B$4)^15)&gt;0,1+$B$3,1))</f>
        <v/>
      </c>
      <c r="S157">
        <f>IF($B$1+16&gt;90,R157,(R157+IF($B$1+16&lt;=$B157,12*$B$9,-12*$B$8*(1+$B$4)^16))*IF(R157+IF($B$1+16&lt;=$B157,12*$B$9,-12*$B$8*(1+$B$4)^16)&gt;0,1+$B$3,1))</f>
        <v/>
      </c>
      <c r="T157">
        <f>IF($B$1+17&gt;90,S157,(S157+IF($B$1+17&lt;=$B157,12*$B$9,-12*$B$8*(1+$B$4)^17))*IF(S157+IF($B$1+17&lt;=$B157,12*$B$9,-12*$B$8*(1+$B$4)^17)&gt;0,1+$B$3,1))</f>
        <v/>
      </c>
      <c r="U157">
        <f>IF($B$1+18&gt;90,T157,(T157+IF($B$1+18&lt;=$B157,12*$B$9,-12*$B$8*(1+$B$4)^18))*IF(T157+IF($B$1+18&lt;=$B157,12*$B$9,-12*$B$8*(1+$B$4)^18)&gt;0,1+$B$3,1))</f>
        <v/>
      </c>
      <c r="V157">
        <f>IF($B$1+19&gt;90,U157,(U157+IF($B$1+19&lt;=$B157,12*$B$9,-12*$B$8*(1+$B$4)^19))*IF(U157+IF($B$1+19&lt;=$B157,12*$B$9,-12*$B$8*(1+$B$4)^19)&gt;0,1+$B$3,1))</f>
        <v/>
      </c>
      <c r="W157">
        <f>IF($B$1+20&gt;90,V157,(V157+IF($B$1+20&lt;=$B157,12*$B$9,-12*$B$8*(1+$B$4)^20))*IF(V157+IF($B$1+20&lt;=$B157,12*$B$9,-12*$B$8*(1+$B$4)^20)&gt;0,1+$B$3,1))</f>
        <v/>
      </c>
      <c r="X157">
        <f>IF($B$1+21&gt;90,W157,(W157+IF($B$1+21&lt;=$B157,12*$B$9,-12*$B$8*(1+$B$4)^21))*IF(W157+IF($B$1+21&lt;=$B157,12*$B$9,-12*$B$8*(1+$B$4)^21)&gt;0,1+$B$3,1))</f>
        <v/>
      </c>
      <c r="Y157">
        <f>IF($B$1+22&gt;90,X157,(X157+IF($B$1+22&lt;=$B157,12*$B$9,-12*$B$8*(1+$B$4)^22))*IF(X157+IF($B$1+22&lt;=$B157,12*$B$9,-12*$B$8*(1+$B$4)^22)&gt;0,1+$B$3,1))</f>
        <v/>
      </c>
      <c r="Z157">
        <f>IF($B$1+23&gt;90,Y157,(Y157+IF($B$1+23&lt;=$B157,12*$B$9,-12*$B$8*(1+$B$4)^23))*IF(Y157+IF($B$1+23&lt;=$B157,12*$B$9,-12*$B$8*(1+$B$4)^23)&gt;0,1+$B$3,1))</f>
        <v/>
      </c>
      <c r="AA157">
        <f>IF($B$1+24&gt;90,Z157,(Z157+IF($B$1+24&lt;=$B157,12*$B$9,-12*$B$8*(1+$B$4)^24))*IF(Z157+IF($B$1+24&lt;=$B157,12*$B$9,-12*$B$8*(1+$B$4)^24)&gt;0,1+$B$3,1))</f>
        <v/>
      </c>
      <c r="AB157">
        <f>IF($B$1+25&gt;90,AA157,(AA157+IF($B$1+25&lt;=$B157,12*$B$9,-12*$B$8*(1+$B$4)^25))*IF(AA157+IF($B$1+25&lt;=$B157,12*$B$9,-12*$B$8*(1+$B$4)^25)&gt;0,1+$B$3,1))</f>
        <v/>
      </c>
      <c r="AC157">
        <f>IF($B$1+26&gt;90,AB157,(AB157+IF($B$1+26&lt;=$B157,12*$B$9,-12*$B$8*(1+$B$4)^26))*IF(AB157+IF($B$1+26&lt;=$B157,12*$B$9,-12*$B$8*(1+$B$4)^26)&gt;0,1+$B$3,1))</f>
        <v/>
      </c>
      <c r="AD157">
        <f>IF($B$1+27&gt;90,AC157,(AC157+IF($B$1+27&lt;=$B157,12*$B$9,-12*$B$8*(1+$B$4)^27))*IF(AC157+IF($B$1+27&lt;=$B157,12*$B$9,-12*$B$8*(1+$B$4)^27)&gt;0,1+$B$3,1))</f>
        <v/>
      </c>
      <c r="AE157">
        <f>IF($B$1+28&gt;90,AD157,(AD157+IF($B$1+28&lt;=$B157,12*$B$9,-12*$B$8*(1+$B$4)^28))*IF(AD157+IF($B$1+28&lt;=$B157,12*$B$9,-12*$B$8*(1+$B$4)^28)&gt;0,1+$B$3,1))</f>
        <v/>
      </c>
      <c r="AF157">
        <f>IF($B$1+29&gt;90,AE157,(AE157+IF($B$1+29&lt;=$B157,12*$B$9,-12*$B$8*(1+$B$4)^29))*IF(AE157+IF($B$1+29&lt;=$B157,12*$B$9,-12*$B$8*(1+$B$4)^29)&gt;0,1+$B$3,1))</f>
        <v/>
      </c>
      <c r="AG157">
        <f>IF($B$1+30&gt;90,AF157,(AF157+IF($B$1+30&lt;=$B157,12*$B$9,-12*$B$8*(1+$B$4)^30))*IF(AF157+IF($B$1+30&lt;=$B157,12*$B$9,-12*$B$8*(1+$B$4)^30)&gt;0,1+$B$3,1))</f>
        <v/>
      </c>
      <c r="AH157">
        <f>IF($B$1+31&gt;90,AG157,(AG157+IF($B$1+31&lt;=$B157,12*$B$9,-12*$B$8*(1+$B$4)^31))*IF(AG157+IF($B$1+31&lt;=$B157,12*$B$9,-12*$B$8*(1+$B$4)^31)&gt;0,1+$B$3,1))</f>
        <v/>
      </c>
      <c r="AI157">
        <f>IF($B$1+32&gt;90,AH157,(AH157+IF($B$1+32&lt;=$B157,12*$B$9,-12*$B$8*(1+$B$4)^32))*IF(AH157+IF($B$1+32&lt;=$B157,12*$B$9,-12*$B$8*(1+$B$4)^32)&gt;0,1+$B$3,1))</f>
        <v/>
      </c>
      <c r="AJ157">
        <f>IF($B$1+33&gt;90,AI157,(AI157+IF($B$1+33&lt;=$B157,12*$B$9,-12*$B$8*(1+$B$4)^33))*IF(AI157+IF($B$1+33&lt;=$B157,12*$B$9,-12*$B$8*(1+$B$4)^33)&gt;0,1+$B$3,1))</f>
        <v/>
      </c>
      <c r="AK157">
        <f>IF($B$1+34&gt;90,AJ157,(AJ157+IF($B$1+34&lt;=$B157,12*$B$9,-12*$B$8*(1+$B$4)^34))*IF(AJ157+IF($B$1+34&lt;=$B157,12*$B$9,-12*$B$8*(1+$B$4)^34)&gt;0,1+$B$3,1))</f>
        <v/>
      </c>
      <c r="AL157">
        <f>IF($B$1+35&gt;90,AK157,(AK157+IF($B$1+35&lt;=$B157,12*$B$9,-12*$B$8*(1+$B$4)^35))*IF(AK157+IF($B$1+35&lt;=$B157,12*$B$9,-12*$B$8*(1+$B$4)^35)&gt;0,1+$B$3,1))</f>
        <v/>
      </c>
      <c r="AM157">
        <f>IF($B$1+36&gt;90,AL157,(AL157+IF($B$1+36&lt;=$B157,12*$B$9,-12*$B$8*(1+$B$4)^36))*IF(AL157+IF($B$1+36&lt;=$B157,12*$B$9,-12*$B$8*(1+$B$4)^36)&gt;0,1+$B$3,1))</f>
        <v/>
      </c>
      <c r="AN157">
        <f>IF($B$1+37&gt;90,AM157,(AM157+IF($B$1+37&lt;=$B157,12*$B$9,-12*$B$8*(1+$B$4)^37))*IF(AM157+IF($B$1+37&lt;=$B157,12*$B$9,-12*$B$8*(1+$B$4)^37)&gt;0,1+$B$3,1))</f>
        <v/>
      </c>
      <c r="AO157">
        <f>IF($B$1+38&gt;90,AN157,(AN157+IF($B$1+38&lt;=$B157,12*$B$9,-12*$B$8*(1+$B$4)^38))*IF(AN157+IF($B$1+38&lt;=$B157,12*$B$9,-12*$B$8*(1+$B$4)^38)&gt;0,1+$B$3,1))</f>
        <v/>
      </c>
      <c r="AP157">
        <f>IF($B$1+39&gt;90,AO157,(AO157+IF($B$1+39&lt;=$B157,12*$B$9,-12*$B$8*(1+$B$4)^39))*IF(AO157+IF($B$1+39&lt;=$B157,12*$B$9,-12*$B$8*(1+$B$4)^39)&gt;0,1+$B$3,1))</f>
        <v/>
      </c>
      <c r="AQ157">
        <f>IF($B$1+40&gt;90,AP157,(AP157+IF($B$1+40&lt;=$B157,12*$B$9,-12*$B$8*(1+$B$4)^40))*IF(AP157+IF($B$1+40&lt;=$B157,12*$B$9,-12*$B$8*(1+$B$4)^40)&gt;0,1+$B$3,1))</f>
        <v/>
      </c>
      <c r="AR157">
        <f>IF($B$1+41&gt;90,AQ157,(AQ157+IF($B$1+41&lt;=$B157,12*$B$9,-12*$B$8*(1+$B$4)^41))*IF(AQ157+IF($B$1+41&lt;=$B157,12*$B$9,-12*$B$8*(1+$B$4)^41)&gt;0,1+$B$3,1))</f>
        <v/>
      </c>
      <c r="AS157">
        <f>IF($B$1+42&gt;90,AR157,(AR157+IF($B$1+42&lt;=$B157,12*$B$9,-12*$B$8*(1+$B$4)^42))*IF(AR157+IF($B$1+42&lt;=$B157,12*$B$9,-12*$B$8*(1+$B$4)^42)&gt;0,1+$B$3,1))</f>
        <v/>
      </c>
      <c r="AT157">
        <f>IF($B$1+43&gt;90,AS157,(AS157+IF($B$1+43&lt;=$B157,12*$B$9,-12*$B$8*(1+$B$4)^43))*IF(AS157+IF($B$1+43&lt;=$B157,12*$B$9,-12*$B$8*(1+$B$4)^43)&gt;0,1+$B$3,1))</f>
        <v/>
      </c>
      <c r="AU157">
        <f>IF($B$1+44&gt;90,AT157,(AT157+IF($B$1+44&lt;=$B157,12*$B$9,-12*$B$8*(1+$B$4)^44))*IF(AT157+IF($B$1+44&lt;=$B157,12*$B$9,-12*$B$8*(1+$B$4)^44)&gt;0,1+$B$3,1))</f>
        <v/>
      </c>
      <c r="AV157">
        <f>IF($B$1+45&gt;90,AU157,(AU157+IF($B$1+45&lt;=$B157,12*$B$9,-12*$B$8*(1+$B$4)^45))*IF(AU157+IF($B$1+45&lt;=$B157,12*$B$9,-12*$B$8*(1+$B$4)^45)&gt;0,1+$B$3,1))</f>
        <v/>
      </c>
      <c r="AW157">
        <f>IF($B$1+46&gt;90,AV157,(AV157+IF($B$1+46&lt;=$B157,12*$B$9,-12*$B$8*(1+$B$4)^46))*IF(AV157+IF($B$1+46&lt;=$B157,12*$B$9,-12*$B$8*(1+$B$4)^46)&gt;0,1+$B$3,1))</f>
        <v/>
      </c>
      <c r="AX157">
        <f>IF($B$1+47&gt;90,AW157,(AW157+IF($B$1+47&lt;=$B157,12*$B$9,-12*$B$8*(1+$B$4)^47))*IF(AW157+IF($B$1+47&lt;=$B157,12*$B$9,-12*$B$8*(1+$B$4)^47)&gt;0,1+$B$3,1))</f>
        <v/>
      </c>
      <c r="AY157">
        <f>IF($B$1+48&gt;90,AX157,(AX157+IF($B$1+48&lt;=$B157,12*$B$9,-12*$B$8*(1+$B$4)^48))*IF(AX157+IF($B$1+48&lt;=$B157,12*$B$9,-12*$B$8*(1+$B$4)^48)&gt;0,1+$B$3,1))</f>
        <v/>
      </c>
      <c r="AZ157">
        <f>IF($B$1+49&gt;90,AY157,(AY157+IF($B$1+49&lt;=$B157,12*$B$9,-12*$B$8*(1+$B$4)^49))*IF(AY157+IF($B$1+49&lt;=$B157,12*$B$9,-12*$B$8*(1+$B$4)^49)&gt;0,1+$B$3,1))</f>
        <v/>
      </c>
      <c r="BA157">
        <f>IF($B$1+50&gt;90,AZ157,(AZ157+IF($B$1+50&lt;=$B157,12*$B$9,-12*$B$8*(1+$B$4)^50))*IF(AZ157+IF($B$1+50&lt;=$B157,12*$B$9,-12*$B$8*(1+$B$4)^50)&gt;0,1+$B$3,1))</f>
        <v/>
      </c>
      <c r="BB157">
        <f>IF($B$1+51&gt;90,BA157,(BA157+IF($B$1+51&lt;=$B157,12*$B$9,-12*$B$8*(1+$B$4)^51))*IF(BA157+IF($B$1+51&lt;=$B157,12*$B$9,-12*$B$8*(1+$B$4)^51)&gt;0,1+$B$3,1))</f>
        <v/>
      </c>
      <c r="BC157">
        <f>IF($B$1+52&gt;90,BB157,(BB157+IF($B$1+52&lt;=$B157,12*$B$9,-12*$B$8*(1+$B$4)^52))*IF(BB157+IF($B$1+52&lt;=$B157,12*$B$9,-12*$B$8*(1+$B$4)^52)&gt;0,1+$B$3,1))</f>
        <v/>
      </c>
      <c r="BD157">
        <f>IF($B$1+53&gt;90,BC157,(BC157+IF($B$1+53&lt;=$B157,12*$B$9,-12*$B$8*(1+$B$4)^53))*IF(BC157+IF($B$1+53&lt;=$B157,12*$B$9,-12*$B$8*(1+$B$4)^53)&gt;0,1+$B$3,1))</f>
        <v/>
      </c>
      <c r="BE157">
        <f>IF($B$1+54&gt;90,BD157,(BD157+IF($B$1+54&lt;=$B157,12*$B$9,-12*$B$8*(1+$B$4)^54))*IF(BD157+IF($B$1+54&lt;=$B157,12*$B$9,-12*$B$8*(1+$B$4)^54)&gt;0,1+$B$3,1))</f>
        <v/>
      </c>
      <c r="BF157">
        <f>IF($B$1+55&gt;90,BE157,(BE157+IF($B$1+55&lt;=$B157,12*$B$9,-12*$B$8*(1+$B$4)^55))*IF(BE157+IF($B$1+55&lt;=$B157,12*$B$9,-12*$B$8*(1+$B$4)^55)&gt;0,1+$B$3,1))</f>
        <v/>
      </c>
      <c r="BG157">
        <f>IF($B$1+56&gt;90,BF157,(BF157+IF($B$1+56&lt;=$B157,12*$B$9,-12*$B$8*(1+$B$4)^56))*IF(BF157+IF($B$1+56&lt;=$B157,12*$B$9,-12*$B$8*(1+$B$4)^56)&gt;0,1+$B$3,1))</f>
        <v/>
      </c>
      <c r="BH157">
        <f>IF($B$1+57&gt;90,BG157,(BG157+IF($B$1+57&lt;=$B157,12*$B$9,-12*$B$8*(1+$B$4)^57))*IF(BG157+IF($B$1+57&lt;=$B157,12*$B$9,-12*$B$8*(1+$B$4)^57)&gt;0,1+$B$3,1))</f>
        <v/>
      </c>
      <c r="BI157">
        <f>IF($B$1+58&gt;90,BH157,(BH157+IF($B$1+58&lt;=$B157,12*$B$9,-12*$B$8*(1+$B$4)^58))*IF(BH157+IF($B$1+58&lt;=$B157,12*$B$9,-12*$B$8*(1+$B$4)^58)&gt;0,1+$B$3,1))</f>
        <v/>
      </c>
      <c r="BJ157">
        <f>IF($B$1+59&gt;90,BI157,(BI157+IF($B$1+59&lt;=$B157,12*$B$9,-12*$B$8*(1+$B$4)^59))*IF(BI157+IF($B$1+59&lt;=$B157,12*$B$9,-12*$B$8*(1+$B$4)^59)&gt;0,1+$B$3,1))</f>
        <v/>
      </c>
      <c r="BK157">
        <f>IF($B$1+60&gt;90,BJ157,(BJ157+IF($B$1+60&lt;=$B157,12*$B$9,-12*$B$8*(1+$B$4)^60))*IF(BJ157+IF($B$1+60&lt;=$B157,12*$B$9,-12*$B$8*(1+$B$4)^60)&gt;0,1+$B$3,1))</f>
        <v/>
      </c>
      <c r="BL157">
        <f>IF($B$1+61&gt;90,BK157,(BK157+IF($B$1+61&lt;=$B157,12*$B$9,-12*$B$8*(1+$B$4)^61))*IF(BK157+IF($B$1+61&lt;=$B157,12*$B$9,-12*$B$8*(1+$B$4)^61)&gt;0,1+$B$3,1))</f>
        <v/>
      </c>
      <c r="BM157">
        <f>IF($B$1+62&gt;90,BL157,(BL157+IF($B$1+62&lt;=$B157,12*$B$9,-12*$B$8*(1+$B$4)^62))*IF(BL157+IF($B$1+62&lt;=$B157,12*$B$9,-12*$B$8*(1+$B$4)^62)&gt;0,1+$B$3,1))</f>
        <v/>
      </c>
      <c r="BN157">
        <f>IF($B$1+63&gt;90,BM157,(BM157+IF($B$1+63&lt;=$B157,12*$B$9,-12*$B$8*(1+$B$4)^63))*IF(BM157+IF($B$1+63&lt;=$B157,12*$B$9,-12*$B$8*(1+$B$4)^63)&gt;0,1+$B$3,1))</f>
        <v/>
      </c>
      <c r="BO157">
        <f>IF($B$1+64&gt;90,BN157,(BN157+IF($B$1+64&lt;=$B157,12*$B$9,-12*$B$8*(1+$B$4)^64))*IF(BN157+IF($B$1+64&lt;=$B157,12*$B$9,-12*$B$8*(1+$B$4)^64)&gt;0,1+$B$3,1))</f>
        <v/>
      </c>
      <c r="BP157">
        <f>IF($B$1+65&gt;90,BO157,(BO157+IF($B$1+65&lt;=$B157,12*$B$9,-12*$B$8*(1+$B$4)^65))*IF(BO157+IF($B$1+65&lt;=$B157,12*$B$9,-12*$B$8*(1+$B$4)^65)&gt;0,1+$B$3,1))</f>
        <v/>
      </c>
      <c r="BQ157">
        <f>IF($B$1+66&gt;90,BP157,(BP157+IF($B$1+66&lt;=$B157,12*$B$9,-12*$B$8*(1+$B$4)^66))*IF(BP157+IF($B$1+66&lt;=$B157,12*$B$9,-12*$B$8*(1+$B$4)^66)&gt;0,1+$B$3,1))</f>
        <v/>
      </c>
      <c r="BR157">
        <f>IF($B$1+67&gt;90,BQ157,(BQ157+IF($B$1+67&lt;=$B157,12*$B$9,-12*$B$8*(1+$B$4)^67))*IF(BQ157+IF($B$1+67&lt;=$B157,12*$B$9,-12*$B$8*(1+$B$4)^67)&gt;0,1+$B$3,1))</f>
        <v/>
      </c>
      <c r="BS157">
        <f>IF($B$1+68&gt;90,BR157,(BR157+IF($B$1+68&lt;=$B157,12*$B$9,-12*$B$8*(1+$B$4)^68))*IF(BR157+IF($B$1+68&lt;=$B157,12*$B$9,-12*$B$8*(1+$B$4)^68)&gt;0,1+$B$3,1))</f>
        <v/>
      </c>
      <c r="BT157">
        <f>IF($B$1+69&gt;90,BS157,(BS157+IF($B$1+69&lt;=$B157,12*$B$9,-12*$B$8*(1+$B$4)^69))*IF(BS157+IF($B$1+69&lt;=$B157,12*$B$9,-12*$B$8*(1+$B$4)^69)&gt;0,1+$B$3,1))</f>
        <v/>
      </c>
      <c r="BU157">
        <f>IF($B$1+70&gt;90,BT157,(BT157+IF($B$1+70&lt;=$B157,12*$B$9,-12*$B$8*(1+$B$4)^70))*IF(BT157+IF($B$1+70&lt;=$B157,12*$B$9,-12*$B$8*(1+$B$4)^70)&gt;0,1+$B$3,1))</f>
        <v/>
      </c>
      <c r="BV157">
        <f>BU157</f>
        <v/>
      </c>
      <c r="BW157">
        <f>IF(AND($B157&lt;=70,BV157&gt;0),$B157,999)</f>
        <v/>
      </c>
    </row>
    <row r="158">
      <c r="A158" t="n">
        <v>6</v>
      </c>
      <c r="B158">
        <f>$B$1+6</f>
        <v/>
      </c>
      <c r="C158">
        <f>$B$2</f>
        <v/>
      </c>
      <c r="D158">
        <f>IF($B$1+1&gt;90,C158,(C158+IF($B$1+1&lt;=$B158,12*$B$9,-12*$B$8*(1+$B$4)^1))*IF(C158+IF($B$1+1&lt;=$B158,12*$B$9,-12*$B$8*(1+$B$4)^1)&gt;0,1+$B$3,1))</f>
        <v/>
      </c>
      <c r="E158">
        <f>IF($B$1+2&gt;90,D158,(D158+IF($B$1+2&lt;=$B158,12*$B$9,-12*$B$8*(1+$B$4)^2))*IF(D158+IF($B$1+2&lt;=$B158,12*$B$9,-12*$B$8*(1+$B$4)^2)&gt;0,1+$B$3,1))</f>
        <v/>
      </c>
      <c r="F158">
        <f>IF($B$1+3&gt;90,E158,(E158+IF($B$1+3&lt;=$B158,12*$B$9,-12*$B$8*(1+$B$4)^3))*IF(E158+IF($B$1+3&lt;=$B158,12*$B$9,-12*$B$8*(1+$B$4)^3)&gt;0,1+$B$3,1))</f>
        <v/>
      </c>
      <c r="G158">
        <f>IF($B$1+4&gt;90,F158,(F158+IF($B$1+4&lt;=$B158,12*$B$9,-12*$B$8*(1+$B$4)^4))*IF(F158+IF($B$1+4&lt;=$B158,12*$B$9,-12*$B$8*(1+$B$4)^4)&gt;0,1+$B$3,1))</f>
        <v/>
      </c>
      <c r="H158">
        <f>IF($B$1+5&gt;90,G158,(G158+IF($B$1+5&lt;=$B158,12*$B$9,-12*$B$8*(1+$B$4)^5))*IF(G158+IF($B$1+5&lt;=$B158,12*$B$9,-12*$B$8*(1+$B$4)^5)&gt;0,1+$B$3,1))</f>
        <v/>
      </c>
      <c r="I158">
        <f>IF($B$1+6&gt;90,H158,(H158+IF($B$1+6&lt;=$B158,12*$B$9,-12*$B$8*(1+$B$4)^6))*IF(H158+IF($B$1+6&lt;=$B158,12*$B$9,-12*$B$8*(1+$B$4)^6)&gt;0,1+$B$3,1))</f>
        <v/>
      </c>
      <c r="J158">
        <f>IF($B$1+7&gt;90,I158,(I158+IF($B$1+7&lt;=$B158,12*$B$9,-12*$B$8*(1+$B$4)^7))*IF(I158+IF($B$1+7&lt;=$B158,12*$B$9,-12*$B$8*(1+$B$4)^7)&gt;0,1+$B$3,1))</f>
        <v/>
      </c>
      <c r="K158">
        <f>IF($B$1+8&gt;90,J158,(J158+IF($B$1+8&lt;=$B158,12*$B$9,-12*$B$8*(1+$B$4)^8))*IF(J158+IF($B$1+8&lt;=$B158,12*$B$9,-12*$B$8*(1+$B$4)^8)&gt;0,1+$B$3,1))</f>
        <v/>
      </c>
      <c r="L158">
        <f>IF($B$1+9&gt;90,K158,(K158+IF($B$1+9&lt;=$B158,12*$B$9,-12*$B$8*(1+$B$4)^9))*IF(K158+IF($B$1+9&lt;=$B158,12*$B$9,-12*$B$8*(1+$B$4)^9)&gt;0,1+$B$3,1))</f>
        <v/>
      </c>
      <c r="M158">
        <f>IF($B$1+10&gt;90,L158,(L158+IF($B$1+10&lt;=$B158,12*$B$9,-12*$B$8*(1+$B$4)^10))*IF(L158+IF($B$1+10&lt;=$B158,12*$B$9,-12*$B$8*(1+$B$4)^10)&gt;0,1+$B$3,1))</f>
        <v/>
      </c>
      <c r="N158">
        <f>IF($B$1+11&gt;90,M158,(M158+IF($B$1+11&lt;=$B158,12*$B$9,-12*$B$8*(1+$B$4)^11))*IF(M158+IF($B$1+11&lt;=$B158,12*$B$9,-12*$B$8*(1+$B$4)^11)&gt;0,1+$B$3,1))</f>
        <v/>
      </c>
      <c r="O158">
        <f>IF($B$1+12&gt;90,N158,(N158+IF($B$1+12&lt;=$B158,12*$B$9,-12*$B$8*(1+$B$4)^12))*IF(N158+IF($B$1+12&lt;=$B158,12*$B$9,-12*$B$8*(1+$B$4)^12)&gt;0,1+$B$3,1))</f>
        <v/>
      </c>
      <c r="P158">
        <f>IF($B$1+13&gt;90,O158,(O158+IF($B$1+13&lt;=$B158,12*$B$9,-12*$B$8*(1+$B$4)^13))*IF(O158+IF($B$1+13&lt;=$B158,12*$B$9,-12*$B$8*(1+$B$4)^13)&gt;0,1+$B$3,1))</f>
        <v/>
      </c>
      <c r="Q158">
        <f>IF($B$1+14&gt;90,P158,(P158+IF($B$1+14&lt;=$B158,12*$B$9,-12*$B$8*(1+$B$4)^14))*IF(P158+IF($B$1+14&lt;=$B158,12*$B$9,-12*$B$8*(1+$B$4)^14)&gt;0,1+$B$3,1))</f>
        <v/>
      </c>
      <c r="R158">
        <f>IF($B$1+15&gt;90,Q158,(Q158+IF($B$1+15&lt;=$B158,12*$B$9,-12*$B$8*(1+$B$4)^15))*IF(Q158+IF($B$1+15&lt;=$B158,12*$B$9,-12*$B$8*(1+$B$4)^15)&gt;0,1+$B$3,1))</f>
        <v/>
      </c>
      <c r="S158">
        <f>IF($B$1+16&gt;90,R158,(R158+IF($B$1+16&lt;=$B158,12*$B$9,-12*$B$8*(1+$B$4)^16))*IF(R158+IF($B$1+16&lt;=$B158,12*$B$9,-12*$B$8*(1+$B$4)^16)&gt;0,1+$B$3,1))</f>
        <v/>
      </c>
      <c r="T158">
        <f>IF($B$1+17&gt;90,S158,(S158+IF($B$1+17&lt;=$B158,12*$B$9,-12*$B$8*(1+$B$4)^17))*IF(S158+IF($B$1+17&lt;=$B158,12*$B$9,-12*$B$8*(1+$B$4)^17)&gt;0,1+$B$3,1))</f>
        <v/>
      </c>
      <c r="U158">
        <f>IF($B$1+18&gt;90,T158,(T158+IF($B$1+18&lt;=$B158,12*$B$9,-12*$B$8*(1+$B$4)^18))*IF(T158+IF($B$1+18&lt;=$B158,12*$B$9,-12*$B$8*(1+$B$4)^18)&gt;0,1+$B$3,1))</f>
        <v/>
      </c>
      <c r="V158">
        <f>IF($B$1+19&gt;90,U158,(U158+IF($B$1+19&lt;=$B158,12*$B$9,-12*$B$8*(1+$B$4)^19))*IF(U158+IF($B$1+19&lt;=$B158,12*$B$9,-12*$B$8*(1+$B$4)^19)&gt;0,1+$B$3,1))</f>
        <v/>
      </c>
      <c r="W158">
        <f>IF($B$1+20&gt;90,V158,(V158+IF($B$1+20&lt;=$B158,12*$B$9,-12*$B$8*(1+$B$4)^20))*IF(V158+IF($B$1+20&lt;=$B158,12*$B$9,-12*$B$8*(1+$B$4)^20)&gt;0,1+$B$3,1))</f>
        <v/>
      </c>
      <c r="X158">
        <f>IF($B$1+21&gt;90,W158,(W158+IF($B$1+21&lt;=$B158,12*$B$9,-12*$B$8*(1+$B$4)^21))*IF(W158+IF($B$1+21&lt;=$B158,12*$B$9,-12*$B$8*(1+$B$4)^21)&gt;0,1+$B$3,1))</f>
        <v/>
      </c>
      <c r="Y158">
        <f>IF($B$1+22&gt;90,X158,(X158+IF($B$1+22&lt;=$B158,12*$B$9,-12*$B$8*(1+$B$4)^22))*IF(X158+IF($B$1+22&lt;=$B158,12*$B$9,-12*$B$8*(1+$B$4)^22)&gt;0,1+$B$3,1))</f>
        <v/>
      </c>
      <c r="Z158">
        <f>IF($B$1+23&gt;90,Y158,(Y158+IF($B$1+23&lt;=$B158,12*$B$9,-12*$B$8*(1+$B$4)^23))*IF(Y158+IF($B$1+23&lt;=$B158,12*$B$9,-12*$B$8*(1+$B$4)^23)&gt;0,1+$B$3,1))</f>
        <v/>
      </c>
      <c r="AA158">
        <f>IF($B$1+24&gt;90,Z158,(Z158+IF($B$1+24&lt;=$B158,12*$B$9,-12*$B$8*(1+$B$4)^24))*IF(Z158+IF($B$1+24&lt;=$B158,12*$B$9,-12*$B$8*(1+$B$4)^24)&gt;0,1+$B$3,1))</f>
        <v/>
      </c>
      <c r="AB158">
        <f>IF($B$1+25&gt;90,AA158,(AA158+IF($B$1+25&lt;=$B158,12*$B$9,-12*$B$8*(1+$B$4)^25))*IF(AA158+IF($B$1+25&lt;=$B158,12*$B$9,-12*$B$8*(1+$B$4)^25)&gt;0,1+$B$3,1))</f>
        <v/>
      </c>
      <c r="AC158">
        <f>IF($B$1+26&gt;90,AB158,(AB158+IF($B$1+26&lt;=$B158,12*$B$9,-12*$B$8*(1+$B$4)^26))*IF(AB158+IF($B$1+26&lt;=$B158,12*$B$9,-12*$B$8*(1+$B$4)^26)&gt;0,1+$B$3,1))</f>
        <v/>
      </c>
      <c r="AD158">
        <f>IF($B$1+27&gt;90,AC158,(AC158+IF($B$1+27&lt;=$B158,12*$B$9,-12*$B$8*(1+$B$4)^27))*IF(AC158+IF($B$1+27&lt;=$B158,12*$B$9,-12*$B$8*(1+$B$4)^27)&gt;0,1+$B$3,1))</f>
        <v/>
      </c>
      <c r="AE158">
        <f>IF($B$1+28&gt;90,AD158,(AD158+IF($B$1+28&lt;=$B158,12*$B$9,-12*$B$8*(1+$B$4)^28))*IF(AD158+IF($B$1+28&lt;=$B158,12*$B$9,-12*$B$8*(1+$B$4)^28)&gt;0,1+$B$3,1))</f>
        <v/>
      </c>
      <c r="AF158">
        <f>IF($B$1+29&gt;90,AE158,(AE158+IF($B$1+29&lt;=$B158,12*$B$9,-12*$B$8*(1+$B$4)^29))*IF(AE158+IF($B$1+29&lt;=$B158,12*$B$9,-12*$B$8*(1+$B$4)^29)&gt;0,1+$B$3,1))</f>
        <v/>
      </c>
      <c r="AG158">
        <f>IF($B$1+30&gt;90,AF158,(AF158+IF($B$1+30&lt;=$B158,12*$B$9,-12*$B$8*(1+$B$4)^30))*IF(AF158+IF($B$1+30&lt;=$B158,12*$B$9,-12*$B$8*(1+$B$4)^30)&gt;0,1+$B$3,1))</f>
        <v/>
      </c>
      <c r="AH158">
        <f>IF($B$1+31&gt;90,AG158,(AG158+IF($B$1+31&lt;=$B158,12*$B$9,-12*$B$8*(1+$B$4)^31))*IF(AG158+IF($B$1+31&lt;=$B158,12*$B$9,-12*$B$8*(1+$B$4)^31)&gt;0,1+$B$3,1))</f>
        <v/>
      </c>
      <c r="AI158">
        <f>IF($B$1+32&gt;90,AH158,(AH158+IF($B$1+32&lt;=$B158,12*$B$9,-12*$B$8*(1+$B$4)^32))*IF(AH158+IF($B$1+32&lt;=$B158,12*$B$9,-12*$B$8*(1+$B$4)^32)&gt;0,1+$B$3,1))</f>
        <v/>
      </c>
      <c r="AJ158">
        <f>IF($B$1+33&gt;90,AI158,(AI158+IF($B$1+33&lt;=$B158,12*$B$9,-12*$B$8*(1+$B$4)^33))*IF(AI158+IF($B$1+33&lt;=$B158,12*$B$9,-12*$B$8*(1+$B$4)^33)&gt;0,1+$B$3,1))</f>
        <v/>
      </c>
      <c r="AK158">
        <f>IF($B$1+34&gt;90,AJ158,(AJ158+IF($B$1+34&lt;=$B158,12*$B$9,-12*$B$8*(1+$B$4)^34))*IF(AJ158+IF($B$1+34&lt;=$B158,12*$B$9,-12*$B$8*(1+$B$4)^34)&gt;0,1+$B$3,1))</f>
        <v/>
      </c>
      <c r="AL158">
        <f>IF($B$1+35&gt;90,AK158,(AK158+IF($B$1+35&lt;=$B158,12*$B$9,-12*$B$8*(1+$B$4)^35))*IF(AK158+IF($B$1+35&lt;=$B158,12*$B$9,-12*$B$8*(1+$B$4)^35)&gt;0,1+$B$3,1))</f>
        <v/>
      </c>
      <c r="AM158">
        <f>IF($B$1+36&gt;90,AL158,(AL158+IF($B$1+36&lt;=$B158,12*$B$9,-12*$B$8*(1+$B$4)^36))*IF(AL158+IF($B$1+36&lt;=$B158,12*$B$9,-12*$B$8*(1+$B$4)^36)&gt;0,1+$B$3,1))</f>
        <v/>
      </c>
      <c r="AN158">
        <f>IF($B$1+37&gt;90,AM158,(AM158+IF($B$1+37&lt;=$B158,12*$B$9,-12*$B$8*(1+$B$4)^37))*IF(AM158+IF($B$1+37&lt;=$B158,12*$B$9,-12*$B$8*(1+$B$4)^37)&gt;0,1+$B$3,1))</f>
        <v/>
      </c>
      <c r="AO158">
        <f>IF($B$1+38&gt;90,AN158,(AN158+IF($B$1+38&lt;=$B158,12*$B$9,-12*$B$8*(1+$B$4)^38))*IF(AN158+IF($B$1+38&lt;=$B158,12*$B$9,-12*$B$8*(1+$B$4)^38)&gt;0,1+$B$3,1))</f>
        <v/>
      </c>
      <c r="AP158">
        <f>IF($B$1+39&gt;90,AO158,(AO158+IF($B$1+39&lt;=$B158,12*$B$9,-12*$B$8*(1+$B$4)^39))*IF(AO158+IF($B$1+39&lt;=$B158,12*$B$9,-12*$B$8*(1+$B$4)^39)&gt;0,1+$B$3,1))</f>
        <v/>
      </c>
      <c r="AQ158">
        <f>IF($B$1+40&gt;90,AP158,(AP158+IF($B$1+40&lt;=$B158,12*$B$9,-12*$B$8*(1+$B$4)^40))*IF(AP158+IF($B$1+40&lt;=$B158,12*$B$9,-12*$B$8*(1+$B$4)^40)&gt;0,1+$B$3,1))</f>
        <v/>
      </c>
      <c r="AR158">
        <f>IF($B$1+41&gt;90,AQ158,(AQ158+IF($B$1+41&lt;=$B158,12*$B$9,-12*$B$8*(1+$B$4)^41))*IF(AQ158+IF($B$1+41&lt;=$B158,12*$B$9,-12*$B$8*(1+$B$4)^41)&gt;0,1+$B$3,1))</f>
        <v/>
      </c>
      <c r="AS158">
        <f>IF($B$1+42&gt;90,AR158,(AR158+IF($B$1+42&lt;=$B158,12*$B$9,-12*$B$8*(1+$B$4)^42))*IF(AR158+IF($B$1+42&lt;=$B158,12*$B$9,-12*$B$8*(1+$B$4)^42)&gt;0,1+$B$3,1))</f>
        <v/>
      </c>
      <c r="AT158">
        <f>IF($B$1+43&gt;90,AS158,(AS158+IF($B$1+43&lt;=$B158,12*$B$9,-12*$B$8*(1+$B$4)^43))*IF(AS158+IF($B$1+43&lt;=$B158,12*$B$9,-12*$B$8*(1+$B$4)^43)&gt;0,1+$B$3,1))</f>
        <v/>
      </c>
      <c r="AU158">
        <f>IF($B$1+44&gt;90,AT158,(AT158+IF($B$1+44&lt;=$B158,12*$B$9,-12*$B$8*(1+$B$4)^44))*IF(AT158+IF($B$1+44&lt;=$B158,12*$B$9,-12*$B$8*(1+$B$4)^44)&gt;0,1+$B$3,1))</f>
        <v/>
      </c>
      <c r="AV158">
        <f>IF($B$1+45&gt;90,AU158,(AU158+IF($B$1+45&lt;=$B158,12*$B$9,-12*$B$8*(1+$B$4)^45))*IF(AU158+IF($B$1+45&lt;=$B158,12*$B$9,-12*$B$8*(1+$B$4)^45)&gt;0,1+$B$3,1))</f>
        <v/>
      </c>
      <c r="AW158">
        <f>IF($B$1+46&gt;90,AV158,(AV158+IF($B$1+46&lt;=$B158,12*$B$9,-12*$B$8*(1+$B$4)^46))*IF(AV158+IF($B$1+46&lt;=$B158,12*$B$9,-12*$B$8*(1+$B$4)^46)&gt;0,1+$B$3,1))</f>
        <v/>
      </c>
      <c r="AX158">
        <f>IF($B$1+47&gt;90,AW158,(AW158+IF($B$1+47&lt;=$B158,12*$B$9,-12*$B$8*(1+$B$4)^47))*IF(AW158+IF($B$1+47&lt;=$B158,12*$B$9,-12*$B$8*(1+$B$4)^47)&gt;0,1+$B$3,1))</f>
        <v/>
      </c>
      <c r="AY158">
        <f>IF($B$1+48&gt;90,AX158,(AX158+IF($B$1+48&lt;=$B158,12*$B$9,-12*$B$8*(1+$B$4)^48))*IF(AX158+IF($B$1+48&lt;=$B158,12*$B$9,-12*$B$8*(1+$B$4)^48)&gt;0,1+$B$3,1))</f>
        <v/>
      </c>
      <c r="AZ158">
        <f>IF($B$1+49&gt;90,AY158,(AY158+IF($B$1+49&lt;=$B158,12*$B$9,-12*$B$8*(1+$B$4)^49))*IF(AY158+IF($B$1+49&lt;=$B158,12*$B$9,-12*$B$8*(1+$B$4)^49)&gt;0,1+$B$3,1))</f>
        <v/>
      </c>
      <c r="BA158">
        <f>IF($B$1+50&gt;90,AZ158,(AZ158+IF($B$1+50&lt;=$B158,12*$B$9,-12*$B$8*(1+$B$4)^50))*IF(AZ158+IF($B$1+50&lt;=$B158,12*$B$9,-12*$B$8*(1+$B$4)^50)&gt;0,1+$B$3,1))</f>
        <v/>
      </c>
      <c r="BB158">
        <f>IF($B$1+51&gt;90,BA158,(BA158+IF($B$1+51&lt;=$B158,12*$B$9,-12*$B$8*(1+$B$4)^51))*IF(BA158+IF($B$1+51&lt;=$B158,12*$B$9,-12*$B$8*(1+$B$4)^51)&gt;0,1+$B$3,1))</f>
        <v/>
      </c>
      <c r="BC158">
        <f>IF($B$1+52&gt;90,BB158,(BB158+IF($B$1+52&lt;=$B158,12*$B$9,-12*$B$8*(1+$B$4)^52))*IF(BB158+IF($B$1+52&lt;=$B158,12*$B$9,-12*$B$8*(1+$B$4)^52)&gt;0,1+$B$3,1))</f>
        <v/>
      </c>
      <c r="BD158">
        <f>IF($B$1+53&gt;90,BC158,(BC158+IF($B$1+53&lt;=$B158,12*$B$9,-12*$B$8*(1+$B$4)^53))*IF(BC158+IF($B$1+53&lt;=$B158,12*$B$9,-12*$B$8*(1+$B$4)^53)&gt;0,1+$B$3,1))</f>
        <v/>
      </c>
      <c r="BE158">
        <f>IF($B$1+54&gt;90,BD158,(BD158+IF($B$1+54&lt;=$B158,12*$B$9,-12*$B$8*(1+$B$4)^54))*IF(BD158+IF($B$1+54&lt;=$B158,12*$B$9,-12*$B$8*(1+$B$4)^54)&gt;0,1+$B$3,1))</f>
        <v/>
      </c>
      <c r="BF158">
        <f>IF($B$1+55&gt;90,BE158,(BE158+IF($B$1+55&lt;=$B158,12*$B$9,-12*$B$8*(1+$B$4)^55))*IF(BE158+IF($B$1+55&lt;=$B158,12*$B$9,-12*$B$8*(1+$B$4)^55)&gt;0,1+$B$3,1))</f>
        <v/>
      </c>
      <c r="BG158">
        <f>IF($B$1+56&gt;90,BF158,(BF158+IF($B$1+56&lt;=$B158,12*$B$9,-12*$B$8*(1+$B$4)^56))*IF(BF158+IF($B$1+56&lt;=$B158,12*$B$9,-12*$B$8*(1+$B$4)^56)&gt;0,1+$B$3,1))</f>
        <v/>
      </c>
      <c r="BH158">
        <f>IF($B$1+57&gt;90,BG158,(BG158+IF($B$1+57&lt;=$B158,12*$B$9,-12*$B$8*(1+$B$4)^57))*IF(BG158+IF($B$1+57&lt;=$B158,12*$B$9,-12*$B$8*(1+$B$4)^57)&gt;0,1+$B$3,1))</f>
        <v/>
      </c>
      <c r="BI158">
        <f>IF($B$1+58&gt;90,BH158,(BH158+IF($B$1+58&lt;=$B158,12*$B$9,-12*$B$8*(1+$B$4)^58))*IF(BH158+IF($B$1+58&lt;=$B158,12*$B$9,-12*$B$8*(1+$B$4)^58)&gt;0,1+$B$3,1))</f>
        <v/>
      </c>
      <c r="BJ158">
        <f>IF($B$1+59&gt;90,BI158,(BI158+IF($B$1+59&lt;=$B158,12*$B$9,-12*$B$8*(1+$B$4)^59))*IF(BI158+IF($B$1+59&lt;=$B158,12*$B$9,-12*$B$8*(1+$B$4)^59)&gt;0,1+$B$3,1))</f>
        <v/>
      </c>
      <c r="BK158">
        <f>IF($B$1+60&gt;90,BJ158,(BJ158+IF($B$1+60&lt;=$B158,12*$B$9,-12*$B$8*(1+$B$4)^60))*IF(BJ158+IF($B$1+60&lt;=$B158,12*$B$9,-12*$B$8*(1+$B$4)^60)&gt;0,1+$B$3,1))</f>
        <v/>
      </c>
      <c r="BL158">
        <f>IF($B$1+61&gt;90,BK158,(BK158+IF($B$1+61&lt;=$B158,12*$B$9,-12*$B$8*(1+$B$4)^61))*IF(BK158+IF($B$1+61&lt;=$B158,12*$B$9,-12*$B$8*(1+$B$4)^61)&gt;0,1+$B$3,1))</f>
        <v/>
      </c>
      <c r="BM158">
        <f>IF($B$1+62&gt;90,BL158,(BL158+IF($B$1+62&lt;=$B158,12*$B$9,-12*$B$8*(1+$B$4)^62))*IF(BL158+IF($B$1+62&lt;=$B158,12*$B$9,-12*$B$8*(1+$B$4)^62)&gt;0,1+$B$3,1))</f>
        <v/>
      </c>
      <c r="BN158">
        <f>IF($B$1+63&gt;90,BM158,(BM158+IF($B$1+63&lt;=$B158,12*$B$9,-12*$B$8*(1+$B$4)^63))*IF(BM158+IF($B$1+63&lt;=$B158,12*$B$9,-12*$B$8*(1+$B$4)^63)&gt;0,1+$B$3,1))</f>
        <v/>
      </c>
      <c r="BO158">
        <f>IF($B$1+64&gt;90,BN158,(BN158+IF($B$1+64&lt;=$B158,12*$B$9,-12*$B$8*(1+$B$4)^64))*IF(BN158+IF($B$1+64&lt;=$B158,12*$B$9,-12*$B$8*(1+$B$4)^64)&gt;0,1+$B$3,1))</f>
        <v/>
      </c>
      <c r="BP158">
        <f>IF($B$1+65&gt;90,BO158,(BO158+IF($B$1+65&lt;=$B158,12*$B$9,-12*$B$8*(1+$B$4)^65))*IF(BO158+IF($B$1+65&lt;=$B158,12*$B$9,-12*$B$8*(1+$B$4)^65)&gt;0,1+$B$3,1))</f>
        <v/>
      </c>
      <c r="BQ158">
        <f>IF($B$1+66&gt;90,BP158,(BP158+IF($B$1+66&lt;=$B158,12*$B$9,-12*$B$8*(1+$B$4)^66))*IF(BP158+IF($B$1+66&lt;=$B158,12*$B$9,-12*$B$8*(1+$B$4)^66)&gt;0,1+$B$3,1))</f>
        <v/>
      </c>
      <c r="BR158">
        <f>IF($B$1+67&gt;90,BQ158,(BQ158+IF($B$1+67&lt;=$B158,12*$B$9,-12*$B$8*(1+$B$4)^67))*IF(BQ158+IF($B$1+67&lt;=$B158,12*$B$9,-12*$B$8*(1+$B$4)^67)&gt;0,1+$B$3,1))</f>
        <v/>
      </c>
      <c r="BS158">
        <f>IF($B$1+68&gt;90,BR158,(BR158+IF($B$1+68&lt;=$B158,12*$B$9,-12*$B$8*(1+$B$4)^68))*IF(BR158+IF($B$1+68&lt;=$B158,12*$B$9,-12*$B$8*(1+$B$4)^68)&gt;0,1+$B$3,1))</f>
        <v/>
      </c>
      <c r="BT158">
        <f>IF($B$1+69&gt;90,BS158,(BS158+IF($B$1+69&lt;=$B158,12*$B$9,-12*$B$8*(1+$B$4)^69))*IF(BS158+IF($B$1+69&lt;=$B158,12*$B$9,-12*$B$8*(1+$B$4)^69)&gt;0,1+$B$3,1))</f>
        <v/>
      </c>
      <c r="BU158">
        <f>IF($B$1+70&gt;90,BT158,(BT158+IF($B$1+70&lt;=$B158,12*$B$9,-12*$B$8*(1+$B$4)^70))*IF(BT158+IF($B$1+70&lt;=$B158,12*$B$9,-12*$B$8*(1+$B$4)^70)&gt;0,1+$B$3,1))</f>
        <v/>
      </c>
      <c r="BV158">
        <f>BU158</f>
        <v/>
      </c>
      <c r="BW158">
        <f>IF(AND($B158&lt;=70,BV158&gt;0),$B158,999)</f>
        <v/>
      </c>
    </row>
    <row r="159">
      <c r="A159" t="n">
        <v>7</v>
      </c>
      <c r="B159">
        <f>$B$1+7</f>
        <v/>
      </c>
      <c r="C159">
        <f>$B$2</f>
        <v/>
      </c>
      <c r="D159">
        <f>IF($B$1+1&gt;90,C159,(C159+IF($B$1+1&lt;=$B159,12*$B$9,-12*$B$8*(1+$B$4)^1))*IF(C159+IF($B$1+1&lt;=$B159,12*$B$9,-12*$B$8*(1+$B$4)^1)&gt;0,1+$B$3,1))</f>
        <v/>
      </c>
      <c r="E159">
        <f>IF($B$1+2&gt;90,D159,(D159+IF($B$1+2&lt;=$B159,12*$B$9,-12*$B$8*(1+$B$4)^2))*IF(D159+IF($B$1+2&lt;=$B159,12*$B$9,-12*$B$8*(1+$B$4)^2)&gt;0,1+$B$3,1))</f>
        <v/>
      </c>
      <c r="F159">
        <f>IF($B$1+3&gt;90,E159,(E159+IF($B$1+3&lt;=$B159,12*$B$9,-12*$B$8*(1+$B$4)^3))*IF(E159+IF($B$1+3&lt;=$B159,12*$B$9,-12*$B$8*(1+$B$4)^3)&gt;0,1+$B$3,1))</f>
        <v/>
      </c>
      <c r="G159">
        <f>IF($B$1+4&gt;90,F159,(F159+IF($B$1+4&lt;=$B159,12*$B$9,-12*$B$8*(1+$B$4)^4))*IF(F159+IF($B$1+4&lt;=$B159,12*$B$9,-12*$B$8*(1+$B$4)^4)&gt;0,1+$B$3,1))</f>
        <v/>
      </c>
      <c r="H159">
        <f>IF($B$1+5&gt;90,G159,(G159+IF($B$1+5&lt;=$B159,12*$B$9,-12*$B$8*(1+$B$4)^5))*IF(G159+IF($B$1+5&lt;=$B159,12*$B$9,-12*$B$8*(1+$B$4)^5)&gt;0,1+$B$3,1))</f>
        <v/>
      </c>
      <c r="I159">
        <f>IF($B$1+6&gt;90,H159,(H159+IF($B$1+6&lt;=$B159,12*$B$9,-12*$B$8*(1+$B$4)^6))*IF(H159+IF($B$1+6&lt;=$B159,12*$B$9,-12*$B$8*(1+$B$4)^6)&gt;0,1+$B$3,1))</f>
        <v/>
      </c>
      <c r="J159">
        <f>IF($B$1+7&gt;90,I159,(I159+IF($B$1+7&lt;=$B159,12*$B$9,-12*$B$8*(1+$B$4)^7))*IF(I159+IF($B$1+7&lt;=$B159,12*$B$9,-12*$B$8*(1+$B$4)^7)&gt;0,1+$B$3,1))</f>
        <v/>
      </c>
      <c r="K159">
        <f>IF($B$1+8&gt;90,J159,(J159+IF($B$1+8&lt;=$B159,12*$B$9,-12*$B$8*(1+$B$4)^8))*IF(J159+IF($B$1+8&lt;=$B159,12*$B$9,-12*$B$8*(1+$B$4)^8)&gt;0,1+$B$3,1))</f>
        <v/>
      </c>
      <c r="L159">
        <f>IF($B$1+9&gt;90,K159,(K159+IF($B$1+9&lt;=$B159,12*$B$9,-12*$B$8*(1+$B$4)^9))*IF(K159+IF($B$1+9&lt;=$B159,12*$B$9,-12*$B$8*(1+$B$4)^9)&gt;0,1+$B$3,1))</f>
        <v/>
      </c>
      <c r="M159">
        <f>IF($B$1+10&gt;90,L159,(L159+IF($B$1+10&lt;=$B159,12*$B$9,-12*$B$8*(1+$B$4)^10))*IF(L159+IF($B$1+10&lt;=$B159,12*$B$9,-12*$B$8*(1+$B$4)^10)&gt;0,1+$B$3,1))</f>
        <v/>
      </c>
      <c r="N159">
        <f>IF($B$1+11&gt;90,M159,(M159+IF($B$1+11&lt;=$B159,12*$B$9,-12*$B$8*(1+$B$4)^11))*IF(M159+IF($B$1+11&lt;=$B159,12*$B$9,-12*$B$8*(1+$B$4)^11)&gt;0,1+$B$3,1))</f>
        <v/>
      </c>
      <c r="O159">
        <f>IF($B$1+12&gt;90,N159,(N159+IF($B$1+12&lt;=$B159,12*$B$9,-12*$B$8*(1+$B$4)^12))*IF(N159+IF($B$1+12&lt;=$B159,12*$B$9,-12*$B$8*(1+$B$4)^12)&gt;0,1+$B$3,1))</f>
        <v/>
      </c>
      <c r="P159">
        <f>IF($B$1+13&gt;90,O159,(O159+IF($B$1+13&lt;=$B159,12*$B$9,-12*$B$8*(1+$B$4)^13))*IF(O159+IF($B$1+13&lt;=$B159,12*$B$9,-12*$B$8*(1+$B$4)^13)&gt;0,1+$B$3,1))</f>
        <v/>
      </c>
      <c r="Q159">
        <f>IF($B$1+14&gt;90,P159,(P159+IF($B$1+14&lt;=$B159,12*$B$9,-12*$B$8*(1+$B$4)^14))*IF(P159+IF($B$1+14&lt;=$B159,12*$B$9,-12*$B$8*(1+$B$4)^14)&gt;0,1+$B$3,1))</f>
        <v/>
      </c>
      <c r="R159">
        <f>IF($B$1+15&gt;90,Q159,(Q159+IF($B$1+15&lt;=$B159,12*$B$9,-12*$B$8*(1+$B$4)^15))*IF(Q159+IF($B$1+15&lt;=$B159,12*$B$9,-12*$B$8*(1+$B$4)^15)&gt;0,1+$B$3,1))</f>
        <v/>
      </c>
      <c r="S159">
        <f>IF($B$1+16&gt;90,R159,(R159+IF($B$1+16&lt;=$B159,12*$B$9,-12*$B$8*(1+$B$4)^16))*IF(R159+IF($B$1+16&lt;=$B159,12*$B$9,-12*$B$8*(1+$B$4)^16)&gt;0,1+$B$3,1))</f>
        <v/>
      </c>
      <c r="T159">
        <f>IF($B$1+17&gt;90,S159,(S159+IF($B$1+17&lt;=$B159,12*$B$9,-12*$B$8*(1+$B$4)^17))*IF(S159+IF($B$1+17&lt;=$B159,12*$B$9,-12*$B$8*(1+$B$4)^17)&gt;0,1+$B$3,1))</f>
        <v/>
      </c>
      <c r="U159">
        <f>IF($B$1+18&gt;90,T159,(T159+IF($B$1+18&lt;=$B159,12*$B$9,-12*$B$8*(1+$B$4)^18))*IF(T159+IF($B$1+18&lt;=$B159,12*$B$9,-12*$B$8*(1+$B$4)^18)&gt;0,1+$B$3,1))</f>
        <v/>
      </c>
      <c r="V159">
        <f>IF($B$1+19&gt;90,U159,(U159+IF($B$1+19&lt;=$B159,12*$B$9,-12*$B$8*(1+$B$4)^19))*IF(U159+IF($B$1+19&lt;=$B159,12*$B$9,-12*$B$8*(1+$B$4)^19)&gt;0,1+$B$3,1))</f>
        <v/>
      </c>
      <c r="W159">
        <f>IF($B$1+20&gt;90,V159,(V159+IF($B$1+20&lt;=$B159,12*$B$9,-12*$B$8*(1+$B$4)^20))*IF(V159+IF($B$1+20&lt;=$B159,12*$B$9,-12*$B$8*(1+$B$4)^20)&gt;0,1+$B$3,1))</f>
        <v/>
      </c>
      <c r="X159">
        <f>IF($B$1+21&gt;90,W159,(W159+IF($B$1+21&lt;=$B159,12*$B$9,-12*$B$8*(1+$B$4)^21))*IF(W159+IF($B$1+21&lt;=$B159,12*$B$9,-12*$B$8*(1+$B$4)^21)&gt;0,1+$B$3,1))</f>
        <v/>
      </c>
      <c r="Y159">
        <f>IF($B$1+22&gt;90,X159,(X159+IF($B$1+22&lt;=$B159,12*$B$9,-12*$B$8*(1+$B$4)^22))*IF(X159+IF($B$1+22&lt;=$B159,12*$B$9,-12*$B$8*(1+$B$4)^22)&gt;0,1+$B$3,1))</f>
        <v/>
      </c>
      <c r="Z159">
        <f>IF($B$1+23&gt;90,Y159,(Y159+IF($B$1+23&lt;=$B159,12*$B$9,-12*$B$8*(1+$B$4)^23))*IF(Y159+IF($B$1+23&lt;=$B159,12*$B$9,-12*$B$8*(1+$B$4)^23)&gt;0,1+$B$3,1))</f>
        <v/>
      </c>
      <c r="AA159">
        <f>IF($B$1+24&gt;90,Z159,(Z159+IF($B$1+24&lt;=$B159,12*$B$9,-12*$B$8*(1+$B$4)^24))*IF(Z159+IF($B$1+24&lt;=$B159,12*$B$9,-12*$B$8*(1+$B$4)^24)&gt;0,1+$B$3,1))</f>
        <v/>
      </c>
      <c r="AB159">
        <f>IF($B$1+25&gt;90,AA159,(AA159+IF($B$1+25&lt;=$B159,12*$B$9,-12*$B$8*(1+$B$4)^25))*IF(AA159+IF($B$1+25&lt;=$B159,12*$B$9,-12*$B$8*(1+$B$4)^25)&gt;0,1+$B$3,1))</f>
        <v/>
      </c>
      <c r="AC159">
        <f>IF($B$1+26&gt;90,AB159,(AB159+IF($B$1+26&lt;=$B159,12*$B$9,-12*$B$8*(1+$B$4)^26))*IF(AB159+IF($B$1+26&lt;=$B159,12*$B$9,-12*$B$8*(1+$B$4)^26)&gt;0,1+$B$3,1))</f>
        <v/>
      </c>
      <c r="AD159">
        <f>IF($B$1+27&gt;90,AC159,(AC159+IF($B$1+27&lt;=$B159,12*$B$9,-12*$B$8*(1+$B$4)^27))*IF(AC159+IF($B$1+27&lt;=$B159,12*$B$9,-12*$B$8*(1+$B$4)^27)&gt;0,1+$B$3,1))</f>
        <v/>
      </c>
      <c r="AE159">
        <f>IF($B$1+28&gt;90,AD159,(AD159+IF($B$1+28&lt;=$B159,12*$B$9,-12*$B$8*(1+$B$4)^28))*IF(AD159+IF($B$1+28&lt;=$B159,12*$B$9,-12*$B$8*(1+$B$4)^28)&gt;0,1+$B$3,1))</f>
        <v/>
      </c>
      <c r="AF159">
        <f>IF($B$1+29&gt;90,AE159,(AE159+IF($B$1+29&lt;=$B159,12*$B$9,-12*$B$8*(1+$B$4)^29))*IF(AE159+IF($B$1+29&lt;=$B159,12*$B$9,-12*$B$8*(1+$B$4)^29)&gt;0,1+$B$3,1))</f>
        <v/>
      </c>
      <c r="AG159">
        <f>IF($B$1+30&gt;90,AF159,(AF159+IF($B$1+30&lt;=$B159,12*$B$9,-12*$B$8*(1+$B$4)^30))*IF(AF159+IF($B$1+30&lt;=$B159,12*$B$9,-12*$B$8*(1+$B$4)^30)&gt;0,1+$B$3,1))</f>
        <v/>
      </c>
      <c r="AH159">
        <f>IF($B$1+31&gt;90,AG159,(AG159+IF($B$1+31&lt;=$B159,12*$B$9,-12*$B$8*(1+$B$4)^31))*IF(AG159+IF($B$1+31&lt;=$B159,12*$B$9,-12*$B$8*(1+$B$4)^31)&gt;0,1+$B$3,1))</f>
        <v/>
      </c>
      <c r="AI159">
        <f>IF($B$1+32&gt;90,AH159,(AH159+IF($B$1+32&lt;=$B159,12*$B$9,-12*$B$8*(1+$B$4)^32))*IF(AH159+IF($B$1+32&lt;=$B159,12*$B$9,-12*$B$8*(1+$B$4)^32)&gt;0,1+$B$3,1))</f>
        <v/>
      </c>
      <c r="AJ159">
        <f>IF($B$1+33&gt;90,AI159,(AI159+IF($B$1+33&lt;=$B159,12*$B$9,-12*$B$8*(1+$B$4)^33))*IF(AI159+IF($B$1+33&lt;=$B159,12*$B$9,-12*$B$8*(1+$B$4)^33)&gt;0,1+$B$3,1))</f>
        <v/>
      </c>
      <c r="AK159">
        <f>IF($B$1+34&gt;90,AJ159,(AJ159+IF($B$1+34&lt;=$B159,12*$B$9,-12*$B$8*(1+$B$4)^34))*IF(AJ159+IF($B$1+34&lt;=$B159,12*$B$9,-12*$B$8*(1+$B$4)^34)&gt;0,1+$B$3,1))</f>
        <v/>
      </c>
      <c r="AL159">
        <f>IF($B$1+35&gt;90,AK159,(AK159+IF($B$1+35&lt;=$B159,12*$B$9,-12*$B$8*(1+$B$4)^35))*IF(AK159+IF($B$1+35&lt;=$B159,12*$B$9,-12*$B$8*(1+$B$4)^35)&gt;0,1+$B$3,1))</f>
        <v/>
      </c>
      <c r="AM159">
        <f>IF($B$1+36&gt;90,AL159,(AL159+IF($B$1+36&lt;=$B159,12*$B$9,-12*$B$8*(1+$B$4)^36))*IF(AL159+IF($B$1+36&lt;=$B159,12*$B$9,-12*$B$8*(1+$B$4)^36)&gt;0,1+$B$3,1))</f>
        <v/>
      </c>
      <c r="AN159">
        <f>IF($B$1+37&gt;90,AM159,(AM159+IF($B$1+37&lt;=$B159,12*$B$9,-12*$B$8*(1+$B$4)^37))*IF(AM159+IF($B$1+37&lt;=$B159,12*$B$9,-12*$B$8*(1+$B$4)^37)&gt;0,1+$B$3,1))</f>
        <v/>
      </c>
      <c r="AO159">
        <f>IF($B$1+38&gt;90,AN159,(AN159+IF($B$1+38&lt;=$B159,12*$B$9,-12*$B$8*(1+$B$4)^38))*IF(AN159+IF($B$1+38&lt;=$B159,12*$B$9,-12*$B$8*(1+$B$4)^38)&gt;0,1+$B$3,1))</f>
        <v/>
      </c>
      <c r="AP159">
        <f>IF($B$1+39&gt;90,AO159,(AO159+IF($B$1+39&lt;=$B159,12*$B$9,-12*$B$8*(1+$B$4)^39))*IF(AO159+IF($B$1+39&lt;=$B159,12*$B$9,-12*$B$8*(1+$B$4)^39)&gt;0,1+$B$3,1))</f>
        <v/>
      </c>
      <c r="AQ159">
        <f>IF($B$1+40&gt;90,AP159,(AP159+IF($B$1+40&lt;=$B159,12*$B$9,-12*$B$8*(1+$B$4)^40))*IF(AP159+IF($B$1+40&lt;=$B159,12*$B$9,-12*$B$8*(1+$B$4)^40)&gt;0,1+$B$3,1))</f>
        <v/>
      </c>
      <c r="AR159">
        <f>IF($B$1+41&gt;90,AQ159,(AQ159+IF($B$1+41&lt;=$B159,12*$B$9,-12*$B$8*(1+$B$4)^41))*IF(AQ159+IF($B$1+41&lt;=$B159,12*$B$9,-12*$B$8*(1+$B$4)^41)&gt;0,1+$B$3,1))</f>
        <v/>
      </c>
      <c r="AS159">
        <f>IF($B$1+42&gt;90,AR159,(AR159+IF($B$1+42&lt;=$B159,12*$B$9,-12*$B$8*(1+$B$4)^42))*IF(AR159+IF($B$1+42&lt;=$B159,12*$B$9,-12*$B$8*(1+$B$4)^42)&gt;0,1+$B$3,1))</f>
        <v/>
      </c>
      <c r="AT159">
        <f>IF($B$1+43&gt;90,AS159,(AS159+IF($B$1+43&lt;=$B159,12*$B$9,-12*$B$8*(1+$B$4)^43))*IF(AS159+IF($B$1+43&lt;=$B159,12*$B$9,-12*$B$8*(1+$B$4)^43)&gt;0,1+$B$3,1))</f>
        <v/>
      </c>
      <c r="AU159">
        <f>IF($B$1+44&gt;90,AT159,(AT159+IF($B$1+44&lt;=$B159,12*$B$9,-12*$B$8*(1+$B$4)^44))*IF(AT159+IF($B$1+44&lt;=$B159,12*$B$9,-12*$B$8*(1+$B$4)^44)&gt;0,1+$B$3,1))</f>
        <v/>
      </c>
      <c r="AV159">
        <f>IF($B$1+45&gt;90,AU159,(AU159+IF($B$1+45&lt;=$B159,12*$B$9,-12*$B$8*(1+$B$4)^45))*IF(AU159+IF($B$1+45&lt;=$B159,12*$B$9,-12*$B$8*(1+$B$4)^45)&gt;0,1+$B$3,1))</f>
        <v/>
      </c>
      <c r="AW159">
        <f>IF($B$1+46&gt;90,AV159,(AV159+IF($B$1+46&lt;=$B159,12*$B$9,-12*$B$8*(1+$B$4)^46))*IF(AV159+IF($B$1+46&lt;=$B159,12*$B$9,-12*$B$8*(1+$B$4)^46)&gt;0,1+$B$3,1))</f>
        <v/>
      </c>
      <c r="AX159">
        <f>IF($B$1+47&gt;90,AW159,(AW159+IF($B$1+47&lt;=$B159,12*$B$9,-12*$B$8*(1+$B$4)^47))*IF(AW159+IF($B$1+47&lt;=$B159,12*$B$9,-12*$B$8*(1+$B$4)^47)&gt;0,1+$B$3,1))</f>
        <v/>
      </c>
      <c r="AY159">
        <f>IF($B$1+48&gt;90,AX159,(AX159+IF($B$1+48&lt;=$B159,12*$B$9,-12*$B$8*(1+$B$4)^48))*IF(AX159+IF($B$1+48&lt;=$B159,12*$B$9,-12*$B$8*(1+$B$4)^48)&gt;0,1+$B$3,1))</f>
        <v/>
      </c>
      <c r="AZ159">
        <f>IF($B$1+49&gt;90,AY159,(AY159+IF($B$1+49&lt;=$B159,12*$B$9,-12*$B$8*(1+$B$4)^49))*IF(AY159+IF($B$1+49&lt;=$B159,12*$B$9,-12*$B$8*(1+$B$4)^49)&gt;0,1+$B$3,1))</f>
        <v/>
      </c>
      <c r="BA159">
        <f>IF($B$1+50&gt;90,AZ159,(AZ159+IF($B$1+50&lt;=$B159,12*$B$9,-12*$B$8*(1+$B$4)^50))*IF(AZ159+IF($B$1+50&lt;=$B159,12*$B$9,-12*$B$8*(1+$B$4)^50)&gt;0,1+$B$3,1))</f>
        <v/>
      </c>
      <c r="BB159">
        <f>IF($B$1+51&gt;90,BA159,(BA159+IF($B$1+51&lt;=$B159,12*$B$9,-12*$B$8*(1+$B$4)^51))*IF(BA159+IF($B$1+51&lt;=$B159,12*$B$9,-12*$B$8*(1+$B$4)^51)&gt;0,1+$B$3,1))</f>
        <v/>
      </c>
      <c r="BC159">
        <f>IF($B$1+52&gt;90,BB159,(BB159+IF($B$1+52&lt;=$B159,12*$B$9,-12*$B$8*(1+$B$4)^52))*IF(BB159+IF($B$1+52&lt;=$B159,12*$B$9,-12*$B$8*(1+$B$4)^52)&gt;0,1+$B$3,1))</f>
        <v/>
      </c>
      <c r="BD159">
        <f>IF($B$1+53&gt;90,BC159,(BC159+IF($B$1+53&lt;=$B159,12*$B$9,-12*$B$8*(1+$B$4)^53))*IF(BC159+IF($B$1+53&lt;=$B159,12*$B$9,-12*$B$8*(1+$B$4)^53)&gt;0,1+$B$3,1))</f>
        <v/>
      </c>
      <c r="BE159">
        <f>IF($B$1+54&gt;90,BD159,(BD159+IF($B$1+54&lt;=$B159,12*$B$9,-12*$B$8*(1+$B$4)^54))*IF(BD159+IF($B$1+54&lt;=$B159,12*$B$9,-12*$B$8*(1+$B$4)^54)&gt;0,1+$B$3,1))</f>
        <v/>
      </c>
      <c r="BF159">
        <f>IF($B$1+55&gt;90,BE159,(BE159+IF($B$1+55&lt;=$B159,12*$B$9,-12*$B$8*(1+$B$4)^55))*IF(BE159+IF($B$1+55&lt;=$B159,12*$B$9,-12*$B$8*(1+$B$4)^55)&gt;0,1+$B$3,1))</f>
        <v/>
      </c>
      <c r="BG159">
        <f>IF($B$1+56&gt;90,BF159,(BF159+IF($B$1+56&lt;=$B159,12*$B$9,-12*$B$8*(1+$B$4)^56))*IF(BF159+IF($B$1+56&lt;=$B159,12*$B$9,-12*$B$8*(1+$B$4)^56)&gt;0,1+$B$3,1))</f>
        <v/>
      </c>
      <c r="BH159">
        <f>IF($B$1+57&gt;90,BG159,(BG159+IF($B$1+57&lt;=$B159,12*$B$9,-12*$B$8*(1+$B$4)^57))*IF(BG159+IF($B$1+57&lt;=$B159,12*$B$9,-12*$B$8*(1+$B$4)^57)&gt;0,1+$B$3,1))</f>
        <v/>
      </c>
      <c r="BI159">
        <f>IF($B$1+58&gt;90,BH159,(BH159+IF($B$1+58&lt;=$B159,12*$B$9,-12*$B$8*(1+$B$4)^58))*IF(BH159+IF($B$1+58&lt;=$B159,12*$B$9,-12*$B$8*(1+$B$4)^58)&gt;0,1+$B$3,1))</f>
        <v/>
      </c>
      <c r="BJ159">
        <f>IF($B$1+59&gt;90,BI159,(BI159+IF($B$1+59&lt;=$B159,12*$B$9,-12*$B$8*(1+$B$4)^59))*IF(BI159+IF($B$1+59&lt;=$B159,12*$B$9,-12*$B$8*(1+$B$4)^59)&gt;0,1+$B$3,1))</f>
        <v/>
      </c>
      <c r="BK159">
        <f>IF($B$1+60&gt;90,BJ159,(BJ159+IF($B$1+60&lt;=$B159,12*$B$9,-12*$B$8*(1+$B$4)^60))*IF(BJ159+IF($B$1+60&lt;=$B159,12*$B$9,-12*$B$8*(1+$B$4)^60)&gt;0,1+$B$3,1))</f>
        <v/>
      </c>
      <c r="BL159">
        <f>IF($B$1+61&gt;90,BK159,(BK159+IF($B$1+61&lt;=$B159,12*$B$9,-12*$B$8*(1+$B$4)^61))*IF(BK159+IF($B$1+61&lt;=$B159,12*$B$9,-12*$B$8*(1+$B$4)^61)&gt;0,1+$B$3,1))</f>
        <v/>
      </c>
      <c r="BM159">
        <f>IF($B$1+62&gt;90,BL159,(BL159+IF($B$1+62&lt;=$B159,12*$B$9,-12*$B$8*(1+$B$4)^62))*IF(BL159+IF($B$1+62&lt;=$B159,12*$B$9,-12*$B$8*(1+$B$4)^62)&gt;0,1+$B$3,1))</f>
        <v/>
      </c>
      <c r="BN159">
        <f>IF($B$1+63&gt;90,BM159,(BM159+IF($B$1+63&lt;=$B159,12*$B$9,-12*$B$8*(1+$B$4)^63))*IF(BM159+IF($B$1+63&lt;=$B159,12*$B$9,-12*$B$8*(1+$B$4)^63)&gt;0,1+$B$3,1))</f>
        <v/>
      </c>
      <c r="BO159">
        <f>IF($B$1+64&gt;90,BN159,(BN159+IF($B$1+64&lt;=$B159,12*$B$9,-12*$B$8*(1+$B$4)^64))*IF(BN159+IF($B$1+64&lt;=$B159,12*$B$9,-12*$B$8*(1+$B$4)^64)&gt;0,1+$B$3,1))</f>
        <v/>
      </c>
      <c r="BP159">
        <f>IF($B$1+65&gt;90,BO159,(BO159+IF($B$1+65&lt;=$B159,12*$B$9,-12*$B$8*(1+$B$4)^65))*IF(BO159+IF($B$1+65&lt;=$B159,12*$B$9,-12*$B$8*(1+$B$4)^65)&gt;0,1+$B$3,1))</f>
        <v/>
      </c>
      <c r="BQ159">
        <f>IF($B$1+66&gt;90,BP159,(BP159+IF($B$1+66&lt;=$B159,12*$B$9,-12*$B$8*(1+$B$4)^66))*IF(BP159+IF($B$1+66&lt;=$B159,12*$B$9,-12*$B$8*(1+$B$4)^66)&gt;0,1+$B$3,1))</f>
        <v/>
      </c>
      <c r="BR159">
        <f>IF($B$1+67&gt;90,BQ159,(BQ159+IF($B$1+67&lt;=$B159,12*$B$9,-12*$B$8*(1+$B$4)^67))*IF(BQ159+IF($B$1+67&lt;=$B159,12*$B$9,-12*$B$8*(1+$B$4)^67)&gt;0,1+$B$3,1))</f>
        <v/>
      </c>
      <c r="BS159">
        <f>IF($B$1+68&gt;90,BR159,(BR159+IF($B$1+68&lt;=$B159,12*$B$9,-12*$B$8*(1+$B$4)^68))*IF(BR159+IF($B$1+68&lt;=$B159,12*$B$9,-12*$B$8*(1+$B$4)^68)&gt;0,1+$B$3,1))</f>
        <v/>
      </c>
      <c r="BT159">
        <f>IF($B$1+69&gt;90,BS159,(BS159+IF($B$1+69&lt;=$B159,12*$B$9,-12*$B$8*(1+$B$4)^69))*IF(BS159+IF($B$1+69&lt;=$B159,12*$B$9,-12*$B$8*(1+$B$4)^69)&gt;0,1+$B$3,1))</f>
        <v/>
      </c>
      <c r="BU159">
        <f>IF($B$1+70&gt;90,BT159,(BT159+IF($B$1+70&lt;=$B159,12*$B$9,-12*$B$8*(1+$B$4)^70))*IF(BT159+IF($B$1+70&lt;=$B159,12*$B$9,-12*$B$8*(1+$B$4)^70)&gt;0,1+$B$3,1))</f>
        <v/>
      </c>
      <c r="BV159">
        <f>BU159</f>
        <v/>
      </c>
      <c r="BW159">
        <f>IF(AND($B159&lt;=70,BV159&gt;0),$B159,999)</f>
        <v/>
      </c>
    </row>
    <row r="160">
      <c r="A160" t="n">
        <v>8</v>
      </c>
      <c r="B160">
        <f>$B$1+8</f>
        <v/>
      </c>
      <c r="C160">
        <f>$B$2</f>
        <v/>
      </c>
      <c r="D160">
        <f>IF($B$1+1&gt;90,C160,(C160+IF($B$1+1&lt;=$B160,12*$B$9,-12*$B$8*(1+$B$4)^1))*IF(C160+IF($B$1+1&lt;=$B160,12*$B$9,-12*$B$8*(1+$B$4)^1)&gt;0,1+$B$3,1))</f>
        <v/>
      </c>
      <c r="E160">
        <f>IF($B$1+2&gt;90,D160,(D160+IF($B$1+2&lt;=$B160,12*$B$9,-12*$B$8*(1+$B$4)^2))*IF(D160+IF($B$1+2&lt;=$B160,12*$B$9,-12*$B$8*(1+$B$4)^2)&gt;0,1+$B$3,1))</f>
        <v/>
      </c>
      <c r="F160">
        <f>IF($B$1+3&gt;90,E160,(E160+IF($B$1+3&lt;=$B160,12*$B$9,-12*$B$8*(1+$B$4)^3))*IF(E160+IF($B$1+3&lt;=$B160,12*$B$9,-12*$B$8*(1+$B$4)^3)&gt;0,1+$B$3,1))</f>
        <v/>
      </c>
      <c r="G160">
        <f>IF($B$1+4&gt;90,F160,(F160+IF($B$1+4&lt;=$B160,12*$B$9,-12*$B$8*(1+$B$4)^4))*IF(F160+IF($B$1+4&lt;=$B160,12*$B$9,-12*$B$8*(1+$B$4)^4)&gt;0,1+$B$3,1))</f>
        <v/>
      </c>
      <c r="H160">
        <f>IF($B$1+5&gt;90,G160,(G160+IF($B$1+5&lt;=$B160,12*$B$9,-12*$B$8*(1+$B$4)^5))*IF(G160+IF($B$1+5&lt;=$B160,12*$B$9,-12*$B$8*(1+$B$4)^5)&gt;0,1+$B$3,1))</f>
        <v/>
      </c>
      <c r="I160">
        <f>IF($B$1+6&gt;90,H160,(H160+IF($B$1+6&lt;=$B160,12*$B$9,-12*$B$8*(1+$B$4)^6))*IF(H160+IF($B$1+6&lt;=$B160,12*$B$9,-12*$B$8*(1+$B$4)^6)&gt;0,1+$B$3,1))</f>
        <v/>
      </c>
      <c r="J160">
        <f>IF($B$1+7&gt;90,I160,(I160+IF($B$1+7&lt;=$B160,12*$B$9,-12*$B$8*(1+$B$4)^7))*IF(I160+IF($B$1+7&lt;=$B160,12*$B$9,-12*$B$8*(1+$B$4)^7)&gt;0,1+$B$3,1))</f>
        <v/>
      </c>
      <c r="K160">
        <f>IF($B$1+8&gt;90,J160,(J160+IF($B$1+8&lt;=$B160,12*$B$9,-12*$B$8*(1+$B$4)^8))*IF(J160+IF($B$1+8&lt;=$B160,12*$B$9,-12*$B$8*(1+$B$4)^8)&gt;0,1+$B$3,1))</f>
        <v/>
      </c>
      <c r="L160">
        <f>IF($B$1+9&gt;90,K160,(K160+IF($B$1+9&lt;=$B160,12*$B$9,-12*$B$8*(1+$B$4)^9))*IF(K160+IF($B$1+9&lt;=$B160,12*$B$9,-12*$B$8*(1+$B$4)^9)&gt;0,1+$B$3,1))</f>
        <v/>
      </c>
      <c r="M160">
        <f>IF($B$1+10&gt;90,L160,(L160+IF($B$1+10&lt;=$B160,12*$B$9,-12*$B$8*(1+$B$4)^10))*IF(L160+IF($B$1+10&lt;=$B160,12*$B$9,-12*$B$8*(1+$B$4)^10)&gt;0,1+$B$3,1))</f>
        <v/>
      </c>
      <c r="N160">
        <f>IF($B$1+11&gt;90,M160,(M160+IF($B$1+11&lt;=$B160,12*$B$9,-12*$B$8*(1+$B$4)^11))*IF(M160+IF($B$1+11&lt;=$B160,12*$B$9,-12*$B$8*(1+$B$4)^11)&gt;0,1+$B$3,1))</f>
        <v/>
      </c>
      <c r="O160">
        <f>IF($B$1+12&gt;90,N160,(N160+IF($B$1+12&lt;=$B160,12*$B$9,-12*$B$8*(1+$B$4)^12))*IF(N160+IF($B$1+12&lt;=$B160,12*$B$9,-12*$B$8*(1+$B$4)^12)&gt;0,1+$B$3,1))</f>
        <v/>
      </c>
      <c r="P160">
        <f>IF($B$1+13&gt;90,O160,(O160+IF($B$1+13&lt;=$B160,12*$B$9,-12*$B$8*(1+$B$4)^13))*IF(O160+IF($B$1+13&lt;=$B160,12*$B$9,-12*$B$8*(1+$B$4)^13)&gt;0,1+$B$3,1))</f>
        <v/>
      </c>
      <c r="Q160">
        <f>IF($B$1+14&gt;90,P160,(P160+IF($B$1+14&lt;=$B160,12*$B$9,-12*$B$8*(1+$B$4)^14))*IF(P160+IF($B$1+14&lt;=$B160,12*$B$9,-12*$B$8*(1+$B$4)^14)&gt;0,1+$B$3,1))</f>
        <v/>
      </c>
      <c r="R160">
        <f>IF($B$1+15&gt;90,Q160,(Q160+IF($B$1+15&lt;=$B160,12*$B$9,-12*$B$8*(1+$B$4)^15))*IF(Q160+IF($B$1+15&lt;=$B160,12*$B$9,-12*$B$8*(1+$B$4)^15)&gt;0,1+$B$3,1))</f>
        <v/>
      </c>
      <c r="S160">
        <f>IF($B$1+16&gt;90,R160,(R160+IF($B$1+16&lt;=$B160,12*$B$9,-12*$B$8*(1+$B$4)^16))*IF(R160+IF($B$1+16&lt;=$B160,12*$B$9,-12*$B$8*(1+$B$4)^16)&gt;0,1+$B$3,1))</f>
        <v/>
      </c>
      <c r="T160">
        <f>IF($B$1+17&gt;90,S160,(S160+IF($B$1+17&lt;=$B160,12*$B$9,-12*$B$8*(1+$B$4)^17))*IF(S160+IF($B$1+17&lt;=$B160,12*$B$9,-12*$B$8*(1+$B$4)^17)&gt;0,1+$B$3,1))</f>
        <v/>
      </c>
      <c r="U160">
        <f>IF($B$1+18&gt;90,T160,(T160+IF($B$1+18&lt;=$B160,12*$B$9,-12*$B$8*(1+$B$4)^18))*IF(T160+IF($B$1+18&lt;=$B160,12*$B$9,-12*$B$8*(1+$B$4)^18)&gt;0,1+$B$3,1))</f>
        <v/>
      </c>
      <c r="V160">
        <f>IF($B$1+19&gt;90,U160,(U160+IF($B$1+19&lt;=$B160,12*$B$9,-12*$B$8*(1+$B$4)^19))*IF(U160+IF($B$1+19&lt;=$B160,12*$B$9,-12*$B$8*(1+$B$4)^19)&gt;0,1+$B$3,1))</f>
        <v/>
      </c>
      <c r="W160">
        <f>IF($B$1+20&gt;90,V160,(V160+IF($B$1+20&lt;=$B160,12*$B$9,-12*$B$8*(1+$B$4)^20))*IF(V160+IF($B$1+20&lt;=$B160,12*$B$9,-12*$B$8*(1+$B$4)^20)&gt;0,1+$B$3,1))</f>
        <v/>
      </c>
      <c r="X160">
        <f>IF($B$1+21&gt;90,W160,(W160+IF($B$1+21&lt;=$B160,12*$B$9,-12*$B$8*(1+$B$4)^21))*IF(W160+IF($B$1+21&lt;=$B160,12*$B$9,-12*$B$8*(1+$B$4)^21)&gt;0,1+$B$3,1))</f>
        <v/>
      </c>
      <c r="Y160">
        <f>IF($B$1+22&gt;90,X160,(X160+IF($B$1+22&lt;=$B160,12*$B$9,-12*$B$8*(1+$B$4)^22))*IF(X160+IF($B$1+22&lt;=$B160,12*$B$9,-12*$B$8*(1+$B$4)^22)&gt;0,1+$B$3,1))</f>
        <v/>
      </c>
      <c r="Z160">
        <f>IF($B$1+23&gt;90,Y160,(Y160+IF($B$1+23&lt;=$B160,12*$B$9,-12*$B$8*(1+$B$4)^23))*IF(Y160+IF($B$1+23&lt;=$B160,12*$B$9,-12*$B$8*(1+$B$4)^23)&gt;0,1+$B$3,1))</f>
        <v/>
      </c>
      <c r="AA160">
        <f>IF($B$1+24&gt;90,Z160,(Z160+IF($B$1+24&lt;=$B160,12*$B$9,-12*$B$8*(1+$B$4)^24))*IF(Z160+IF($B$1+24&lt;=$B160,12*$B$9,-12*$B$8*(1+$B$4)^24)&gt;0,1+$B$3,1))</f>
        <v/>
      </c>
      <c r="AB160">
        <f>IF($B$1+25&gt;90,AA160,(AA160+IF($B$1+25&lt;=$B160,12*$B$9,-12*$B$8*(1+$B$4)^25))*IF(AA160+IF($B$1+25&lt;=$B160,12*$B$9,-12*$B$8*(1+$B$4)^25)&gt;0,1+$B$3,1))</f>
        <v/>
      </c>
      <c r="AC160">
        <f>IF($B$1+26&gt;90,AB160,(AB160+IF($B$1+26&lt;=$B160,12*$B$9,-12*$B$8*(1+$B$4)^26))*IF(AB160+IF($B$1+26&lt;=$B160,12*$B$9,-12*$B$8*(1+$B$4)^26)&gt;0,1+$B$3,1))</f>
        <v/>
      </c>
      <c r="AD160">
        <f>IF($B$1+27&gt;90,AC160,(AC160+IF($B$1+27&lt;=$B160,12*$B$9,-12*$B$8*(1+$B$4)^27))*IF(AC160+IF($B$1+27&lt;=$B160,12*$B$9,-12*$B$8*(1+$B$4)^27)&gt;0,1+$B$3,1))</f>
        <v/>
      </c>
      <c r="AE160">
        <f>IF($B$1+28&gt;90,AD160,(AD160+IF($B$1+28&lt;=$B160,12*$B$9,-12*$B$8*(1+$B$4)^28))*IF(AD160+IF($B$1+28&lt;=$B160,12*$B$9,-12*$B$8*(1+$B$4)^28)&gt;0,1+$B$3,1))</f>
        <v/>
      </c>
      <c r="AF160">
        <f>IF($B$1+29&gt;90,AE160,(AE160+IF($B$1+29&lt;=$B160,12*$B$9,-12*$B$8*(1+$B$4)^29))*IF(AE160+IF($B$1+29&lt;=$B160,12*$B$9,-12*$B$8*(1+$B$4)^29)&gt;0,1+$B$3,1))</f>
        <v/>
      </c>
      <c r="AG160">
        <f>IF($B$1+30&gt;90,AF160,(AF160+IF($B$1+30&lt;=$B160,12*$B$9,-12*$B$8*(1+$B$4)^30))*IF(AF160+IF($B$1+30&lt;=$B160,12*$B$9,-12*$B$8*(1+$B$4)^30)&gt;0,1+$B$3,1))</f>
        <v/>
      </c>
      <c r="AH160">
        <f>IF($B$1+31&gt;90,AG160,(AG160+IF($B$1+31&lt;=$B160,12*$B$9,-12*$B$8*(1+$B$4)^31))*IF(AG160+IF($B$1+31&lt;=$B160,12*$B$9,-12*$B$8*(1+$B$4)^31)&gt;0,1+$B$3,1))</f>
        <v/>
      </c>
      <c r="AI160">
        <f>IF($B$1+32&gt;90,AH160,(AH160+IF($B$1+32&lt;=$B160,12*$B$9,-12*$B$8*(1+$B$4)^32))*IF(AH160+IF($B$1+32&lt;=$B160,12*$B$9,-12*$B$8*(1+$B$4)^32)&gt;0,1+$B$3,1))</f>
        <v/>
      </c>
      <c r="AJ160">
        <f>IF($B$1+33&gt;90,AI160,(AI160+IF($B$1+33&lt;=$B160,12*$B$9,-12*$B$8*(1+$B$4)^33))*IF(AI160+IF($B$1+33&lt;=$B160,12*$B$9,-12*$B$8*(1+$B$4)^33)&gt;0,1+$B$3,1))</f>
        <v/>
      </c>
      <c r="AK160">
        <f>IF($B$1+34&gt;90,AJ160,(AJ160+IF($B$1+34&lt;=$B160,12*$B$9,-12*$B$8*(1+$B$4)^34))*IF(AJ160+IF($B$1+34&lt;=$B160,12*$B$9,-12*$B$8*(1+$B$4)^34)&gt;0,1+$B$3,1))</f>
        <v/>
      </c>
      <c r="AL160">
        <f>IF($B$1+35&gt;90,AK160,(AK160+IF($B$1+35&lt;=$B160,12*$B$9,-12*$B$8*(1+$B$4)^35))*IF(AK160+IF($B$1+35&lt;=$B160,12*$B$9,-12*$B$8*(1+$B$4)^35)&gt;0,1+$B$3,1))</f>
        <v/>
      </c>
      <c r="AM160">
        <f>IF($B$1+36&gt;90,AL160,(AL160+IF($B$1+36&lt;=$B160,12*$B$9,-12*$B$8*(1+$B$4)^36))*IF(AL160+IF($B$1+36&lt;=$B160,12*$B$9,-12*$B$8*(1+$B$4)^36)&gt;0,1+$B$3,1))</f>
        <v/>
      </c>
      <c r="AN160">
        <f>IF($B$1+37&gt;90,AM160,(AM160+IF($B$1+37&lt;=$B160,12*$B$9,-12*$B$8*(1+$B$4)^37))*IF(AM160+IF($B$1+37&lt;=$B160,12*$B$9,-12*$B$8*(1+$B$4)^37)&gt;0,1+$B$3,1))</f>
        <v/>
      </c>
      <c r="AO160">
        <f>IF($B$1+38&gt;90,AN160,(AN160+IF($B$1+38&lt;=$B160,12*$B$9,-12*$B$8*(1+$B$4)^38))*IF(AN160+IF($B$1+38&lt;=$B160,12*$B$9,-12*$B$8*(1+$B$4)^38)&gt;0,1+$B$3,1))</f>
        <v/>
      </c>
      <c r="AP160">
        <f>IF($B$1+39&gt;90,AO160,(AO160+IF($B$1+39&lt;=$B160,12*$B$9,-12*$B$8*(1+$B$4)^39))*IF(AO160+IF($B$1+39&lt;=$B160,12*$B$9,-12*$B$8*(1+$B$4)^39)&gt;0,1+$B$3,1))</f>
        <v/>
      </c>
      <c r="AQ160">
        <f>IF($B$1+40&gt;90,AP160,(AP160+IF($B$1+40&lt;=$B160,12*$B$9,-12*$B$8*(1+$B$4)^40))*IF(AP160+IF($B$1+40&lt;=$B160,12*$B$9,-12*$B$8*(1+$B$4)^40)&gt;0,1+$B$3,1))</f>
        <v/>
      </c>
      <c r="AR160">
        <f>IF($B$1+41&gt;90,AQ160,(AQ160+IF($B$1+41&lt;=$B160,12*$B$9,-12*$B$8*(1+$B$4)^41))*IF(AQ160+IF($B$1+41&lt;=$B160,12*$B$9,-12*$B$8*(1+$B$4)^41)&gt;0,1+$B$3,1))</f>
        <v/>
      </c>
      <c r="AS160">
        <f>IF($B$1+42&gt;90,AR160,(AR160+IF($B$1+42&lt;=$B160,12*$B$9,-12*$B$8*(1+$B$4)^42))*IF(AR160+IF($B$1+42&lt;=$B160,12*$B$9,-12*$B$8*(1+$B$4)^42)&gt;0,1+$B$3,1))</f>
        <v/>
      </c>
      <c r="AT160">
        <f>IF($B$1+43&gt;90,AS160,(AS160+IF($B$1+43&lt;=$B160,12*$B$9,-12*$B$8*(1+$B$4)^43))*IF(AS160+IF($B$1+43&lt;=$B160,12*$B$9,-12*$B$8*(1+$B$4)^43)&gt;0,1+$B$3,1))</f>
        <v/>
      </c>
      <c r="AU160">
        <f>IF($B$1+44&gt;90,AT160,(AT160+IF($B$1+44&lt;=$B160,12*$B$9,-12*$B$8*(1+$B$4)^44))*IF(AT160+IF($B$1+44&lt;=$B160,12*$B$9,-12*$B$8*(1+$B$4)^44)&gt;0,1+$B$3,1))</f>
        <v/>
      </c>
      <c r="AV160">
        <f>IF($B$1+45&gt;90,AU160,(AU160+IF($B$1+45&lt;=$B160,12*$B$9,-12*$B$8*(1+$B$4)^45))*IF(AU160+IF($B$1+45&lt;=$B160,12*$B$9,-12*$B$8*(1+$B$4)^45)&gt;0,1+$B$3,1))</f>
        <v/>
      </c>
      <c r="AW160">
        <f>IF($B$1+46&gt;90,AV160,(AV160+IF($B$1+46&lt;=$B160,12*$B$9,-12*$B$8*(1+$B$4)^46))*IF(AV160+IF($B$1+46&lt;=$B160,12*$B$9,-12*$B$8*(1+$B$4)^46)&gt;0,1+$B$3,1))</f>
        <v/>
      </c>
      <c r="AX160">
        <f>IF($B$1+47&gt;90,AW160,(AW160+IF($B$1+47&lt;=$B160,12*$B$9,-12*$B$8*(1+$B$4)^47))*IF(AW160+IF($B$1+47&lt;=$B160,12*$B$9,-12*$B$8*(1+$B$4)^47)&gt;0,1+$B$3,1))</f>
        <v/>
      </c>
      <c r="AY160">
        <f>IF($B$1+48&gt;90,AX160,(AX160+IF($B$1+48&lt;=$B160,12*$B$9,-12*$B$8*(1+$B$4)^48))*IF(AX160+IF($B$1+48&lt;=$B160,12*$B$9,-12*$B$8*(1+$B$4)^48)&gt;0,1+$B$3,1))</f>
        <v/>
      </c>
      <c r="AZ160">
        <f>IF($B$1+49&gt;90,AY160,(AY160+IF($B$1+49&lt;=$B160,12*$B$9,-12*$B$8*(1+$B$4)^49))*IF(AY160+IF($B$1+49&lt;=$B160,12*$B$9,-12*$B$8*(1+$B$4)^49)&gt;0,1+$B$3,1))</f>
        <v/>
      </c>
      <c r="BA160">
        <f>IF($B$1+50&gt;90,AZ160,(AZ160+IF($B$1+50&lt;=$B160,12*$B$9,-12*$B$8*(1+$B$4)^50))*IF(AZ160+IF($B$1+50&lt;=$B160,12*$B$9,-12*$B$8*(1+$B$4)^50)&gt;0,1+$B$3,1))</f>
        <v/>
      </c>
      <c r="BB160">
        <f>IF($B$1+51&gt;90,BA160,(BA160+IF($B$1+51&lt;=$B160,12*$B$9,-12*$B$8*(1+$B$4)^51))*IF(BA160+IF($B$1+51&lt;=$B160,12*$B$9,-12*$B$8*(1+$B$4)^51)&gt;0,1+$B$3,1))</f>
        <v/>
      </c>
      <c r="BC160">
        <f>IF($B$1+52&gt;90,BB160,(BB160+IF($B$1+52&lt;=$B160,12*$B$9,-12*$B$8*(1+$B$4)^52))*IF(BB160+IF($B$1+52&lt;=$B160,12*$B$9,-12*$B$8*(1+$B$4)^52)&gt;0,1+$B$3,1))</f>
        <v/>
      </c>
      <c r="BD160">
        <f>IF($B$1+53&gt;90,BC160,(BC160+IF($B$1+53&lt;=$B160,12*$B$9,-12*$B$8*(1+$B$4)^53))*IF(BC160+IF($B$1+53&lt;=$B160,12*$B$9,-12*$B$8*(1+$B$4)^53)&gt;0,1+$B$3,1))</f>
        <v/>
      </c>
      <c r="BE160">
        <f>IF($B$1+54&gt;90,BD160,(BD160+IF($B$1+54&lt;=$B160,12*$B$9,-12*$B$8*(1+$B$4)^54))*IF(BD160+IF($B$1+54&lt;=$B160,12*$B$9,-12*$B$8*(1+$B$4)^54)&gt;0,1+$B$3,1))</f>
        <v/>
      </c>
      <c r="BF160">
        <f>IF($B$1+55&gt;90,BE160,(BE160+IF($B$1+55&lt;=$B160,12*$B$9,-12*$B$8*(1+$B$4)^55))*IF(BE160+IF($B$1+55&lt;=$B160,12*$B$9,-12*$B$8*(1+$B$4)^55)&gt;0,1+$B$3,1))</f>
        <v/>
      </c>
      <c r="BG160">
        <f>IF($B$1+56&gt;90,BF160,(BF160+IF($B$1+56&lt;=$B160,12*$B$9,-12*$B$8*(1+$B$4)^56))*IF(BF160+IF($B$1+56&lt;=$B160,12*$B$9,-12*$B$8*(1+$B$4)^56)&gt;0,1+$B$3,1))</f>
        <v/>
      </c>
      <c r="BH160">
        <f>IF($B$1+57&gt;90,BG160,(BG160+IF($B$1+57&lt;=$B160,12*$B$9,-12*$B$8*(1+$B$4)^57))*IF(BG160+IF($B$1+57&lt;=$B160,12*$B$9,-12*$B$8*(1+$B$4)^57)&gt;0,1+$B$3,1))</f>
        <v/>
      </c>
      <c r="BI160">
        <f>IF($B$1+58&gt;90,BH160,(BH160+IF($B$1+58&lt;=$B160,12*$B$9,-12*$B$8*(1+$B$4)^58))*IF(BH160+IF($B$1+58&lt;=$B160,12*$B$9,-12*$B$8*(1+$B$4)^58)&gt;0,1+$B$3,1))</f>
        <v/>
      </c>
      <c r="BJ160">
        <f>IF($B$1+59&gt;90,BI160,(BI160+IF($B$1+59&lt;=$B160,12*$B$9,-12*$B$8*(1+$B$4)^59))*IF(BI160+IF($B$1+59&lt;=$B160,12*$B$9,-12*$B$8*(1+$B$4)^59)&gt;0,1+$B$3,1))</f>
        <v/>
      </c>
      <c r="BK160">
        <f>IF($B$1+60&gt;90,BJ160,(BJ160+IF($B$1+60&lt;=$B160,12*$B$9,-12*$B$8*(1+$B$4)^60))*IF(BJ160+IF($B$1+60&lt;=$B160,12*$B$9,-12*$B$8*(1+$B$4)^60)&gt;0,1+$B$3,1))</f>
        <v/>
      </c>
      <c r="BL160">
        <f>IF($B$1+61&gt;90,BK160,(BK160+IF($B$1+61&lt;=$B160,12*$B$9,-12*$B$8*(1+$B$4)^61))*IF(BK160+IF($B$1+61&lt;=$B160,12*$B$9,-12*$B$8*(1+$B$4)^61)&gt;0,1+$B$3,1))</f>
        <v/>
      </c>
      <c r="BM160">
        <f>IF($B$1+62&gt;90,BL160,(BL160+IF($B$1+62&lt;=$B160,12*$B$9,-12*$B$8*(1+$B$4)^62))*IF(BL160+IF($B$1+62&lt;=$B160,12*$B$9,-12*$B$8*(1+$B$4)^62)&gt;0,1+$B$3,1))</f>
        <v/>
      </c>
      <c r="BN160">
        <f>IF($B$1+63&gt;90,BM160,(BM160+IF($B$1+63&lt;=$B160,12*$B$9,-12*$B$8*(1+$B$4)^63))*IF(BM160+IF($B$1+63&lt;=$B160,12*$B$9,-12*$B$8*(1+$B$4)^63)&gt;0,1+$B$3,1))</f>
        <v/>
      </c>
      <c r="BO160">
        <f>IF($B$1+64&gt;90,BN160,(BN160+IF($B$1+64&lt;=$B160,12*$B$9,-12*$B$8*(1+$B$4)^64))*IF(BN160+IF($B$1+64&lt;=$B160,12*$B$9,-12*$B$8*(1+$B$4)^64)&gt;0,1+$B$3,1))</f>
        <v/>
      </c>
      <c r="BP160">
        <f>IF($B$1+65&gt;90,BO160,(BO160+IF($B$1+65&lt;=$B160,12*$B$9,-12*$B$8*(1+$B$4)^65))*IF(BO160+IF($B$1+65&lt;=$B160,12*$B$9,-12*$B$8*(1+$B$4)^65)&gt;0,1+$B$3,1))</f>
        <v/>
      </c>
      <c r="BQ160">
        <f>IF($B$1+66&gt;90,BP160,(BP160+IF($B$1+66&lt;=$B160,12*$B$9,-12*$B$8*(1+$B$4)^66))*IF(BP160+IF($B$1+66&lt;=$B160,12*$B$9,-12*$B$8*(1+$B$4)^66)&gt;0,1+$B$3,1))</f>
        <v/>
      </c>
      <c r="BR160">
        <f>IF($B$1+67&gt;90,BQ160,(BQ160+IF($B$1+67&lt;=$B160,12*$B$9,-12*$B$8*(1+$B$4)^67))*IF(BQ160+IF($B$1+67&lt;=$B160,12*$B$9,-12*$B$8*(1+$B$4)^67)&gt;0,1+$B$3,1))</f>
        <v/>
      </c>
      <c r="BS160">
        <f>IF($B$1+68&gt;90,BR160,(BR160+IF($B$1+68&lt;=$B160,12*$B$9,-12*$B$8*(1+$B$4)^68))*IF(BR160+IF($B$1+68&lt;=$B160,12*$B$9,-12*$B$8*(1+$B$4)^68)&gt;0,1+$B$3,1))</f>
        <v/>
      </c>
      <c r="BT160">
        <f>IF($B$1+69&gt;90,BS160,(BS160+IF($B$1+69&lt;=$B160,12*$B$9,-12*$B$8*(1+$B$4)^69))*IF(BS160+IF($B$1+69&lt;=$B160,12*$B$9,-12*$B$8*(1+$B$4)^69)&gt;0,1+$B$3,1))</f>
        <v/>
      </c>
      <c r="BU160">
        <f>IF($B$1+70&gt;90,BT160,(BT160+IF($B$1+70&lt;=$B160,12*$B$9,-12*$B$8*(1+$B$4)^70))*IF(BT160+IF($B$1+70&lt;=$B160,12*$B$9,-12*$B$8*(1+$B$4)^70)&gt;0,1+$B$3,1))</f>
        <v/>
      </c>
      <c r="BV160">
        <f>BU160</f>
        <v/>
      </c>
      <c r="BW160">
        <f>IF(AND($B160&lt;=70,BV160&gt;0),$B160,999)</f>
        <v/>
      </c>
    </row>
    <row r="161">
      <c r="A161" t="n">
        <v>9</v>
      </c>
      <c r="B161">
        <f>$B$1+9</f>
        <v/>
      </c>
      <c r="C161">
        <f>$B$2</f>
        <v/>
      </c>
      <c r="D161">
        <f>IF($B$1+1&gt;90,C161,(C161+IF($B$1+1&lt;=$B161,12*$B$9,-12*$B$8*(1+$B$4)^1))*IF(C161+IF($B$1+1&lt;=$B161,12*$B$9,-12*$B$8*(1+$B$4)^1)&gt;0,1+$B$3,1))</f>
        <v/>
      </c>
      <c r="E161">
        <f>IF($B$1+2&gt;90,D161,(D161+IF($B$1+2&lt;=$B161,12*$B$9,-12*$B$8*(1+$B$4)^2))*IF(D161+IF($B$1+2&lt;=$B161,12*$B$9,-12*$B$8*(1+$B$4)^2)&gt;0,1+$B$3,1))</f>
        <v/>
      </c>
      <c r="F161">
        <f>IF($B$1+3&gt;90,E161,(E161+IF($B$1+3&lt;=$B161,12*$B$9,-12*$B$8*(1+$B$4)^3))*IF(E161+IF($B$1+3&lt;=$B161,12*$B$9,-12*$B$8*(1+$B$4)^3)&gt;0,1+$B$3,1))</f>
        <v/>
      </c>
      <c r="G161">
        <f>IF($B$1+4&gt;90,F161,(F161+IF($B$1+4&lt;=$B161,12*$B$9,-12*$B$8*(1+$B$4)^4))*IF(F161+IF($B$1+4&lt;=$B161,12*$B$9,-12*$B$8*(1+$B$4)^4)&gt;0,1+$B$3,1))</f>
        <v/>
      </c>
      <c r="H161">
        <f>IF($B$1+5&gt;90,G161,(G161+IF($B$1+5&lt;=$B161,12*$B$9,-12*$B$8*(1+$B$4)^5))*IF(G161+IF($B$1+5&lt;=$B161,12*$B$9,-12*$B$8*(1+$B$4)^5)&gt;0,1+$B$3,1))</f>
        <v/>
      </c>
      <c r="I161">
        <f>IF($B$1+6&gt;90,H161,(H161+IF($B$1+6&lt;=$B161,12*$B$9,-12*$B$8*(1+$B$4)^6))*IF(H161+IF($B$1+6&lt;=$B161,12*$B$9,-12*$B$8*(1+$B$4)^6)&gt;0,1+$B$3,1))</f>
        <v/>
      </c>
      <c r="J161">
        <f>IF($B$1+7&gt;90,I161,(I161+IF($B$1+7&lt;=$B161,12*$B$9,-12*$B$8*(1+$B$4)^7))*IF(I161+IF($B$1+7&lt;=$B161,12*$B$9,-12*$B$8*(1+$B$4)^7)&gt;0,1+$B$3,1))</f>
        <v/>
      </c>
      <c r="K161">
        <f>IF($B$1+8&gt;90,J161,(J161+IF($B$1+8&lt;=$B161,12*$B$9,-12*$B$8*(1+$B$4)^8))*IF(J161+IF($B$1+8&lt;=$B161,12*$B$9,-12*$B$8*(1+$B$4)^8)&gt;0,1+$B$3,1))</f>
        <v/>
      </c>
      <c r="L161">
        <f>IF($B$1+9&gt;90,K161,(K161+IF($B$1+9&lt;=$B161,12*$B$9,-12*$B$8*(1+$B$4)^9))*IF(K161+IF($B$1+9&lt;=$B161,12*$B$9,-12*$B$8*(1+$B$4)^9)&gt;0,1+$B$3,1))</f>
        <v/>
      </c>
      <c r="M161">
        <f>IF($B$1+10&gt;90,L161,(L161+IF($B$1+10&lt;=$B161,12*$B$9,-12*$B$8*(1+$B$4)^10))*IF(L161+IF($B$1+10&lt;=$B161,12*$B$9,-12*$B$8*(1+$B$4)^10)&gt;0,1+$B$3,1))</f>
        <v/>
      </c>
      <c r="N161">
        <f>IF($B$1+11&gt;90,M161,(M161+IF($B$1+11&lt;=$B161,12*$B$9,-12*$B$8*(1+$B$4)^11))*IF(M161+IF($B$1+11&lt;=$B161,12*$B$9,-12*$B$8*(1+$B$4)^11)&gt;0,1+$B$3,1))</f>
        <v/>
      </c>
      <c r="O161">
        <f>IF($B$1+12&gt;90,N161,(N161+IF($B$1+12&lt;=$B161,12*$B$9,-12*$B$8*(1+$B$4)^12))*IF(N161+IF($B$1+12&lt;=$B161,12*$B$9,-12*$B$8*(1+$B$4)^12)&gt;0,1+$B$3,1))</f>
        <v/>
      </c>
      <c r="P161">
        <f>IF($B$1+13&gt;90,O161,(O161+IF($B$1+13&lt;=$B161,12*$B$9,-12*$B$8*(1+$B$4)^13))*IF(O161+IF($B$1+13&lt;=$B161,12*$B$9,-12*$B$8*(1+$B$4)^13)&gt;0,1+$B$3,1))</f>
        <v/>
      </c>
      <c r="Q161">
        <f>IF($B$1+14&gt;90,P161,(P161+IF($B$1+14&lt;=$B161,12*$B$9,-12*$B$8*(1+$B$4)^14))*IF(P161+IF($B$1+14&lt;=$B161,12*$B$9,-12*$B$8*(1+$B$4)^14)&gt;0,1+$B$3,1))</f>
        <v/>
      </c>
      <c r="R161">
        <f>IF($B$1+15&gt;90,Q161,(Q161+IF($B$1+15&lt;=$B161,12*$B$9,-12*$B$8*(1+$B$4)^15))*IF(Q161+IF($B$1+15&lt;=$B161,12*$B$9,-12*$B$8*(1+$B$4)^15)&gt;0,1+$B$3,1))</f>
        <v/>
      </c>
      <c r="S161">
        <f>IF($B$1+16&gt;90,R161,(R161+IF($B$1+16&lt;=$B161,12*$B$9,-12*$B$8*(1+$B$4)^16))*IF(R161+IF($B$1+16&lt;=$B161,12*$B$9,-12*$B$8*(1+$B$4)^16)&gt;0,1+$B$3,1))</f>
        <v/>
      </c>
      <c r="T161">
        <f>IF($B$1+17&gt;90,S161,(S161+IF($B$1+17&lt;=$B161,12*$B$9,-12*$B$8*(1+$B$4)^17))*IF(S161+IF($B$1+17&lt;=$B161,12*$B$9,-12*$B$8*(1+$B$4)^17)&gt;0,1+$B$3,1))</f>
        <v/>
      </c>
      <c r="U161">
        <f>IF($B$1+18&gt;90,T161,(T161+IF($B$1+18&lt;=$B161,12*$B$9,-12*$B$8*(1+$B$4)^18))*IF(T161+IF($B$1+18&lt;=$B161,12*$B$9,-12*$B$8*(1+$B$4)^18)&gt;0,1+$B$3,1))</f>
        <v/>
      </c>
      <c r="V161">
        <f>IF($B$1+19&gt;90,U161,(U161+IF($B$1+19&lt;=$B161,12*$B$9,-12*$B$8*(1+$B$4)^19))*IF(U161+IF($B$1+19&lt;=$B161,12*$B$9,-12*$B$8*(1+$B$4)^19)&gt;0,1+$B$3,1))</f>
        <v/>
      </c>
      <c r="W161">
        <f>IF($B$1+20&gt;90,V161,(V161+IF($B$1+20&lt;=$B161,12*$B$9,-12*$B$8*(1+$B$4)^20))*IF(V161+IF($B$1+20&lt;=$B161,12*$B$9,-12*$B$8*(1+$B$4)^20)&gt;0,1+$B$3,1))</f>
        <v/>
      </c>
      <c r="X161">
        <f>IF($B$1+21&gt;90,W161,(W161+IF($B$1+21&lt;=$B161,12*$B$9,-12*$B$8*(1+$B$4)^21))*IF(W161+IF($B$1+21&lt;=$B161,12*$B$9,-12*$B$8*(1+$B$4)^21)&gt;0,1+$B$3,1))</f>
        <v/>
      </c>
      <c r="Y161">
        <f>IF($B$1+22&gt;90,X161,(X161+IF($B$1+22&lt;=$B161,12*$B$9,-12*$B$8*(1+$B$4)^22))*IF(X161+IF($B$1+22&lt;=$B161,12*$B$9,-12*$B$8*(1+$B$4)^22)&gt;0,1+$B$3,1))</f>
        <v/>
      </c>
      <c r="Z161">
        <f>IF($B$1+23&gt;90,Y161,(Y161+IF($B$1+23&lt;=$B161,12*$B$9,-12*$B$8*(1+$B$4)^23))*IF(Y161+IF($B$1+23&lt;=$B161,12*$B$9,-12*$B$8*(1+$B$4)^23)&gt;0,1+$B$3,1))</f>
        <v/>
      </c>
      <c r="AA161">
        <f>IF($B$1+24&gt;90,Z161,(Z161+IF($B$1+24&lt;=$B161,12*$B$9,-12*$B$8*(1+$B$4)^24))*IF(Z161+IF($B$1+24&lt;=$B161,12*$B$9,-12*$B$8*(1+$B$4)^24)&gt;0,1+$B$3,1))</f>
        <v/>
      </c>
      <c r="AB161">
        <f>IF($B$1+25&gt;90,AA161,(AA161+IF($B$1+25&lt;=$B161,12*$B$9,-12*$B$8*(1+$B$4)^25))*IF(AA161+IF($B$1+25&lt;=$B161,12*$B$9,-12*$B$8*(1+$B$4)^25)&gt;0,1+$B$3,1))</f>
        <v/>
      </c>
      <c r="AC161">
        <f>IF($B$1+26&gt;90,AB161,(AB161+IF($B$1+26&lt;=$B161,12*$B$9,-12*$B$8*(1+$B$4)^26))*IF(AB161+IF($B$1+26&lt;=$B161,12*$B$9,-12*$B$8*(1+$B$4)^26)&gt;0,1+$B$3,1))</f>
        <v/>
      </c>
      <c r="AD161">
        <f>IF($B$1+27&gt;90,AC161,(AC161+IF($B$1+27&lt;=$B161,12*$B$9,-12*$B$8*(1+$B$4)^27))*IF(AC161+IF($B$1+27&lt;=$B161,12*$B$9,-12*$B$8*(1+$B$4)^27)&gt;0,1+$B$3,1))</f>
        <v/>
      </c>
      <c r="AE161">
        <f>IF($B$1+28&gt;90,AD161,(AD161+IF($B$1+28&lt;=$B161,12*$B$9,-12*$B$8*(1+$B$4)^28))*IF(AD161+IF($B$1+28&lt;=$B161,12*$B$9,-12*$B$8*(1+$B$4)^28)&gt;0,1+$B$3,1))</f>
        <v/>
      </c>
      <c r="AF161">
        <f>IF($B$1+29&gt;90,AE161,(AE161+IF($B$1+29&lt;=$B161,12*$B$9,-12*$B$8*(1+$B$4)^29))*IF(AE161+IF($B$1+29&lt;=$B161,12*$B$9,-12*$B$8*(1+$B$4)^29)&gt;0,1+$B$3,1))</f>
        <v/>
      </c>
      <c r="AG161">
        <f>IF($B$1+30&gt;90,AF161,(AF161+IF($B$1+30&lt;=$B161,12*$B$9,-12*$B$8*(1+$B$4)^30))*IF(AF161+IF($B$1+30&lt;=$B161,12*$B$9,-12*$B$8*(1+$B$4)^30)&gt;0,1+$B$3,1))</f>
        <v/>
      </c>
      <c r="AH161">
        <f>IF($B$1+31&gt;90,AG161,(AG161+IF($B$1+31&lt;=$B161,12*$B$9,-12*$B$8*(1+$B$4)^31))*IF(AG161+IF($B$1+31&lt;=$B161,12*$B$9,-12*$B$8*(1+$B$4)^31)&gt;0,1+$B$3,1))</f>
        <v/>
      </c>
      <c r="AI161">
        <f>IF($B$1+32&gt;90,AH161,(AH161+IF($B$1+32&lt;=$B161,12*$B$9,-12*$B$8*(1+$B$4)^32))*IF(AH161+IF($B$1+32&lt;=$B161,12*$B$9,-12*$B$8*(1+$B$4)^32)&gt;0,1+$B$3,1))</f>
        <v/>
      </c>
      <c r="AJ161">
        <f>IF($B$1+33&gt;90,AI161,(AI161+IF($B$1+33&lt;=$B161,12*$B$9,-12*$B$8*(1+$B$4)^33))*IF(AI161+IF($B$1+33&lt;=$B161,12*$B$9,-12*$B$8*(1+$B$4)^33)&gt;0,1+$B$3,1))</f>
        <v/>
      </c>
      <c r="AK161">
        <f>IF($B$1+34&gt;90,AJ161,(AJ161+IF($B$1+34&lt;=$B161,12*$B$9,-12*$B$8*(1+$B$4)^34))*IF(AJ161+IF($B$1+34&lt;=$B161,12*$B$9,-12*$B$8*(1+$B$4)^34)&gt;0,1+$B$3,1))</f>
        <v/>
      </c>
      <c r="AL161">
        <f>IF($B$1+35&gt;90,AK161,(AK161+IF($B$1+35&lt;=$B161,12*$B$9,-12*$B$8*(1+$B$4)^35))*IF(AK161+IF($B$1+35&lt;=$B161,12*$B$9,-12*$B$8*(1+$B$4)^35)&gt;0,1+$B$3,1))</f>
        <v/>
      </c>
      <c r="AM161">
        <f>IF($B$1+36&gt;90,AL161,(AL161+IF($B$1+36&lt;=$B161,12*$B$9,-12*$B$8*(1+$B$4)^36))*IF(AL161+IF($B$1+36&lt;=$B161,12*$B$9,-12*$B$8*(1+$B$4)^36)&gt;0,1+$B$3,1))</f>
        <v/>
      </c>
      <c r="AN161">
        <f>IF($B$1+37&gt;90,AM161,(AM161+IF($B$1+37&lt;=$B161,12*$B$9,-12*$B$8*(1+$B$4)^37))*IF(AM161+IF($B$1+37&lt;=$B161,12*$B$9,-12*$B$8*(1+$B$4)^37)&gt;0,1+$B$3,1))</f>
        <v/>
      </c>
      <c r="AO161">
        <f>IF($B$1+38&gt;90,AN161,(AN161+IF($B$1+38&lt;=$B161,12*$B$9,-12*$B$8*(1+$B$4)^38))*IF(AN161+IF($B$1+38&lt;=$B161,12*$B$9,-12*$B$8*(1+$B$4)^38)&gt;0,1+$B$3,1))</f>
        <v/>
      </c>
      <c r="AP161">
        <f>IF($B$1+39&gt;90,AO161,(AO161+IF($B$1+39&lt;=$B161,12*$B$9,-12*$B$8*(1+$B$4)^39))*IF(AO161+IF($B$1+39&lt;=$B161,12*$B$9,-12*$B$8*(1+$B$4)^39)&gt;0,1+$B$3,1))</f>
        <v/>
      </c>
      <c r="AQ161">
        <f>IF($B$1+40&gt;90,AP161,(AP161+IF($B$1+40&lt;=$B161,12*$B$9,-12*$B$8*(1+$B$4)^40))*IF(AP161+IF($B$1+40&lt;=$B161,12*$B$9,-12*$B$8*(1+$B$4)^40)&gt;0,1+$B$3,1))</f>
        <v/>
      </c>
      <c r="AR161">
        <f>IF($B$1+41&gt;90,AQ161,(AQ161+IF($B$1+41&lt;=$B161,12*$B$9,-12*$B$8*(1+$B$4)^41))*IF(AQ161+IF($B$1+41&lt;=$B161,12*$B$9,-12*$B$8*(1+$B$4)^41)&gt;0,1+$B$3,1))</f>
        <v/>
      </c>
      <c r="AS161">
        <f>IF($B$1+42&gt;90,AR161,(AR161+IF($B$1+42&lt;=$B161,12*$B$9,-12*$B$8*(1+$B$4)^42))*IF(AR161+IF($B$1+42&lt;=$B161,12*$B$9,-12*$B$8*(1+$B$4)^42)&gt;0,1+$B$3,1))</f>
        <v/>
      </c>
      <c r="AT161">
        <f>IF($B$1+43&gt;90,AS161,(AS161+IF($B$1+43&lt;=$B161,12*$B$9,-12*$B$8*(1+$B$4)^43))*IF(AS161+IF($B$1+43&lt;=$B161,12*$B$9,-12*$B$8*(1+$B$4)^43)&gt;0,1+$B$3,1))</f>
        <v/>
      </c>
      <c r="AU161">
        <f>IF($B$1+44&gt;90,AT161,(AT161+IF($B$1+44&lt;=$B161,12*$B$9,-12*$B$8*(1+$B$4)^44))*IF(AT161+IF($B$1+44&lt;=$B161,12*$B$9,-12*$B$8*(1+$B$4)^44)&gt;0,1+$B$3,1))</f>
        <v/>
      </c>
      <c r="AV161">
        <f>IF($B$1+45&gt;90,AU161,(AU161+IF($B$1+45&lt;=$B161,12*$B$9,-12*$B$8*(1+$B$4)^45))*IF(AU161+IF($B$1+45&lt;=$B161,12*$B$9,-12*$B$8*(1+$B$4)^45)&gt;0,1+$B$3,1))</f>
        <v/>
      </c>
      <c r="AW161">
        <f>IF($B$1+46&gt;90,AV161,(AV161+IF($B$1+46&lt;=$B161,12*$B$9,-12*$B$8*(1+$B$4)^46))*IF(AV161+IF($B$1+46&lt;=$B161,12*$B$9,-12*$B$8*(1+$B$4)^46)&gt;0,1+$B$3,1))</f>
        <v/>
      </c>
      <c r="AX161">
        <f>IF($B$1+47&gt;90,AW161,(AW161+IF($B$1+47&lt;=$B161,12*$B$9,-12*$B$8*(1+$B$4)^47))*IF(AW161+IF($B$1+47&lt;=$B161,12*$B$9,-12*$B$8*(1+$B$4)^47)&gt;0,1+$B$3,1))</f>
        <v/>
      </c>
      <c r="AY161">
        <f>IF($B$1+48&gt;90,AX161,(AX161+IF($B$1+48&lt;=$B161,12*$B$9,-12*$B$8*(1+$B$4)^48))*IF(AX161+IF($B$1+48&lt;=$B161,12*$B$9,-12*$B$8*(1+$B$4)^48)&gt;0,1+$B$3,1))</f>
        <v/>
      </c>
      <c r="AZ161">
        <f>IF($B$1+49&gt;90,AY161,(AY161+IF($B$1+49&lt;=$B161,12*$B$9,-12*$B$8*(1+$B$4)^49))*IF(AY161+IF($B$1+49&lt;=$B161,12*$B$9,-12*$B$8*(1+$B$4)^49)&gt;0,1+$B$3,1))</f>
        <v/>
      </c>
      <c r="BA161">
        <f>IF($B$1+50&gt;90,AZ161,(AZ161+IF($B$1+50&lt;=$B161,12*$B$9,-12*$B$8*(1+$B$4)^50))*IF(AZ161+IF($B$1+50&lt;=$B161,12*$B$9,-12*$B$8*(1+$B$4)^50)&gt;0,1+$B$3,1))</f>
        <v/>
      </c>
      <c r="BB161">
        <f>IF($B$1+51&gt;90,BA161,(BA161+IF($B$1+51&lt;=$B161,12*$B$9,-12*$B$8*(1+$B$4)^51))*IF(BA161+IF($B$1+51&lt;=$B161,12*$B$9,-12*$B$8*(1+$B$4)^51)&gt;0,1+$B$3,1))</f>
        <v/>
      </c>
      <c r="BC161">
        <f>IF($B$1+52&gt;90,BB161,(BB161+IF($B$1+52&lt;=$B161,12*$B$9,-12*$B$8*(1+$B$4)^52))*IF(BB161+IF($B$1+52&lt;=$B161,12*$B$9,-12*$B$8*(1+$B$4)^52)&gt;0,1+$B$3,1))</f>
        <v/>
      </c>
      <c r="BD161">
        <f>IF($B$1+53&gt;90,BC161,(BC161+IF($B$1+53&lt;=$B161,12*$B$9,-12*$B$8*(1+$B$4)^53))*IF(BC161+IF($B$1+53&lt;=$B161,12*$B$9,-12*$B$8*(1+$B$4)^53)&gt;0,1+$B$3,1))</f>
        <v/>
      </c>
      <c r="BE161">
        <f>IF($B$1+54&gt;90,BD161,(BD161+IF($B$1+54&lt;=$B161,12*$B$9,-12*$B$8*(1+$B$4)^54))*IF(BD161+IF($B$1+54&lt;=$B161,12*$B$9,-12*$B$8*(1+$B$4)^54)&gt;0,1+$B$3,1))</f>
        <v/>
      </c>
      <c r="BF161">
        <f>IF($B$1+55&gt;90,BE161,(BE161+IF($B$1+55&lt;=$B161,12*$B$9,-12*$B$8*(1+$B$4)^55))*IF(BE161+IF($B$1+55&lt;=$B161,12*$B$9,-12*$B$8*(1+$B$4)^55)&gt;0,1+$B$3,1))</f>
        <v/>
      </c>
      <c r="BG161">
        <f>IF($B$1+56&gt;90,BF161,(BF161+IF($B$1+56&lt;=$B161,12*$B$9,-12*$B$8*(1+$B$4)^56))*IF(BF161+IF($B$1+56&lt;=$B161,12*$B$9,-12*$B$8*(1+$B$4)^56)&gt;0,1+$B$3,1))</f>
        <v/>
      </c>
      <c r="BH161">
        <f>IF($B$1+57&gt;90,BG161,(BG161+IF($B$1+57&lt;=$B161,12*$B$9,-12*$B$8*(1+$B$4)^57))*IF(BG161+IF($B$1+57&lt;=$B161,12*$B$9,-12*$B$8*(1+$B$4)^57)&gt;0,1+$B$3,1))</f>
        <v/>
      </c>
      <c r="BI161">
        <f>IF($B$1+58&gt;90,BH161,(BH161+IF($B$1+58&lt;=$B161,12*$B$9,-12*$B$8*(1+$B$4)^58))*IF(BH161+IF($B$1+58&lt;=$B161,12*$B$9,-12*$B$8*(1+$B$4)^58)&gt;0,1+$B$3,1))</f>
        <v/>
      </c>
      <c r="BJ161">
        <f>IF($B$1+59&gt;90,BI161,(BI161+IF($B$1+59&lt;=$B161,12*$B$9,-12*$B$8*(1+$B$4)^59))*IF(BI161+IF($B$1+59&lt;=$B161,12*$B$9,-12*$B$8*(1+$B$4)^59)&gt;0,1+$B$3,1))</f>
        <v/>
      </c>
      <c r="BK161">
        <f>IF($B$1+60&gt;90,BJ161,(BJ161+IF($B$1+60&lt;=$B161,12*$B$9,-12*$B$8*(1+$B$4)^60))*IF(BJ161+IF($B$1+60&lt;=$B161,12*$B$9,-12*$B$8*(1+$B$4)^60)&gt;0,1+$B$3,1))</f>
        <v/>
      </c>
      <c r="BL161">
        <f>IF($B$1+61&gt;90,BK161,(BK161+IF($B$1+61&lt;=$B161,12*$B$9,-12*$B$8*(1+$B$4)^61))*IF(BK161+IF($B$1+61&lt;=$B161,12*$B$9,-12*$B$8*(1+$B$4)^61)&gt;0,1+$B$3,1))</f>
        <v/>
      </c>
      <c r="BM161">
        <f>IF($B$1+62&gt;90,BL161,(BL161+IF($B$1+62&lt;=$B161,12*$B$9,-12*$B$8*(1+$B$4)^62))*IF(BL161+IF($B$1+62&lt;=$B161,12*$B$9,-12*$B$8*(1+$B$4)^62)&gt;0,1+$B$3,1))</f>
        <v/>
      </c>
      <c r="BN161">
        <f>IF($B$1+63&gt;90,BM161,(BM161+IF($B$1+63&lt;=$B161,12*$B$9,-12*$B$8*(1+$B$4)^63))*IF(BM161+IF($B$1+63&lt;=$B161,12*$B$9,-12*$B$8*(1+$B$4)^63)&gt;0,1+$B$3,1))</f>
        <v/>
      </c>
      <c r="BO161">
        <f>IF($B$1+64&gt;90,BN161,(BN161+IF($B$1+64&lt;=$B161,12*$B$9,-12*$B$8*(1+$B$4)^64))*IF(BN161+IF($B$1+64&lt;=$B161,12*$B$9,-12*$B$8*(1+$B$4)^64)&gt;0,1+$B$3,1))</f>
        <v/>
      </c>
      <c r="BP161">
        <f>IF($B$1+65&gt;90,BO161,(BO161+IF($B$1+65&lt;=$B161,12*$B$9,-12*$B$8*(1+$B$4)^65))*IF(BO161+IF($B$1+65&lt;=$B161,12*$B$9,-12*$B$8*(1+$B$4)^65)&gt;0,1+$B$3,1))</f>
        <v/>
      </c>
      <c r="BQ161">
        <f>IF($B$1+66&gt;90,BP161,(BP161+IF($B$1+66&lt;=$B161,12*$B$9,-12*$B$8*(1+$B$4)^66))*IF(BP161+IF($B$1+66&lt;=$B161,12*$B$9,-12*$B$8*(1+$B$4)^66)&gt;0,1+$B$3,1))</f>
        <v/>
      </c>
      <c r="BR161">
        <f>IF($B$1+67&gt;90,BQ161,(BQ161+IF($B$1+67&lt;=$B161,12*$B$9,-12*$B$8*(1+$B$4)^67))*IF(BQ161+IF($B$1+67&lt;=$B161,12*$B$9,-12*$B$8*(1+$B$4)^67)&gt;0,1+$B$3,1))</f>
        <v/>
      </c>
      <c r="BS161">
        <f>IF($B$1+68&gt;90,BR161,(BR161+IF($B$1+68&lt;=$B161,12*$B$9,-12*$B$8*(1+$B$4)^68))*IF(BR161+IF($B$1+68&lt;=$B161,12*$B$9,-12*$B$8*(1+$B$4)^68)&gt;0,1+$B$3,1))</f>
        <v/>
      </c>
      <c r="BT161">
        <f>IF($B$1+69&gt;90,BS161,(BS161+IF($B$1+69&lt;=$B161,12*$B$9,-12*$B$8*(1+$B$4)^69))*IF(BS161+IF($B$1+69&lt;=$B161,12*$B$9,-12*$B$8*(1+$B$4)^69)&gt;0,1+$B$3,1))</f>
        <v/>
      </c>
      <c r="BU161">
        <f>IF($B$1+70&gt;90,BT161,(BT161+IF($B$1+70&lt;=$B161,12*$B$9,-12*$B$8*(1+$B$4)^70))*IF(BT161+IF($B$1+70&lt;=$B161,12*$B$9,-12*$B$8*(1+$B$4)^70)&gt;0,1+$B$3,1))</f>
        <v/>
      </c>
      <c r="BV161">
        <f>BU161</f>
        <v/>
      </c>
      <c r="BW161">
        <f>IF(AND($B161&lt;=70,BV161&gt;0),$B161,999)</f>
        <v/>
      </c>
    </row>
    <row r="162">
      <c r="A162" t="n">
        <v>10</v>
      </c>
      <c r="B162">
        <f>$B$1+10</f>
        <v/>
      </c>
      <c r="C162">
        <f>$B$2</f>
        <v/>
      </c>
      <c r="D162">
        <f>IF($B$1+1&gt;90,C162,(C162+IF($B$1+1&lt;=$B162,12*$B$9,-12*$B$8*(1+$B$4)^1))*IF(C162+IF($B$1+1&lt;=$B162,12*$B$9,-12*$B$8*(1+$B$4)^1)&gt;0,1+$B$3,1))</f>
        <v/>
      </c>
      <c r="E162">
        <f>IF($B$1+2&gt;90,D162,(D162+IF($B$1+2&lt;=$B162,12*$B$9,-12*$B$8*(1+$B$4)^2))*IF(D162+IF($B$1+2&lt;=$B162,12*$B$9,-12*$B$8*(1+$B$4)^2)&gt;0,1+$B$3,1))</f>
        <v/>
      </c>
      <c r="F162">
        <f>IF($B$1+3&gt;90,E162,(E162+IF($B$1+3&lt;=$B162,12*$B$9,-12*$B$8*(1+$B$4)^3))*IF(E162+IF($B$1+3&lt;=$B162,12*$B$9,-12*$B$8*(1+$B$4)^3)&gt;0,1+$B$3,1))</f>
        <v/>
      </c>
      <c r="G162">
        <f>IF($B$1+4&gt;90,F162,(F162+IF($B$1+4&lt;=$B162,12*$B$9,-12*$B$8*(1+$B$4)^4))*IF(F162+IF($B$1+4&lt;=$B162,12*$B$9,-12*$B$8*(1+$B$4)^4)&gt;0,1+$B$3,1))</f>
        <v/>
      </c>
      <c r="H162">
        <f>IF($B$1+5&gt;90,G162,(G162+IF($B$1+5&lt;=$B162,12*$B$9,-12*$B$8*(1+$B$4)^5))*IF(G162+IF($B$1+5&lt;=$B162,12*$B$9,-12*$B$8*(1+$B$4)^5)&gt;0,1+$B$3,1))</f>
        <v/>
      </c>
      <c r="I162">
        <f>IF($B$1+6&gt;90,H162,(H162+IF($B$1+6&lt;=$B162,12*$B$9,-12*$B$8*(1+$B$4)^6))*IF(H162+IF($B$1+6&lt;=$B162,12*$B$9,-12*$B$8*(1+$B$4)^6)&gt;0,1+$B$3,1))</f>
        <v/>
      </c>
      <c r="J162">
        <f>IF($B$1+7&gt;90,I162,(I162+IF($B$1+7&lt;=$B162,12*$B$9,-12*$B$8*(1+$B$4)^7))*IF(I162+IF($B$1+7&lt;=$B162,12*$B$9,-12*$B$8*(1+$B$4)^7)&gt;0,1+$B$3,1))</f>
        <v/>
      </c>
      <c r="K162">
        <f>IF($B$1+8&gt;90,J162,(J162+IF($B$1+8&lt;=$B162,12*$B$9,-12*$B$8*(1+$B$4)^8))*IF(J162+IF($B$1+8&lt;=$B162,12*$B$9,-12*$B$8*(1+$B$4)^8)&gt;0,1+$B$3,1))</f>
        <v/>
      </c>
      <c r="L162">
        <f>IF($B$1+9&gt;90,K162,(K162+IF($B$1+9&lt;=$B162,12*$B$9,-12*$B$8*(1+$B$4)^9))*IF(K162+IF($B$1+9&lt;=$B162,12*$B$9,-12*$B$8*(1+$B$4)^9)&gt;0,1+$B$3,1))</f>
        <v/>
      </c>
      <c r="M162">
        <f>IF($B$1+10&gt;90,L162,(L162+IF($B$1+10&lt;=$B162,12*$B$9,-12*$B$8*(1+$B$4)^10))*IF(L162+IF($B$1+10&lt;=$B162,12*$B$9,-12*$B$8*(1+$B$4)^10)&gt;0,1+$B$3,1))</f>
        <v/>
      </c>
      <c r="N162">
        <f>IF($B$1+11&gt;90,M162,(M162+IF($B$1+11&lt;=$B162,12*$B$9,-12*$B$8*(1+$B$4)^11))*IF(M162+IF($B$1+11&lt;=$B162,12*$B$9,-12*$B$8*(1+$B$4)^11)&gt;0,1+$B$3,1))</f>
        <v/>
      </c>
      <c r="O162">
        <f>IF($B$1+12&gt;90,N162,(N162+IF($B$1+12&lt;=$B162,12*$B$9,-12*$B$8*(1+$B$4)^12))*IF(N162+IF($B$1+12&lt;=$B162,12*$B$9,-12*$B$8*(1+$B$4)^12)&gt;0,1+$B$3,1))</f>
        <v/>
      </c>
      <c r="P162">
        <f>IF($B$1+13&gt;90,O162,(O162+IF($B$1+13&lt;=$B162,12*$B$9,-12*$B$8*(1+$B$4)^13))*IF(O162+IF($B$1+13&lt;=$B162,12*$B$9,-12*$B$8*(1+$B$4)^13)&gt;0,1+$B$3,1))</f>
        <v/>
      </c>
      <c r="Q162">
        <f>IF($B$1+14&gt;90,P162,(P162+IF($B$1+14&lt;=$B162,12*$B$9,-12*$B$8*(1+$B$4)^14))*IF(P162+IF($B$1+14&lt;=$B162,12*$B$9,-12*$B$8*(1+$B$4)^14)&gt;0,1+$B$3,1))</f>
        <v/>
      </c>
      <c r="R162">
        <f>IF($B$1+15&gt;90,Q162,(Q162+IF($B$1+15&lt;=$B162,12*$B$9,-12*$B$8*(1+$B$4)^15))*IF(Q162+IF($B$1+15&lt;=$B162,12*$B$9,-12*$B$8*(1+$B$4)^15)&gt;0,1+$B$3,1))</f>
        <v/>
      </c>
      <c r="S162">
        <f>IF($B$1+16&gt;90,R162,(R162+IF($B$1+16&lt;=$B162,12*$B$9,-12*$B$8*(1+$B$4)^16))*IF(R162+IF($B$1+16&lt;=$B162,12*$B$9,-12*$B$8*(1+$B$4)^16)&gt;0,1+$B$3,1))</f>
        <v/>
      </c>
      <c r="T162">
        <f>IF($B$1+17&gt;90,S162,(S162+IF($B$1+17&lt;=$B162,12*$B$9,-12*$B$8*(1+$B$4)^17))*IF(S162+IF($B$1+17&lt;=$B162,12*$B$9,-12*$B$8*(1+$B$4)^17)&gt;0,1+$B$3,1))</f>
        <v/>
      </c>
      <c r="U162">
        <f>IF($B$1+18&gt;90,T162,(T162+IF($B$1+18&lt;=$B162,12*$B$9,-12*$B$8*(1+$B$4)^18))*IF(T162+IF($B$1+18&lt;=$B162,12*$B$9,-12*$B$8*(1+$B$4)^18)&gt;0,1+$B$3,1))</f>
        <v/>
      </c>
      <c r="V162">
        <f>IF($B$1+19&gt;90,U162,(U162+IF($B$1+19&lt;=$B162,12*$B$9,-12*$B$8*(1+$B$4)^19))*IF(U162+IF($B$1+19&lt;=$B162,12*$B$9,-12*$B$8*(1+$B$4)^19)&gt;0,1+$B$3,1))</f>
        <v/>
      </c>
      <c r="W162">
        <f>IF($B$1+20&gt;90,V162,(V162+IF($B$1+20&lt;=$B162,12*$B$9,-12*$B$8*(1+$B$4)^20))*IF(V162+IF($B$1+20&lt;=$B162,12*$B$9,-12*$B$8*(1+$B$4)^20)&gt;0,1+$B$3,1))</f>
        <v/>
      </c>
      <c r="X162">
        <f>IF($B$1+21&gt;90,W162,(W162+IF($B$1+21&lt;=$B162,12*$B$9,-12*$B$8*(1+$B$4)^21))*IF(W162+IF($B$1+21&lt;=$B162,12*$B$9,-12*$B$8*(1+$B$4)^21)&gt;0,1+$B$3,1))</f>
        <v/>
      </c>
      <c r="Y162">
        <f>IF($B$1+22&gt;90,X162,(X162+IF($B$1+22&lt;=$B162,12*$B$9,-12*$B$8*(1+$B$4)^22))*IF(X162+IF($B$1+22&lt;=$B162,12*$B$9,-12*$B$8*(1+$B$4)^22)&gt;0,1+$B$3,1))</f>
        <v/>
      </c>
      <c r="Z162">
        <f>IF($B$1+23&gt;90,Y162,(Y162+IF($B$1+23&lt;=$B162,12*$B$9,-12*$B$8*(1+$B$4)^23))*IF(Y162+IF($B$1+23&lt;=$B162,12*$B$9,-12*$B$8*(1+$B$4)^23)&gt;0,1+$B$3,1))</f>
        <v/>
      </c>
      <c r="AA162">
        <f>IF($B$1+24&gt;90,Z162,(Z162+IF($B$1+24&lt;=$B162,12*$B$9,-12*$B$8*(1+$B$4)^24))*IF(Z162+IF($B$1+24&lt;=$B162,12*$B$9,-12*$B$8*(1+$B$4)^24)&gt;0,1+$B$3,1))</f>
        <v/>
      </c>
      <c r="AB162">
        <f>IF($B$1+25&gt;90,AA162,(AA162+IF($B$1+25&lt;=$B162,12*$B$9,-12*$B$8*(1+$B$4)^25))*IF(AA162+IF($B$1+25&lt;=$B162,12*$B$9,-12*$B$8*(1+$B$4)^25)&gt;0,1+$B$3,1))</f>
        <v/>
      </c>
      <c r="AC162">
        <f>IF($B$1+26&gt;90,AB162,(AB162+IF($B$1+26&lt;=$B162,12*$B$9,-12*$B$8*(1+$B$4)^26))*IF(AB162+IF($B$1+26&lt;=$B162,12*$B$9,-12*$B$8*(1+$B$4)^26)&gt;0,1+$B$3,1))</f>
        <v/>
      </c>
      <c r="AD162">
        <f>IF($B$1+27&gt;90,AC162,(AC162+IF($B$1+27&lt;=$B162,12*$B$9,-12*$B$8*(1+$B$4)^27))*IF(AC162+IF($B$1+27&lt;=$B162,12*$B$9,-12*$B$8*(1+$B$4)^27)&gt;0,1+$B$3,1))</f>
        <v/>
      </c>
      <c r="AE162">
        <f>IF($B$1+28&gt;90,AD162,(AD162+IF($B$1+28&lt;=$B162,12*$B$9,-12*$B$8*(1+$B$4)^28))*IF(AD162+IF($B$1+28&lt;=$B162,12*$B$9,-12*$B$8*(1+$B$4)^28)&gt;0,1+$B$3,1))</f>
        <v/>
      </c>
      <c r="AF162">
        <f>IF($B$1+29&gt;90,AE162,(AE162+IF($B$1+29&lt;=$B162,12*$B$9,-12*$B$8*(1+$B$4)^29))*IF(AE162+IF($B$1+29&lt;=$B162,12*$B$9,-12*$B$8*(1+$B$4)^29)&gt;0,1+$B$3,1))</f>
        <v/>
      </c>
      <c r="AG162">
        <f>IF($B$1+30&gt;90,AF162,(AF162+IF($B$1+30&lt;=$B162,12*$B$9,-12*$B$8*(1+$B$4)^30))*IF(AF162+IF($B$1+30&lt;=$B162,12*$B$9,-12*$B$8*(1+$B$4)^30)&gt;0,1+$B$3,1))</f>
        <v/>
      </c>
      <c r="AH162">
        <f>IF($B$1+31&gt;90,AG162,(AG162+IF($B$1+31&lt;=$B162,12*$B$9,-12*$B$8*(1+$B$4)^31))*IF(AG162+IF($B$1+31&lt;=$B162,12*$B$9,-12*$B$8*(1+$B$4)^31)&gt;0,1+$B$3,1))</f>
        <v/>
      </c>
      <c r="AI162">
        <f>IF($B$1+32&gt;90,AH162,(AH162+IF($B$1+32&lt;=$B162,12*$B$9,-12*$B$8*(1+$B$4)^32))*IF(AH162+IF($B$1+32&lt;=$B162,12*$B$9,-12*$B$8*(1+$B$4)^32)&gt;0,1+$B$3,1))</f>
        <v/>
      </c>
      <c r="AJ162">
        <f>IF($B$1+33&gt;90,AI162,(AI162+IF($B$1+33&lt;=$B162,12*$B$9,-12*$B$8*(1+$B$4)^33))*IF(AI162+IF($B$1+33&lt;=$B162,12*$B$9,-12*$B$8*(1+$B$4)^33)&gt;0,1+$B$3,1))</f>
        <v/>
      </c>
      <c r="AK162">
        <f>IF($B$1+34&gt;90,AJ162,(AJ162+IF($B$1+34&lt;=$B162,12*$B$9,-12*$B$8*(1+$B$4)^34))*IF(AJ162+IF($B$1+34&lt;=$B162,12*$B$9,-12*$B$8*(1+$B$4)^34)&gt;0,1+$B$3,1))</f>
        <v/>
      </c>
      <c r="AL162">
        <f>IF($B$1+35&gt;90,AK162,(AK162+IF($B$1+35&lt;=$B162,12*$B$9,-12*$B$8*(1+$B$4)^35))*IF(AK162+IF($B$1+35&lt;=$B162,12*$B$9,-12*$B$8*(1+$B$4)^35)&gt;0,1+$B$3,1))</f>
        <v/>
      </c>
      <c r="AM162">
        <f>IF($B$1+36&gt;90,AL162,(AL162+IF($B$1+36&lt;=$B162,12*$B$9,-12*$B$8*(1+$B$4)^36))*IF(AL162+IF($B$1+36&lt;=$B162,12*$B$9,-12*$B$8*(1+$B$4)^36)&gt;0,1+$B$3,1))</f>
        <v/>
      </c>
      <c r="AN162">
        <f>IF($B$1+37&gt;90,AM162,(AM162+IF($B$1+37&lt;=$B162,12*$B$9,-12*$B$8*(1+$B$4)^37))*IF(AM162+IF($B$1+37&lt;=$B162,12*$B$9,-12*$B$8*(1+$B$4)^37)&gt;0,1+$B$3,1))</f>
        <v/>
      </c>
      <c r="AO162">
        <f>IF($B$1+38&gt;90,AN162,(AN162+IF($B$1+38&lt;=$B162,12*$B$9,-12*$B$8*(1+$B$4)^38))*IF(AN162+IF($B$1+38&lt;=$B162,12*$B$9,-12*$B$8*(1+$B$4)^38)&gt;0,1+$B$3,1))</f>
        <v/>
      </c>
      <c r="AP162">
        <f>IF($B$1+39&gt;90,AO162,(AO162+IF($B$1+39&lt;=$B162,12*$B$9,-12*$B$8*(1+$B$4)^39))*IF(AO162+IF($B$1+39&lt;=$B162,12*$B$9,-12*$B$8*(1+$B$4)^39)&gt;0,1+$B$3,1))</f>
        <v/>
      </c>
      <c r="AQ162">
        <f>IF($B$1+40&gt;90,AP162,(AP162+IF($B$1+40&lt;=$B162,12*$B$9,-12*$B$8*(1+$B$4)^40))*IF(AP162+IF($B$1+40&lt;=$B162,12*$B$9,-12*$B$8*(1+$B$4)^40)&gt;0,1+$B$3,1))</f>
        <v/>
      </c>
      <c r="AR162">
        <f>IF($B$1+41&gt;90,AQ162,(AQ162+IF($B$1+41&lt;=$B162,12*$B$9,-12*$B$8*(1+$B$4)^41))*IF(AQ162+IF($B$1+41&lt;=$B162,12*$B$9,-12*$B$8*(1+$B$4)^41)&gt;0,1+$B$3,1))</f>
        <v/>
      </c>
      <c r="AS162">
        <f>IF($B$1+42&gt;90,AR162,(AR162+IF($B$1+42&lt;=$B162,12*$B$9,-12*$B$8*(1+$B$4)^42))*IF(AR162+IF($B$1+42&lt;=$B162,12*$B$9,-12*$B$8*(1+$B$4)^42)&gt;0,1+$B$3,1))</f>
        <v/>
      </c>
      <c r="AT162">
        <f>IF($B$1+43&gt;90,AS162,(AS162+IF($B$1+43&lt;=$B162,12*$B$9,-12*$B$8*(1+$B$4)^43))*IF(AS162+IF($B$1+43&lt;=$B162,12*$B$9,-12*$B$8*(1+$B$4)^43)&gt;0,1+$B$3,1))</f>
        <v/>
      </c>
      <c r="AU162">
        <f>IF($B$1+44&gt;90,AT162,(AT162+IF($B$1+44&lt;=$B162,12*$B$9,-12*$B$8*(1+$B$4)^44))*IF(AT162+IF($B$1+44&lt;=$B162,12*$B$9,-12*$B$8*(1+$B$4)^44)&gt;0,1+$B$3,1))</f>
        <v/>
      </c>
      <c r="AV162">
        <f>IF($B$1+45&gt;90,AU162,(AU162+IF($B$1+45&lt;=$B162,12*$B$9,-12*$B$8*(1+$B$4)^45))*IF(AU162+IF($B$1+45&lt;=$B162,12*$B$9,-12*$B$8*(1+$B$4)^45)&gt;0,1+$B$3,1))</f>
        <v/>
      </c>
      <c r="AW162">
        <f>IF($B$1+46&gt;90,AV162,(AV162+IF($B$1+46&lt;=$B162,12*$B$9,-12*$B$8*(1+$B$4)^46))*IF(AV162+IF($B$1+46&lt;=$B162,12*$B$9,-12*$B$8*(1+$B$4)^46)&gt;0,1+$B$3,1))</f>
        <v/>
      </c>
      <c r="AX162">
        <f>IF($B$1+47&gt;90,AW162,(AW162+IF($B$1+47&lt;=$B162,12*$B$9,-12*$B$8*(1+$B$4)^47))*IF(AW162+IF($B$1+47&lt;=$B162,12*$B$9,-12*$B$8*(1+$B$4)^47)&gt;0,1+$B$3,1))</f>
        <v/>
      </c>
      <c r="AY162">
        <f>IF($B$1+48&gt;90,AX162,(AX162+IF($B$1+48&lt;=$B162,12*$B$9,-12*$B$8*(1+$B$4)^48))*IF(AX162+IF($B$1+48&lt;=$B162,12*$B$9,-12*$B$8*(1+$B$4)^48)&gt;0,1+$B$3,1))</f>
        <v/>
      </c>
      <c r="AZ162">
        <f>IF($B$1+49&gt;90,AY162,(AY162+IF($B$1+49&lt;=$B162,12*$B$9,-12*$B$8*(1+$B$4)^49))*IF(AY162+IF($B$1+49&lt;=$B162,12*$B$9,-12*$B$8*(1+$B$4)^49)&gt;0,1+$B$3,1))</f>
        <v/>
      </c>
      <c r="BA162">
        <f>IF($B$1+50&gt;90,AZ162,(AZ162+IF($B$1+50&lt;=$B162,12*$B$9,-12*$B$8*(1+$B$4)^50))*IF(AZ162+IF($B$1+50&lt;=$B162,12*$B$9,-12*$B$8*(1+$B$4)^50)&gt;0,1+$B$3,1))</f>
        <v/>
      </c>
      <c r="BB162">
        <f>IF($B$1+51&gt;90,BA162,(BA162+IF($B$1+51&lt;=$B162,12*$B$9,-12*$B$8*(1+$B$4)^51))*IF(BA162+IF($B$1+51&lt;=$B162,12*$B$9,-12*$B$8*(1+$B$4)^51)&gt;0,1+$B$3,1))</f>
        <v/>
      </c>
      <c r="BC162">
        <f>IF($B$1+52&gt;90,BB162,(BB162+IF($B$1+52&lt;=$B162,12*$B$9,-12*$B$8*(1+$B$4)^52))*IF(BB162+IF($B$1+52&lt;=$B162,12*$B$9,-12*$B$8*(1+$B$4)^52)&gt;0,1+$B$3,1))</f>
        <v/>
      </c>
      <c r="BD162">
        <f>IF($B$1+53&gt;90,BC162,(BC162+IF($B$1+53&lt;=$B162,12*$B$9,-12*$B$8*(1+$B$4)^53))*IF(BC162+IF($B$1+53&lt;=$B162,12*$B$9,-12*$B$8*(1+$B$4)^53)&gt;0,1+$B$3,1))</f>
        <v/>
      </c>
      <c r="BE162">
        <f>IF($B$1+54&gt;90,BD162,(BD162+IF($B$1+54&lt;=$B162,12*$B$9,-12*$B$8*(1+$B$4)^54))*IF(BD162+IF($B$1+54&lt;=$B162,12*$B$9,-12*$B$8*(1+$B$4)^54)&gt;0,1+$B$3,1))</f>
        <v/>
      </c>
      <c r="BF162">
        <f>IF($B$1+55&gt;90,BE162,(BE162+IF($B$1+55&lt;=$B162,12*$B$9,-12*$B$8*(1+$B$4)^55))*IF(BE162+IF($B$1+55&lt;=$B162,12*$B$9,-12*$B$8*(1+$B$4)^55)&gt;0,1+$B$3,1))</f>
        <v/>
      </c>
      <c r="BG162">
        <f>IF($B$1+56&gt;90,BF162,(BF162+IF($B$1+56&lt;=$B162,12*$B$9,-12*$B$8*(1+$B$4)^56))*IF(BF162+IF($B$1+56&lt;=$B162,12*$B$9,-12*$B$8*(1+$B$4)^56)&gt;0,1+$B$3,1))</f>
        <v/>
      </c>
      <c r="BH162">
        <f>IF($B$1+57&gt;90,BG162,(BG162+IF($B$1+57&lt;=$B162,12*$B$9,-12*$B$8*(1+$B$4)^57))*IF(BG162+IF($B$1+57&lt;=$B162,12*$B$9,-12*$B$8*(1+$B$4)^57)&gt;0,1+$B$3,1))</f>
        <v/>
      </c>
      <c r="BI162">
        <f>IF($B$1+58&gt;90,BH162,(BH162+IF($B$1+58&lt;=$B162,12*$B$9,-12*$B$8*(1+$B$4)^58))*IF(BH162+IF($B$1+58&lt;=$B162,12*$B$9,-12*$B$8*(1+$B$4)^58)&gt;0,1+$B$3,1))</f>
        <v/>
      </c>
      <c r="BJ162">
        <f>IF($B$1+59&gt;90,BI162,(BI162+IF($B$1+59&lt;=$B162,12*$B$9,-12*$B$8*(1+$B$4)^59))*IF(BI162+IF($B$1+59&lt;=$B162,12*$B$9,-12*$B$8*(1+$B$4)^59)&gt;0,1+$B$3,1))</f>
        <v/>
      </c>
      <c r="BK162">
        <f>IF($B$1+60&gt;90,BJ162,(BJ162+IF($B$1+60&lt;=$B162,12*$B$9,-12*$B$8*(1+$B$4)^60))*IF(BJ162+IF($B$1+60&lt;=$B162,12*$B$9,-12*$B$8*(1+$B$4)^60)&gt;0,1+$B$3,1))</f>
        <v/>
      </c>
      <c r="BL162">
        <f>IF($B$1+61&gt;90,BK162,(BK162+IF($B$1+61&lt;=$B162,12*$B$9,-12*$B$8*(1+$B$4)^61))*IF(BK162+IF($B$1+61&lt;=$B162,12*$B$9,-12*$B$8*(1+$B$4)^61)&gt;0,1+$B$3,1))</f>
        <v/>
      </c>
      <c r="BM162">
        <f>IF($B$1+62&gt;90,BL162,(BL162+IF($B$1+62&lt;=$B162,12*$B$9,-12*$B$8*(1+$B$4)^62))*IF(BL162+IF($B$1+62&lt;=$B162,12*$B$9,-12*$B$8*(1+$B$4)^62)&gt;0,1+$B$3,1))</f>
        <v/>
      </c>
      <c r="BN162">
        <f>IF($B$1+63&gt;90,BM162,(BM162+IF($B$1+63&lt;=$B162,12*$B$9,-12*$B$8*(1+$B$4)^63))*IF(BM162+IF($B$1+63&lt;=$B162,12*$B$9,-12*$B$8*(1+$B$4)^63)&gt;0,1+$B$3,1))</f>
        <v/>
      </c>
      <c r="BO162">
        <f>IF($B$1+64&gt;90,BN162,(BN162+IF($B$1+64&lt;=$B162,12*$B$9,-12*$B$8*(1+$B$4)^64))*IF(BN162+IF($B$1+64&lt;=$B162,12*$B$9,-12*$B$8*(1+$B$4)^64)&gt;0,1+$B$3,1))</f>
        <v/>
      </c>
      <c r="BP162">
        <f>IF($B$1+65&gt;90,BO162,(BO162+IF($B$1+65&lt;=$B162,12*$B$9,-12*$B$8*(1+$B$4)^65))*IF(BO162+IF($B$1+65&lt;=$B162,12*$B$9,-12*$B$8*(1+$B$4)^65)&gt;0,1+$B$3,1))</f>
        <v/>
      </c>
      <c r="BQ162">
        <f>IF($B$1+66&gt;90,BP162,(BP162+IF($B$1+66&lt;=$B162,12*$B$9,-12*$B$8*(1+$B$4)^66))*IF(BP162+IF($B$1+66&lt;=$B162,12*$B$9,-12*$B$8*(1+$B$4)^66)&gt;0,1+$B$3,1))</f>
        <v/>
      </c>
      <c r="BR162">
        <f>IF($B$1+67&gt;90,BQ162,(BQ162+IF($B$1+67&lt;=$B162,12*$B$9,-12*$B$8*(1+$B$4)^67))*IF(BQ162+IF($B$1+67&lt;=$B162,12*$B$9,-12*$B$8*(1+$B$4)^67)&gt;0,1+$B$3,1))</f>
        <v/>
      </c>
      <c r="BS162">
        <f>IF($B$1+68&gt;90,BR162,(BR162+IF($B$1+68&lt;=$B162,12*$B$9,-12*$B$8*(1+$B$4)^68))*IF(BR162+IF($B$1+68&lt;=$B162,12*$B$9,-12*$B$8*(1+$B$4)^68)&gt;0,1+$B$3,1))</f>
        <v/>
      </c>
      <c r="BT162">
        <f>IF($B$1+69&gt;90,BS162,(BS162+IF($B$1+69&lt;=$B162,12*$B$9,-12*$B$8*(1+$B$4)^69))*IF(BS162+IF($B$1+69&lt;=$B162,12*$B$9,-12*$B$8*(1+$B$4)^69)&gt;0,1+$B$3,1))</f>
        <v/>
      </c>
      <c r="BU162">
        <f>IF($B$1+70&gt;90,BT162,(BT162+IF($B$1+70&lt;=$B162,12*$B$9,-12*$B$8*(1+$B$4)^70))*IF(BT162+IF($B$1+70&lt;=$B162,12*$B$9,-12*$B$8*(1+$B$4)^70)&gt;0,1+$B$3,1))</f>
        <v/>
      </c>
      <c r="BV162">
        <f>BU162</f>
        <v/>
      </c>
      <c r="BW162">
        <f>IF(AND($B162&lt;=70,BV162&gt;0),$B162,999)</f>
        <v/>
      </c>
    </row>
    <row r="163">
      <c r="A163" t="n">
        <v>11</v>
      </c>
      <c r="B163">
        <f>$B$1+11</f>
        <v/>
      </c>
      <c r="C163">
        <f>$B$2</f>
        <v/>
      </c>
      <c r="D163">
        <f>IF($B$1+1&gt;90,C163,(C163+IF($B$1+1&lt;=$B163,12*$B$9,-12*$B$8*(1+$B$4)^1))*IF(C163+IF($B$1+1&lt;=$B163,12*$B$9,-12*$B$8*(1+$B$4)^1)&gt;0,1+$B$3,1))</f>
        <v/>
      </c>
      <c r="E163">
        <f>IF($B$1+2&gt;90,D163,(D163+IF($B$1+2&lt;=$B163,12*$B$9,-12*$B$8*(1+$B$4)^2))*IF(D163+IF($B$1+2&lt;=$B163,12*$B$9,-12*$B$8*(1+$B$4)^2)&gt;0,1+$B$3,1))</f>
        <v/>
      </c>
      <c r="F163">
        <f>IF($B$1+3&gt;90,E163,(E163+IF($B$1+3&lt;=$B163,12*$B$9,-12*$B$8*(1+$B$4)^3))*IF(E163+IF($B$1+3&lt;=$B163,12*$B$9,-12*$B$8*(1+$B$4)^3)&gt;0,1+$B$3,1))</f>
        <v/>
      </c>
      <c r="G163">
        <f>IF($B$1+4&gt;90,F163,(F163+IF($B$1+4&lt;=$B163,12*$B$9,-12*$B$8*(1+$B$4)^4))*IF(F163+IF($B$1+4&lt;=$B163,12*$B$9,-12*$B$8*(1+$B$4)^4)&gt;0,1+$B$3,1))</f>
        <v/>
      </c>
      <c r="H163">
        <f>IF($B$1+5&gt;90,G163,(G163+IF($B$1+5&lt;=$B163,12*$B$9,-12*$B$8*(1+$B$4)^5))*IF(G163+IF($B$1+5&lt;=$B163,12*$B$9,-12*$B$8*(1+$B$4)^5)&gt;0,1+$B$3,1))</f>
        <v/>
      </c>
      <c r="I163">
        <f>IF($B$1+6&gt;90,H163,(H163+IF($B$1+6&lt;=$B163,12*$B$9,-12*$B$8*(1+$B$4)^6))*IF(H163+IF($B$1+6&lt;=$B163,12*$B$9,-12*$B$8*(1+$B$4)^6)&gt;0,1+$B$3,1))</f>
        <v/>
      </c>
      <c r="J163">
        <f>IF($B$1+7&gt;90,I163,(I163+IF($B$1+7&lt;=$B163,12*$B$9,-12*$B$8*(1+$B$4)^7))*IF(I163+IF($B$1+7&lt;=$B163,12*$B$9,-12*$B$8*(1+$B$4)^7)&gt;0,1+$B$3,1))</f>
        <v/>
      </c>
      <c r="K163">
        <f>IF($B$1+8&gt;90,J163,(J163+IF($B$1+8&lt;=$B163,12*$B$9,-12*$B$8*(1+$B$4)^8))*IF(J163+IF($B$1+8&lt;=$B163,12*$B$9,-12*$B$8*(1+$B$4)^8)&gt;0,1+$B$3,1))</f>
        <v/>
      </c>
      <c r="L163">
        <f>IF($B$1+9&gt;90,K163,(K163+IF($B$1+9&lt;=$B163,12*$B$9,-12*$B$8*(1+$B$4)^9))*IF(K163+IF($B$1+9&lt;=$B163,12*$B$9,-12*$B$8*(1+$B$4)^9)&gt;0,1+$B$3,1))</f>
        <v/>
      </c>
      <c r="M163">
        <f>IF($B$1+10&gt;90,L163,(L163+IF($B$1+10&lt;=$B163,12*$B$9,-12*$B$8*(1+$B$4)^10))*IF(L163+IF($B$1+10&lt;=$B163,12*$B$9,-12*$B$8*(1+$B$4)^10)&gt;0,1+$B$3,1))</f>
        <v/>
      </c>
      <c r="N163">
        <f>IF($B$1+11&gt;90,M163,(M163+IF($B$1+11&lt;=$B163,12*$B$9,-12*$B$8*(1+$B$4)^11))*IF(M163+IF($B$1+11&lt;=$B163,12*$B$9,-12*$B$8*(1+$B$4)^11)&gt;0,1+$B$3,1))</f>
        <v/>
      </c>
      <c r="O163">
        <f>IF($B$1+12&gt;90,N163,(N163+IF($B$1+12&lt;=$B163,12*$B$9,-12*$B$8*(1+$B$4)^12))*IF(N163+IF($B$1+12&lt;=$B163,12*$B$9,-12*$B$8*(1+$B$4)^12)&gt;0,1+$B$3,1))</f>
        <v/>
      </c>
      <c r="P163">
        <f>IF($B$1+13&gt;90,O163,(O163+IF($B$1+13&lt;=$B163,12*$B$9,-12*$B$8*(1+$B$4)^13))*IF(O163+IF($B$1+13&lt;=$B163,12*$B$9,-12*$B$8*(1+$B$4)^13)&gt;0,1+$B$3,1))</f>
        <v/>
      </c>
      <c r="Q163">
        <f>IF($B$1+14&gt;90,P163,(P163+IF($B$1+14&lt;=$B163,12*$B$9,-12*$B$8*(1+$B$4)^14))*IF(P163+IF($B$1+14&lt;=$B163,12*$B$9,-12*$B$8*(1+$B$4)^14)&gt;0,1+$B$3,1))</f>
        <v/>
      </c>
      <c r="R163">
        <f>IF($B$1+15&gt;90,Q163,(Q163+IF($B$1+15&lt;=$B163,12*$B$9,-12*$B$8*(1+$B$4)^15))*IF(Q163+IF($B$1+15&lt;=$B163,12*$B$9,-12*$B$8*(1+$B$4)^15)&gt;0,1+$B$3,1))</f>
        <v/>
      </c>
      <c r="S163">
        <f>IF($B$1+16&gt;90,R163,(R163+IF($B$1+16&lt;=$B163,12*$B$9,-12*$B$8*(1+$B$4)^16))*IF(R163+IF($B$1+16&lt;=$B163,12*$B$9,-12*$B$8*(1+$B$4)^16)&gt;0,1+$B$3,1))</f>
        <v/>
      </c>
      <c r="T163">
        <f>IF($B$1+17&gt;90,S163,(S163+IF($B$1+17&lt;=$B163,12*$B$9,-12*$B$8*(1+$B$4)^17))*IF(S163+IF($B$1+17&lt;=$B163,12*$B$9,-12*$B$8*(1+$B$4)^17)&gt;0,1+$B$3,1))</f>
        <v/>
      </c>
      <c r="U163">
        <f>IF($B$1+18&gt;90,T163,(T163+IF($B$1+18&lt;=$B163,12*$B$9,-12*$B$8*(1+$B$4)^18))*IF(T163+IF($B$1+18&lt;=$B163,12*$B$9,-12*$B$8*(1+$B$4)^18)&gt;0,1+$B$3,1))</f>
        <v/>
      </c>
      <c r="V163">
        <f>IF($B$1+19&gt;90,U163,(U163+IF($B$1+19&lt;=$B163,12*$B$9,-12*$B$8*(1+$B$4)^19))*IF(U163+IF($B$1+19&lt;=$B163,12*$B$9,-12*$B$8*(1+$B$4)^19)&gt;0,1+$B$3,1))</f>
        <v/>
      </c>
      <c r="W163">
        <f>IF($B$1+20&gt;90,V163,(V163+IF($B$1+20&lt;=$B163,12*$B$9,-12*$B$8*(1+$B$4)^20))*IF(V163+IF($B$1+20&lt;=$B163,12*$B$9,-12*$B$8*(1+$B$4)^20)&gt;0,1+$B$3,1))</f>
        <v/>
      </c>
      <c r="X163">
        <f>IF($B$1+21&gt;90,W163,(W163+IF($B$1+21&lt;=$B163,12*$B$9,-12*$B$8*(1+$B$4)^21))*IF(W163+IF($B$1+21&lt;=$B163,12*$B$9,-12*$B$8*(1+$B$4)^21)&gt;0,1+$B$3,1))</f>
        <v/>
      </c>
      <c r="Y163">
        <f>IF($B$1+22&gt;90,X163,(X163+IF($B$1+22&lt;=$B163,12*$B$9,-12*$B$8*(1+$B$4)^22))*IF(X163+IF($B$1+22&lt;=$B163,12*$B$9,-12*$B$8*(1+$B$4)^22)&gt;0,1+$B$3,1))</f>
        <v/>
      </c>
      <c r="Z163">
        <f>IF($B$1+23&gt;90,Y163,(Y163+IF($B$1+23&lt;=$B163,12*$B$9,-12*$B$8*(1+$B$4)^23))*IF(Y163+IF($B$1+23&lt;=$B163,12*$B$9,-12*$B$8*(1+$B$4)^23)&gt;0,1+$B$3,1))</f>
        <v/>
      </c>
      <c r="AA163">
        <f>IF($B$1+24&gt;90,Z163,(Z163+IF($B$1+24&lt;=$B163,12*$B$9,-12*$B$8*(1+$B$4)^24))*IF(Z163+IF($B$1+24&lt;=$B163,12*$B$9,-12*$B$8*(1+$B$4)^24)&gt;0,1+$B$3,1))</f>
        <v/>
      </c>
      <c r="AB163">
        <f>IF($B$1+25&gt;90,AA163,(AA163+IF($B$1+25&lt;=$B163,12*$B$9,-12*$B$8*(1+$B$4)^25))*IF(AA163+IF($B$1+25&lt;=$B163,12*$B$9,-12*$B$8*(1+$B$4)^25)&gt;0,1+$B$3,1))</f>
        <v/>
      </c>
      <c r="AC163">
        <f>IF($B$1+26&gt;90,AB163,(AB163+IF($B$1+26&lt;=$B163,12*$B$9,-12*$B$8*(1+$B$4)^26))*IF(AB163+IF($B$1+26&lt;=$B163,12*$B$9,-12*$B$8*(1+$B$4)^26)&gt;0,1+$B$3,1))</f>
        <v/>
      </c>
      <c r="AD163">
        <f>IF($B$1+27&gt;90,AC163,(AC163+IF($B$1+27&lt;=$B163,12*$B$9,-12*$B$8*(1+$B$4)^27))*IF(AC163+IF($B$1+27&lt;=$B163,12*$B$9,-12*$B$8*(1+$B$4)^27)&gt;0,1+$B$3,1))</f>
        <v/>
      </c>
      <c r="AE163">
        <f>IF($B$1+28&gt;90,AD163,(AD163+IF($B$1+28&lt;=$B163,12*$B$9,-12*$B$8*(1+$B$4)^28))*IF(AD163+IF($B$1+28&lt;=$B163,12*$B$9,-12*$B$8*(1+$B$4)^28)&gt;0,1+$B$3,1))</f>
        <v/>
      </c>
      <c r="AF163">
        <f>IF($B$1+29&gt;90,AE163,(AE163+IF($B$1+29&lt;=$B163,12*$B$9,-12*$B$8*(1+$B$4)^29))*IF(AE163+IF($B$1+29&lt;=$B163,12*$B$9,-12*$B$8*(1+$B$4)^29)&gt;0,1+$B$3,1))</f>
        <v/>
      </c>
      <c r="AG163">
        <f>IF($B$1+30&gt;90,AF163,(AF163+IF($B$1+30&lt;=$B163,12*$B$9,-12*$B$8*(1+$B$4)^30))*IF(AF163+IF($B$1+30&lt;=$B163,12*$B$9,-12*$B$8*(1+$B$4)^30)&gt;0,1+$B$3,1))</f>
        <v/>
      </c>
      <c r="AH163">
        <f>IF($B$1+31&gt;90,AG163,(AG163+IF($B$1+31&lt;=$B163,12*$B$9,-12*$B$8*(1+$B$4)^31))*IF(AG163+IF($B$1+31&lt;=$B163,12*$B$9,-12*$B$8*(1+$B$4)^31)&gt;0,1+$B$3,1))</f>
        <v/>
      </c>
      <c r="AI163">
        <f>IF($B$1+32&gt;90,AH163,(AH163+IF($B$1+32&lt;=$B163,12*$B$9,-12*$B$8*(1+$B$4)^32))*IF(AH163+IF($B$1+32&lt;=$B163,12*$B$9,-12*$B$8*(1+$B$4)^32)&gt;0,1+$B$3,1))</f>
        <v/>
      </c>
      <c r="AJ163">
        <f>IF($B$1+33&gt;90,AI163,(AI163+IF($B$1+33&lt;=$B163,12*$B$9,-12*$B$8*(1+$B$4)^33))*IF(AI163+IF($B$1+33&lt;=$B163,12*$B$9,-12*$B$8*(1+$B$4)^33)&gt;0,1+$B$3,1))</f>
        <v/>
      </c>
      <c r="AK163">
        <f>IF($B$1+34&gt;90,AJ163,(AJ163+IF($B$1+34&lt;=$B163,12*$B$9,-12*$B$8*(1+$B$4)^34))*IF(AJ163+IF($B$1+34&lt;=$B163,12*$B$9,-12*$B$8*(1+$B$4)^34)&gt;0,1+$B$3,1))</f>
        <v/>
      </c>
      <c r="AL163">
        <f>IF($B$1+35&gt;90,AK163,(AK163+IF($B$1+35&lt;=$B163,12*$B$9,-12*$B$8*(1+$B$4)^35))*IF(AK163+IF($B$1+35&lt;=$B163,12*$B$9,-12*$B$8*(1+$B$4)^35)&gt;0,1+$B$3,1))</f>
        <v/>
      </c>
      <c r="AM163">
        <f>IF($B$1+36&gt;90,AL163,(AL163+IF($B$1+36&lt;=$B163,12*$B$9,-12*$B$8*(1+$B$4)^36))*IF(AL163+IF($B$1+36&lt;=$B163,12*$B$9,-12*$B$8*(1+$B$4)^36)&gt;0,1+$B$3,1))</f>
        <v/>
      </c>
      <c r="AN163">
        <f>IF($B$1+37&gt;90,AM163,(AM163+IF($B$1+37&lt;=$B163,12*$B$9,-12*$B$8*(1+$B$4)^37))*IF(AM163+IF($B$1+37&lt;=$B163,12*$B$9,-12*$B$8*(1+$B$4)^37)&gt;0,1+$B$3,1))</f>
        <v/>
      </c>
      <c r="AO163">
        <f>IF($B$1+38&gt;90,AN163,(AN163+IF($B$1+38&lt;=$B163,12*$B$9,-12*$B$8*(1+$B$4)^38))*IF(AN163+IF($B$1+38&lt;=$B163,12*$B$9,-12*$B$8*(1+$B$4)^38)&gt;0,1+$B$3,1))</f>
        <v/>
      </c>
      <c r="AP163">
        <f>IF($B$1+39&gt;90,AO163,(AO163+IF($B$1+39&lt;=$B163,12*$B$9,-12*$B$8*(1+$B$4)^39))*IF(AO163+IF($B$1+39&lt;=$B163,12*$B$9,-12*$B$8*(1+$B$4)^39)&gt;0,1+$B$3,1))</f>
        <v/>
      </c>
      <c r="AQ163">
        <f>IF($B$1+40&gt;90,AP163,(AP163+IF($B$1+40&lt;=$B163,12*$B$9,-12*$B$8*(1+$B$4)^40))*IF(AP163+IF($B$1+40&lt;=$B163,12*$B$9,-12*$B$8*(1+$B$4)^40)&gt;0,1+$B$3,1))</f>
        <v/>
      </c>
      <c r="AR163">
        <f>IF($B$1+41&gt;90,AQ163,(AQ163+IF($B$1+41&lt;=$B163,12*$B$9,-12*$B$8*(1+$B$4)^41))*IF(AQ163+IF($B$1+41&lt;=$B163,12*$B$9,-12*$B$8*(1+$B$4)^41)&gt;0,1+$B$3,1))</f>
        <v/>
      </c>
      <c r="AS163">
        <f>IF($B$1+42&gt;90,AR163,(AR163+IF($B$1+42&lt;=$B163,12*$B$9,-12*$B$8*(1+$B$4)^42))*IF(AR163+IF($B$1+42&lt;=$B163,12*$B$9,-12*$B$8*(1+$B$4)^42)&gt;0,1+$B$3,1))</f>
        <v/>
      </c>
      <c r="AT163">
        <f>IF($B$1+43&gt;90,AS163,(AS163+IF($B$1+43&lt;=$B163,12*$B$9,-12*$B$8*(1+$B$4)^43))*IF(AS163+IF($B$1+43&lt;=$B163,12*$B$9,-12*$B$8*(1+$B$4)^43)&gt;0,1+$B$3,1))</f>
        <v/>
      </c>
      <c r="AU163">
        <f>IF($B$1+44&gt;90,AT163,(AT163+IF($B$1+44&lt;=$B163,12*$B$9,-12*$B$8*(1+$B$4)^44))*IF(AT163+IF($B$1+44&lt;=$B163,12*$B$9,-12*$B$8*(1+$B$4)^44)&gt;0,1+$B$3,1))</f>
        <v/>
      </c>
      <c r="AV163">
        <f>IF($B$1+45&gt;90,AU163,(AU163+IF($B$1+45&lt;=$B163,12*$B$9,-12*$B$8*(1+$B$4)^45))*IF(AU163+IF($B$1+45&lt;=$B163,12*$B$9,-12*$B$8*(1+$B$4)^45)&gt;0,1+$B$3,1))</f>
        <v/>
      </c>
      <c r="AW163">
        <f>IF($B$1+46&gt;90,AV163,(AV163+IF($B$1+46&lt;=$B163,12*$B$9,-12*$B$8*(1+$B$4)^46))*IF(AV163+IF($B$1+46&lt;=$B163,12*$B$9,-12*$B$8*(1+$B$4)^46)&gt;0,1+$B$3,1))</f>
        <v/>
      </c>
      <c r="AX163">
        <f>IF($B$1+47&gt;90,AW163,(AW163+IF($B$1+47&lt;=$B163,12*$B$9,-12*$B$8*(1+$B$4)^47))*IF(AW163+IF($B$1+47&lt;=$B163,12*$B$9,-12*$B$8*(1+$B$4)^47)&gt;0,1+$B$3,1))</f>
        <v/>
      </c>
      <c r="AY163">
        <f>IF($B$1+48&gt;90,AX163,(AX163+IF($B$1+48&lt;=$B163,12*$B$9,-12*$B$8*(1+$B$4)^48))*IF(AX163+IF($B$1+48&lt;=$B163,12*$B$9,-12*$B$8*(1+$B$4)^48)&gt;0,1+$B$3,1))</f>
        <v/>
      </c>
      <c r="AZ163">
        <f>IF($B$1+49&gt;90,AY163,(AY163+IF($B$1+49&lt;=$B163,12*$B$9,-12*$B$8*(1+$B$4)^49))*IF(AY163+IF($B$1+49&lt;=$B163,12*$B$9,-12*$B$8*(1+$B$4)^49)&gt;0,1+$B$3,1))</f>
        <v/>
      </c>
      <c r="BA163">
        <f>IF($B$1+50&gt;90,AZ163,(AZ163+IF($B$1+50&lt;=$B163,12*$B$9,-12*$B$8*(1+$B$4)^50))*IF(AZ163+IF($B$1+50&lt;=$B163,12*$B$9,-12*$B$8*(1+$B$4)^50)&gt;0,1+$B$3,1))</f>
        <v/>
      </c>
      <c r="BB163">
        <f>IF($B$1+51&gt;90,BA163,(BA163+IF($B$1+51&lt;=$B163,12*$B$9,-12*$B$8*(1+$B$4)^51))*IF(BA163+IF($B$1+51&lt;=$B163,12*$B$9,-12*$B$8*(1+$B$4)^51)&gt;0,1+$B$3,1))</f>
        <v/>
      </c>
      <c r="BC163">
        <f>IF($B$1+52&gt;90,BB163,(BB163+IF($B$1+52&lt;=$B163,12*$B$9,-12*$B$8*(1+$B$4)^52))*IF(BB163+IF($B$1+52&lt;=$B163,12*$B$9,-12*$B$8*(1+$B$4)^52)&gt;0,1+$B$3,1))</f>
        <v/>
      </c>
      <c r="BD163">
        <f>IF($B$1+53&gt;90,BC163,(BC163+IF($B$1+53&lt;=$B163,12*$B$9,-12*$B$8*(1+$B$4)^53))*IF(BC163+IF($B$1+53&lt;=$B163,12*$B$9,-12*$B$8*(1+$B$4)^53)&gt;0,1+$B$3,1))</f>
        <v/>
      </c>
      <c r="BE163">
        <f>IF($B$1+54&gt;90,BD163,(BD163+IF($B$1+54&lt;=$B163,12*$B$9,-12*$B$8*(1+$B$4)^54))*IF(BD163+IF($B$1+54&lt;=$B163,12*$B$9,-12*$B$8*(1+$B$4)^54)&gt;0,1+$B$3,1))</f>
        <v/>
      </c>
      <c r="BF163">
        <f>IF($B$1+55&gt;90,BE163,(BE163+IF($B$1+55&lt;=$B163,12*$B$9,-12*$B$8*(1+$B$4)^55))*IF(BE163+IF($B$1+55&lt;=$B163,12*$B$9,-12*$B$8*(1+$B$4)^55)&gt;0,1+$B$3,1))</f>
        <v/>
      </c>
      <c r="BG163">
        <f>IF($B$1+56&gt;90,BF163,(BF163+IF($B$1+56&lt;=$B163,12*$B$9,-12*$B$8*(1+$B$4)^56))*IF(BF163+IF($B$1+56&lt;=$B163,12*$B$9,-12*$B$8*(1+$B$4)^56)&gt;0,1+$B$3,1))</f>
        <v/>
      </c>
      <c r="BH163">
        <f>IF($B$1+57&gt;90,BG163,(BG163+IF($B$1+57&lt;=$B163,12*$B$9,-12*$B$8*(1+$B$4)^57))*IF(BG163+IF($B$1+57&lt;=$B163,12*$B$9,-12*$B$8*(1+$B$4)^57)&gt;0,1+$B$3,1))</f>
        <v/>
      </c>
      <c r="BI163">
        <f>IF($B$1+58&gt;90,BH163,(BH163+IF($B$1+58&lt;=$B163,12*$B$9,-12*$B$8*(1+$B$4)^58))*IF(BH163+IF($B$1+58&lt;=$B163,12*$B$9,-12*$B$8*(1+$B$4)^58)&gt;0,1+$B$3,1))</f>
        <v/>
      </c>
      <c r="BJ163">
        <f>IF($B$1+59&gt;90,BI163,(BI163+IF($B$1+59&lt;=$B163,12*$B$9,-12*$B$8*(1+$B$4)^59))*IF(BI163+IF($B$1+59&lt;=$B163,12*$B$9,-12*$B$8*(1+$B$4)^59)&gt;0,1+$B$3,1))</f>
        <v/>
      </c>
      <c r="BK163">
        <f>IF($B$1+60&gt;90,BJ163,(BJ163+IF($B$1+60&lt;=$B163,12*$B$9,-12*$B$8*(1+$B$4)^60))*IF(BJ163+IF($B$1+60&lt;=$B163,12*$B$9,-12*$B$8*(1+$B$4)^60)&gt;0,1+$B$3,1))</f>
        <v/>
      </c>
      <c r="BL163">
        <f>IF($B$1+61&gt;90,BK163,(BK163+IF($B$1+61&lt;=$B163,12*$B$9,-12*$B$8*(1+$B$4)^61))*IF(BK163+IF($B$1+61&lt;=$B163,12*$B$9,-12*$B$8*(1+$B$4)^61)&gt;0,1+$B$3,1))</f>
        <v/>
      </c>
      <c r="BM163">
        <f>IF($B$1+62&gt;90,BL163,(BL163+IF($B$1+62&lt;=$B163,12*$B$9,-12*$B$8*(1+$B$4)^62))*IF(BL163+IF($B$1+62&lt;=$B163,12*$B$9,-12*$B$8*(1+$B$4)^62)&gt;0,1+$B$3,1))</f>
        <v/>
      </c>
      <c r="BN163">
        <f>IF($B$1+63&gt;90,BM163,(BM163+IF($B$1+63&lt;=$B163,12*$B$9,-12*$B$8*(1+$B$4)^63))*IF(BM163+IF($B$1+63&lt;=$B163,12*$B$9,-12*$B$8*(1+$B$4)^63)&gt;0,1+$B$3,1))</f>
        <v/>
      </c>
      <c r="BO163">
        <f>IF($B$1+64&gt;90,BN163,(BN163+IF($B$1+64&lt;=$B163,12*$B$9,-12*$B$8*(1+$B$4)^64))*IF(BN163+IF($B$1+64&lt;=$B163,12*$B$9,-12*$B$8*(1+$B$4)^64)&gt;0,1+$B$3,1))</f>
        <v/>
      </c>
      <c r="BP163">
        <f>IF($B$1+65&gt;90,BO163,(BO163+IF($B$1+65&lt;=$B163,12*$B$9,-12*$B$8*(1+$B$4)^65))*IF(BO163+IF($B$1+65&lt;=$B163,12*$B$9,-12*$B$8*(1+$B$4)^65)&gt;0,1+$B$3,1))</f>
        <v/>
      </c>
      <c r="BQ163">
        <f>IF($B$1+66&gt;90,BP163,(BP163+IF($B$1+66&lt;=$B163,12*$B$9,-12*$B$8*(1+$B$4)^66))*IF(BP163+IF($B$1+66&lt;=$B163,12*$B$9,-12*$B$8*(1+$B$4)^66)&gt;0,1+$B$3,1))</f>
        <v/>
      </c>
      <c r="BR163">
        <f>IF($B$1+67&gt;90,BQ163,(BQ163+IF($B$1+67&lt;=$B163,12*$B$9,-12*$B$8*(1+$B$4)^67))*IF(BQ163+IF($B$1+67&lt;=$B163,12*$B$9,-12*$B$8*(1+$B$4)^67)&gt;0,1+$B$3,1))</f>
        <v/>
      </c>
      <c r="BS163">
        <f>IF($B$1+68&gt;90,BR163,(BR163+IF($B$1+68&lt;=$B163,12*$B$9,-12*$B$8*(1+$B$4)^68))*IF(BR163+IF($B$1+68&lt;=$B163,12*$B$9,-12*$B$8*(1+$B$4)^68)&gt;0,1+$B$3,1))</f>
        <v/>
      </c>
      <c r="BT163">
        <f>IF($B$1+69&gt;90,BS163,(BS163+IF($B$1+69&lt;=$B163,12*$B$9,-12*$B$8*(1+$B$4)^69))*IF(BS163+IF($B$1+69&lt;=$B163,12*$B$9,-12*$B$8*(1+$B$4)^69)&gt;0,1+$B$3,1))</f>
        <v/>
      </c>
      <c r="BU163">
        <f>IF($B$1+70&gt;90,BT163,(BT163+IF($B$1+70&lt;=$B163,12*$B$9,-12*$B$8*(1+$B$4)^70))*IF(BT163+IF($B$1+70&lt;=$B163,12*$B$9,-12*$B$8*(1+$B$4)^70)&gt;0,1+$B$3,1))</f>
        <v/>
      </c>
      <c r="BV163">
        <f>BU163</f>
        <v/>
      </c>
      <c r="BW163">
        <f>IF(AND($B163&lt;=70,BV163&gt;0),$B163,999)</f>
        <v/>
      </c>
    </row>
    <row r="164">
      <c r="A164" t="n">
        <v>12</v>
      </c>
      <c r="B164">
        <f>$B$1+12</f>
        <v/>
      </c>
      <c r="C164">
        <f>$B$2</f>
        <v/>
      </c>
      <c r="D164">
        <f>IF($B$1+1&gt;90,C164,(C164+IF($B$1+1&lt;=$B164,12*$B$9,-12*$B$8*(1+$B$4)^1))*IF(C164+IF($B$1+1&lt;=$B164,12*$B$9,-12*$B$8*(1+$B$4)^1)&gt;0,1+$B$3,1))</f>
        <v/>
      </c>
      <c r="E164">
        <f>IF($B$1+2&gt;90,D164,(D164+IF($B$1+2&lt;=$B164,12*$B$9,-12*$B$8*(1+$B$4)^2))*IF(D164+IF($B$1+2&lt;=$B164,12*$B$9,-12*$B$8*(1+$B$4)^2)&gt;0,1+$B$3,1))</f>
        <v/>
      </c>
      <c r="F164">
        <f>IF($B$1+3&gt;90,E164,(E164+IF($B$1+3&lt;=$B164,12*$B$9,-12*$B$8*(1+$B$4)^3))*IF(E164+IF($B$1+3&lt;=$B164,12*$B$9,-12*$B$8*(1+$B$4)^3)&gt;0,1+$B$3,1))</f>
        <v/>
      </c>
      <c r="G164">
        <f>IF($B$1+4&gt;90,F164,(F164+IF($B$1+4&lt;=$B164,12*$B$9,-12*$B$8*(1+$B$4)^4))*IF(F164+IF($B$1+4&lt;=$B164,12*$B$9,-12*$B$8*(1+$B$4)^4)&gt;0,1+$B$3,1))</f>
        <v/>
      </c>
      <c r="H164">
        <f>IF($B$1+5&gt;90,G164,(G164+IF($B$1+5&lt;=$B164,12*$B$9,-12*$B$8*(1+$B$4)^5))*IF(G164+IF($B$1+5&lt;=$B164,12*$B$9,-12*$B$8*(1+$B$4)^5)&gt;0,1+$B$3,1))</f>
        <v/>
      </c>
      <c r="I164">
        <f>IF($B$1+6&gt;90,H164,(H164+IF($B$1+6&lt;=$B164,12*$B$9,-12*$B$8*(1+$B$4)^6))*IF(H164+IF($B$1+6&lt;=$B164,12*$B$9,-12*$B$8*(1+$B$4)^6)&gt;0,1+$B$3,1))</f>
        <v/>
      </c>
      <c r="J164">
        <f>IF($B$1+7&gt;90,I164,(I164+IF($B$1+7&lt;=$B164,12*$B$9,-12*$B$8*(1+$B$4)^7))*IF(I164+IF($B$1+7&lt;=$B164,12*$B$9,-12*$B$8*(1+$B$4)^7)&gt;0,1+$B$3,1))</f>
        <v/>
      </c>
      <c r="K164">
        <f>IF($B$1+8&gt;90,J164,(J164+IF($B$1+8&lt;=$B164,12*$B$9,-12*$B$8*(1+$B$4)^8))*IF(J164+IF($B$1+8&lt;=$B164,12*$B$9,-12*$B$8*(1+$B$4)^8)&gt;0,1+$B$3,1))</f>
        <v/>
      </c>
      <c r="L164">
        <f>IF($B$1+9&gt;90,K164,(K164+IF($B$1+9&lt;=$B164,12*$B$9,-12*$B$8*(1+$B$4)^9))*IF(K164+IF($B$1+9&lt;=$B164,12*$B$9,-12*$B$8*(1+$B$4)^9)&gt;0,1+$B$3,1))</f>
        <v/>
      </c>
      <c r="M164">
        <f>IF($B$1+10&gt;90,L164,(L164+IF($B$1+10&lt;=$B164,12*$B$9,-12*$B$8*(1+$B$4)^10))*IF(L164+IF($B$1+10&lt;=$B164,12*$B$9,-12*$B$8*(1+$B$4)^10)&gt;0,1+$B$3,1))</f>
        <v/>
      </c>
      <c r="N164">
        <f>IF($B$1+11&gt;90,M164,(M164+IF($B$1+11&lt;=$B164,12*$B$9,-12*$B$8*(1+$B$4)^11))*IF(M164+IF($B$1+11&lt;=$B164,12*$B$9,-12*$B$8*(1+$B$4)^11)&gt;0,1+$B$3,1))</f>
        <v/>
      </c>
      <c r="O164">
        <f>IF($B$1+12&gt;90,N164,(N164+IF($B$1+12&lt;=$B164,12*$B$9,-12*$B$8*(1+$B$4)^12))*IF(N164+IF($B$1+12&lt;=$B164,12*$B$9,-12*$B$8*(1+$B$4)^12)&gt;0,1+$B$3,1))</f>
        <v/>
      </c>
      <c r="P164">
        <f>IF($B$1+13&gt;90,O164,(O164+IF($B$1+13&lt;=$B164,12*$B$9,-12*$B$8*(1+$B$4)^13))*IF(O164+IF($B$1+13&lt;=$B164,12*$B$9,-12*$B$8*(1+$B$4)^13)&gt;0,1+$B$3,1))</f>
        <v/>
      </c>
      <c r="Q164">
        <f>IF($B$1+14&gt;90,P164,(P164+IF($B$1+14&lt;=$B164,12*$B$9,-12*$B$8*(1+$B$4)^14))*IF(P164+IF($B$1+14&lt;=$B164,12*$B$9,-12*$B$8*(1+$B$4)^14)&gt;0,1+$B$3,1))</f>
        <v/>
      </c>
      <c r="R164">
        <f>IF($B$1+15&gt;90,Q164,(Q164+IF($B$1+15&lt;=$B164,12*$B$9,-12*$B$8*(1+$B$4)^15))*IF(Q164+IF($B$1+15&lt;=$B164,12*$B$9,-12*$B$8*(1+$B$4)^15)&gt;0,1+$B$3,1))</f>
        <v/>
      </c>
      <c r="S164">
        <f>IF($B$1+16&gt;90,R164,(R164+IF($B$1+16&lt;=$B164,12*$B$9,-12*$B$8*(1+$B$4)^16))*IF(R164+IF($B$1+16&lt;=$B164,12*$B$9,-12*$B$8*(1+$B$4)^16)&gt;0,1+$B$3,1))</f>
        <v/>
      </c>
      <c r="T164">
        <f>IF($B$1+17&gt;90,S164,(S164+IF($B$1+17&lt;=$B164,12*$B$9,-12*$B$8*(1+$B$4)^17))*IF(S164+IF($B$1+17&lt;=$B164,12*$B$9,-12*$B$8*(1+$B$4)^17)&gt;0,1+$B$3,1))</f>
        <v/>
      </c>
      <c r="U164">
        <f>IF($B$1+18&gt;90,T164,(T164+IF($B$1+18&lt;=$B164,12*$B$9,-12*$B$8*(1+$B$4)^18))*IF(T164+IF($B$1+18&lt;=$B164,12*$B$9,-12*$B$8*(1+$B$4)^18)&gt;0,1+$B$3,1))</f>
        <v/>
      </c>
      <c r="V164">
        <f>IF($B$1+19&gt;90,U164,(U164+IF($B$1+19&lt;=$B164,12*$B$9,-12*$B$8*(1+$B$4)^19))*IF(U164+IF($B$1+19&lt;=$B164,12*$B$9,-12*$B$8*(1+$B$4)^19)&gt;0,1+$B$3,1))</f>
        <v/>
      </c>
      <c r="W164">
        <f>IF($B$1+20&gt;90,V164,(V164+IF($B$1+20&lt;=$B164,12*$B$9,-12*$B$8*(1+$B$4)^20))*IF(V164+IF($B$1+20&lt;=$B164,12*$B$9,-12*$B$8*(1+$B$4)^20)&gt;0,1+$B$3,1))</f>
        <v/>
      </c>
      <c r="X164">
        <f>IF($B$1+21&gt;90,W164,(W164+IF($B$1+21&lt;=$B164,12*$B$9,-12*$B$8*(1+$B$4)^21))*IF(W164+IF($B$1+21&lt;=$B164,12*$B$9,-12*$B$8*(1+$B$4)^21)&gt;0,1+$B$3,1))</f>
        <v/>
      </c>
      <c r="Y164">
        <f>IF($B$1+22&gt;90,X164,(X164+IF($B$1+22&lt;=$B164,12*$B$9,-12*$B$8*(1+$B$4)^22))*IF(X164+IF($B$1+22&lt;=$B164,12*$B$9,-12*$B$8*(1+$B$4)^22)&gt;0,1+$B$3,1))</f>
        <v/>
      </c>
      <c r="Z164">
        <f>IF($B$1+23&gt;90,Y164,(Y164+IF($B$1+23&lt;=$B164,12*$B$9,-12*$B$8*(1+$B$4)^23))*IF(Y164+IF($B$1+23&lt;=$B164,12*$B$9,-12*$B$8*(1+$B$4)^23)&gt;0,1+$B$3,1))</f>
        <v/>
      </c>
      <c r="AA164">
        <f>IF($B$1+24&gt;90,Z164,(Z164+IF($B$1+24&lt;=$B164,12*$B$9,-12*$B$8*(1+$B$4)^24))*IF(Z164+IF($B$1+24&lt;=$B164,12*$B$9,-12*$B$8*(1+$B$4)^24)&gt;0,1+$B$3,1))</f>
        <v/>
      </c>
      <c r="AB164">
        <f>IF($B$1+25&gt;90,AA164,(AA164+IF($B$1+25&lt;=$B164,12*$B$9,-12*$B$8*(1+$B$4)^25))*IF(AA164+IF($B$1+25&lt;=$B164,12*$B$9,-12*$B$8*(1+$B$4)^25)&gt;0,1+$B$3,1))</f>
        <v/>
      </c>
      <c r="AC164">
        <f>IF($B$1+26&gt;90,AB164,(AB164+IF($B$1+26&lt;=$B164,12*$B$9,-12*$B$8*(1+$B$4)^26))*IF(AB164+IF($B$1+26&lt;=$B164,12*$B$9,-12*$B$8*(1+$B$4)^26)&gt;0,1+$B$3,1))</f>
        <v/>
      </c>
      <c r="AD164">
        <f>IF($B$1+27&gt;90,AC164,(AC164+IF($B$1+27&lt;=$B164,12*$B$9,-12*$B$8*(1+$B$4)^27))*IF(AC164+IF($B$1+27&lt;=$B164,12*$B$9,-12*$B$8*(1+$B$4)^27)&gt;0,1+$B$3,1))</f>
        <v/>
      </c>
      <c r="AE164">
        <f>IF($B$1+28&gt;90,AD164,(AD164+IF($B$1+28&lt;=$B164,12*$B$9,-12*$B$8*(1+$B$4)^28))*IF(AD164+IF($B$1+28&lt;=$B164,12*$B$9,-12*$B$8*(1+$B$4)^28)&gt;0,1+$B$3,1))</f>
        <v/>
      </c>
      <c r="AF164">
        <f>IF($B$1+29&gt;90,AE164,(AE164+IF($B$1+29&lt;=$B164,12*$B$9,-12*$B$8*(1+$B$4)^29))*IF(AE164+IF($B$1+29&lt;=$B164,12*$B$9,-12*$B$8*(1+$B$4)^29)&gt;0,1+$B$3,1))</f>
        <v/>
      </c>
      <c r="AG164">
        <f>IF($B$1+30&gt;90,AF164,(AF164+IF($B$1+30&lt;=$B164,12*$B$9,-12*$B$8*(1+$B$4)^30))*IF(AF164+IF($B$1+30&lt;=$B164,12*$B$9,-12*$B$8*(1+$B$4)^30)&gt;0,1+$B$3,1))</f>
        <v/>
      </c>
      <c r="AH164">
        <f>IF($B$1+31&gt;90,AG164,(AG164+IF($B$1+31&lt;=$B164,12*$B$9,-12*$B$8*(1+$B$4)^31))*IF(AG164+IF($B$1+31&lt;=$B164,12*$B$9,-12*$B$8*(1+$B$4)^31)&gt;0,1+$B$3,1))</f>
        <v/>
      </c>
      <c r="AI164">
        <f>IF($B$1+32&gt;90,AH164,(AH164+IF($B$1+32&lt;=$B164,12*$B$9,-12*$B$8*(1+$B$4)^32))*IF(AH164+IF($B$1+32&lt;=$B164,12*$B$9,-12*$B$8*(1+$B$4)^32)&gt;0,1+$B$3,1))</f>
        <v/>
      </c>
      <c r="AJ164">
        <f>IF($B$1+33&gt;90,AI164,(AI164+IF($B$1+33&lt;=$B164,12*$B$9,-12*$B$8*(1+$B$4)^33))*IF(AI164+IF($B$1+33&lt;=$B164,12*$B$9,-12*$B$8*(1+$B$4)^33)&gt;0,1+$B$3,1))</f>
        <v/>
      </c>
      <c r="AK164">
        <f>IF($B$1+34&gt;90,AJ164,(AJ164+IF($B$1+34&lt;=$B164,12*$B$9,-12*$B$8*(1+$B$4)^34))*IF(AJ164+IF($B$1+34&lt;=$B164,12*$B$9,-12*$B$8*(1+$B$4)^34)&gt;0,1+$B$3,1))</f>
        <v/>
      </c>
      <c r="AL164">
        <f>IF($B$1+35&gt;90,AK164,(AK164+IF($B$1+35&lt;=$B164,12*$B$9,-12*$B$8*(1+$B$4)^35))*IF(AK164+IF($B$1+35&lt;=$B164,12*$B$9,-12*$B$8*(1+$B$4)^35)&gt;0,1+$B$3,1))</f>
        <v/>
      </c>
      <c r="AM164">
        <f>IF($B$1+36&gt;90,AL164,(AL164+IF($B$1+36&lt;=$B164,12*$B$9,-12*$B$8*(1+$B$4)^36))*IF(AL164+IF($B$1+36&lt;=$B164,12*$B$9,-12*$B$8*(1+$B$4)^36)&gt;0,1+$B$3,1))</f>
        <v/>
      </c>
      <c r="AN164">
        <f>IF($B$1+37&gt;90,AM164,(AM164+IF($B$1+37&lt;=$B164,12*$B$9,-12*$B$8*(1+$B$4)^37))*IF(AM164+IF($B$1+37&lt;=$B164,12*$B$9,-12*$B$8*(1+$B$4)^37)&gt;0,1+$B$3,1))</f>
        <v/>
      </c>
      <c r="AO164">
        <f>IF($B$1+38&gt;90,AN164,(AN164+IF($B$1+38&lt;=$B164,12*$B$9,-12*$B$8*(1+$B$4)^38))*IF(AN164+IF($B$1+38&lt;=$B164,12*$B$9,-12*$B$8*(1+$B$4)^38)&gt;0,1+$B$3,1))</f>
        <v/>
      </c>
      <c r="AP164">
        <f>IF($B$1+39&gt;90,AO164,(AO164+IF($B$1+39&lt;=$B164,12*$B$9,-12*$B$8*(1+$B$4)^39))*IF(AO164+IF($B$1+39&lt;=$B164,12*$B$9,-12*$B$8*(1+$B$4)^39)&gt;0,1+$B$3,1))</f>
        <v/>
      </c>
      <c r="AQ164">
        <f>IF($B$1+40&gt;90,AP164,(AP164+IF($B$1+40&lt;=$B164,12*$B$9,-12*$B$8*(1+$B$4)^40))*IF(AP164+IF($B$1+40&lt;=$B164,12*$B$9,-12*$B$8*(1+$B$4)^40)&gt;0,1+$B$3,1))</f>
        <v/>
      </c>
      <c r="AR164">
        <f>IF($B$1+41&gt;90,AQ164,(AQ164+IF($B$1+41&lt;=$B164,12*$B$9,-12*$B$8*(1+$B$4)^41))*IF(AQ164+IF($B$1+41&lt;=$B164,12*$B$9,-12*$B$8*(1+$B$4)^41)&gt;0,1+$B$3,1))</f>
        <v/>
      </c>
      <c r="AS164">
        <f>IF($B$1+42&gt;90,AR164,(AR164+IF($B$1+42&lt;=$B164,12*$B$9,-12*$B$8*(1+$B$4)^42))*IF(AR164+IF($B$1+42&lt;=$B164,12*$B$9,-12*$B$8*(1+$B$4)^42)&gt;0,1+$B$3,1))</f>
        <v/>
      </c>
      <c r="AT164">
        <f>IF($B$1+43&gt;90,AS164,(AS164+IF($B$1+43&lt;=$B164,12*$B$9,-12*$B$8*(1+$B$4)^43))*IF(AS164+IF($B$1+43&lt;=$B164,12*$B$9,-12*$B$8*(1+$B$4)^43)&gt;0,1+$B$3,1))</f>
        <v/>
      </c>
      <c r="AU164">
        <f>IF($B$1+44&gt;90,AT164,(AT164+IF($B$1+44&lt;=$B164,12*$B$9,-12*$B$8*(1+$B$4)^44))*IF(AT164+IF($B$1+44&lt;=$B164,12*$B$9,-12*$B$8*(1+$B$4)^44)&gt;0,1+$B$3,1))</f>
        <v/>
      </c>
      <c r="AV164">
        <f>IF($B$1+45&gt;90,AU164,(AU164+IF($B$1+45&lt;=$B164,12*$B$9,-12*$B$8*(1+$B$4)^45))*IF(AU164+IF($B$1+45&lt;=$B164,12*$B$9,-12*$B$8*(1+$B$4)^45)&gt;0,1+$B$3,1))</f>
        <v/>
      </c>
      <c r="AW164">
        <f>IF($B$1+46&gt;90,AV164,(AV164+IF($B$1+46&lt;=$B164,12*$B$9,-12*$B$8*(1+$B$4)^46))*IF(AV164+IF($B$1+46&lt;=$B164,12*$B$9,-12*$B$8*(1+$B$4)^46)&gt;0,1+$B$3,1))</f>
        <v/>
      </c>
      <c r="AX164">
        <f>IF($B$1+47&gt;90,AW164,(AW164+IF($B$1+47&lt;=$B164,12*$B$9,-12*$B$8*(1+$B$4)^47))*IF(AW164+IF($B$1+47&lt;=$B164,12*$B$9,-12*$B$8*(1+$B$4)^47)&gt;0,1+$B$3,1))</f>
        <v/>
      </c>
      <c r="AY164">
        <f>IF($B$1+48&gt;90,AX164,(AX164+IF($B$1+48&lt;=$B164,12*$B$9,-12*$B$8*(1+$B$4)^48))*IF(AX164+IF($B$1+48&lt;=$B164,12*$B$9,-12*$B$8*(1+$B$4)^48)&gt;0,1+$B$3,1))</f>
        <v/>
      </c>
      <c r="AZ164">
        <f>IF($B$1+49&gt;90,AY164,(AY164+IF($B$1+49&lt;=$B164,12*$B$9,-12*$B$8*(1+$B$4)^49))*IF(AY164+IF($B$1+49&lt;=$B164,12*$B$9,-12*$B$8*(1+$B$4)^49)&gt;0,1+$B$3,1))</f>
        <v/>
      </c>
      <c r="BA164">
        <f>IF($B$1+50&gt;90,AZ164,(AZ164+IF($B$1+50&lt;=$B164,12*$B$9,-12*$B$8*(1+$B$4)^50))*IF(AZ164+IF($B$1+50&lt;=$B164,12*$B$9,-12*$B$8*(1+$B$4)^50)&gt;0,1+$B$3,1))</f>
        <v/>
      </c>
      <c r="BB164">
        <f>IF($B$1+51&gt;90,BA164,(BA164+IF($B$1+51&lt;=$B164,12*$B$9,-12*$B$8*(1+$B$4)^51))*IF(BA164+IF($B$1+51&lt;=$B164,12*$B$9,-12*$B$8*(1+$B$4)^51)&gt;0,1+$B$3,1))</f>
        <v/>
      </c>
      <c r="BC164">
        <f>IF($B$1+52&gt;90,BB164,(BB164+IF($B$1+52&lt;=$B164,12*$B$9,-12*$B$8*(1+$B$4)^52))*IF(BB164+IF($B$1+52&lt;=$B164,12*$B$9,-12*$B$8*(1+$B$4)^52)&gt;0,1+$B$3,1))</f>
        <v/>
      </c>
      <c r="BD164">
        <f>IF($B$1+53&gt;90,BC164,(BC164+IF($B$1+53&lt;=$B164,12*$B$9,-12*$B$8*(1+$B$4)^53))*IF(BC164+IF($B$1+53&lt;=$B164,12*$B$9,-12*$B$8*(1+$B$4)^53)&gt;0,1+$B$3,1))</f>
        <v/>
      </c>
      <c r="BE164">
        <f>IF($B$1+54&gt;90,BD164,(BD164+IF($B$1+54&lt;=$B164,12*$B$9,-12*$B$8*(1+$B$4)^54))*IF(BD164+IF($B$1+54&lt;=$B164,12*$B$9,-12*$B$8*(1+$B$4)^54)&gt;0,1+$B$3,1))</f>
        <v/>
      </c>
      <c r="BF164">
        <f>IF($B$1+55&gt;90,BE164,(BE164+IF($B$1+55&lt;=$B164,12*$B$9,-12*$B$8*(1+$B$4)^55))*IF(BE164+IF($B$1+55&lt;=$B164,12*$B$9,-12*$B$8*(1+$B$4)^55)&gt;0,1+$B$3,1))</f>
        <v/>
      </c>
      <c r="BG164">
        <f>IF($B$1+56&gt;90,BF164,(BF164+IF($B$1+56&lt;=$B164,12*$B$9,-12*$B$8*(1+$B$4)^56))*IF(BF164+IF($B$1+56&lt;=$B164,12*$B$9,-12*$B$8*(1+$B$4)^56)&gt;0,1+$B$3,1))</f>
        <v/>
      </c>
      <c r="BH164">
        <f>IF($B$1+57&gt;90,BG164,(BG164+IF($B$1+57&lt;=$B164,12*$B$9,-12*$B$8*(1+$B$4)^57))*IF(BG164+IF($B$1+57&lt;=$B164,12*$B$9,-12*$B$8*(1+$B$4)^57)&gt;0,1+$B$3,1))</f>
        <v/>
      </c>
      <c r="BI164">
        <f>IF($B$1+58&gt;90,BH164,(BH164+IF($B$1+58&lt;=$B164,12*$B$9,-12*$B$8*(1+$B$4)^58))*IF(BH164+IF($B$1+58&lt;=$B164,12*$B$9,-12*$B$8*(1+$B$4)^58)&gt;0,1+$B$3,1))</f>
        <v/>
      </c>
      <c r="BJ164">
        <f>IF($B$1+59&gt;90,BI164,(BI164+IF($B$1+59&lt;=$B164,12*$B$9,-12*$B$8*(1+$B$4)^59))*IF(BI164+IF($B$1+59&lt;=$B164,12*$B$9,-12*$B$8*(1+$B$4)^59)&gt;0,1+$B$3,1))</f>
        <v/>
      </c>
      <c r="BK164">
        <f>IF($B$1+60&gt;90,BJ164,(BJ164+IF($B$1+60&lt;=$B164,12*$B$9,-12*$B$8*(1+$B$4)^60))*IF(BJ164+IF($B$1+60&lt;=$B164,12*$B$9,-12*$B$8*(1+$B$4)^60)&gt;0,1+$B$3,1))</f>
        <v/>
      </c>
      <c r="BL164">
        <f>IF($B$1+61&gt;90,BK164,(BK164+IF($B$1+61&lt;=$B164,12*$B$9,-12*$B$8*(1+$B$4)^61))*IF(BK164+IF($B$1+61&lt;=$B164,12*$B$9,-12*$B$8*(1+$B$4)^61)&gt;0,1+$B$3,1))</f>
        <v/>
      </c>
      <c r="BM164">
        <f>IF($B$1+62&gt;90,BL164,(BL164+IF($B$1+62&lt;=$B164,12*$B$9,-12*$B$8*(1+$B$4)^62))*IF(BL164+IF($B$1+62&lt;=$B164,12*$B$9,-12*$B$8*(1+$B$4)^62)&gt;0,1+$B$3,1))</f>
        <v/>
      </c>
      <c r="BN164">
        <f>IF($B$1+63&gt;90,BM164,(BM164+IF($B$1+63&lt;=$B164,12*$B$9,-12*$B$8*(1+$B$4)^63))*IF(BM164+IF($B$1+63&lt;=$B164,12*$B$9,-12*$B$8*(1+$B$4)^63)&gt;0,1+$B$3,1))</f>
        <v/>
      </c>
      <c r="BO164">
        <f>IF($B$1+64&gt;90,BN164,(BN164+IF($B$1+64&lt;=$B164,12*$B$9,-12*$B$8*(1+$B$4)^64))*IF(BN164+IF($B$1+64&lt;=$B164,12*$B$9,-12*$B$8*(1+$B$4)^64)&gt;0,1+$B$3,1))</f>
        <v/>
      </c>
      <c r="BP164">
        <f>IF($B$1+65&gt;90,BO164,(BO164+IF($B$1+65&lt;=$B164,12*$B$9,-12*$B$8*(1+$B$4)^65))*IF(BO164+IF($B$1+65&lt;=$B164,12*$B$9,-12*$B$8*(1+$B$4)^65)&gt;0,1+$B$3,1))</f>
        <v/>
      </c>
      <c r="BQ164">
        <f>IF($B$1+66&gt;90,BP164,(BP164+IF($B$1+66&lt;=$B164,12*$B$9,-12*$B$8*(1+$B$4)^66))*IF(BP164+IF($B$1+66&lt;=$B164,12*$B$9,-12*$B$8*(1+$B$4)^66)&gt;0,1+$B$3,1))</f>
        <v/>
      </c>
      <c r="BR164">
        <f>IF($B$1+67&gt;90,BQ164,(BQ164+IF($B$1+67&lt;=$B164,12*$B$9,-12*$B$8*(1+$B$4)^67))*IF(BQ164+IF($B$1+67&lt;=$B164,12*$B$9,-12*$B$8*(1+$B$4)^67)&gt;0,1+$B$3,1))</f>
        <v/>
      </c>
      <c r="BS164">
        <f>IF($B$1+68&gt;90,BR164,(BR164+IF($B$1+68&lt;=$B164,12*$B$9,-12*$B$8*(1+$B$4)^68))*IF(BR164+IF($B$1+68&lt;=$B164,12*$B$9,-12*$B$8*(1+$B$4)^68)&gt;0,1+$B$3,1))</f>
        <v/>
      </c>
      <c r="BT164">
        <f>IF($B$1+69&gt;90,BS164,(BS164+IF($B$1+69&lt;=$B164,12*$B$9,-12*$B$8*(1+$B$4)^69))*IF(BS164+IF($B$1+69&lt;=$B164,12*$B$9,-12*$B$8*(1+$B$4)^69)&gt;0,1+$B$3,1))</f>
        <v/>
      </c>
      <c r="BU164">
        <f>IF($B$1+70&gt;90,BT164,(BT164+IF($B$1+70&lt;=$B164,12*$B$9,-12*$B$8*(1+$B$4)^70))*IF(BT164+IF($B$1+70&lt;=$B164,12*$B$9,-12*$B$8*(1+$B$4)^70)&gt;0,1+$B$3,1))</f>
        <v/>
      </c>
      <c r="BV164">
        <f>BU164</f>
        <v/>
      </c>
      <c r="BW164">
        <f>IF(AND($B164&lt;=70,BV164&gt;0),$B164,999)</f>
        <v/>
      </c>
    </row>
    <row r="165">
      <c r="A165" t="n">
        <v>13</v>
      </c>
      <c r="B165">
        <f>$B$1+13</f>
        <v/>
      </c>
      <c r="C165">
        <f>$B$2</f>
        <v/>
      </c>
      <c r="D165">
        <f>IF($B$1+1&gt;90,C165,(C165+IF($B$1+1&lt;=$B165,12*$B$9,-12*$B$8*(1+$B$4)^1))*IF(C165+IF($B$1+1&lt;=$B165,12*$B$9,-12*$B$8*(1+$B$4)^1)&gt;0,1+$B$3,1))</f>
        <v/>
      </c>
      <c r="E165">
        <f>IF($B$1+2&gt;90,D165,(D165+IF($B$1+2&lt;=$B165,12*$B$9,-12*$B$8*(1+$B$4)^2))*IF(D165+IF($B$1+2&lt;=$B165,12*$B$9,-12*$B$8*(1+$B$4)^2)&gt;0,1+$B$3,1))</f>
        <v/>
      </c>
      <c r="F165">
        <f>IF($B$1+3&gt;90,E165,(E165+IF($B$1+3&lt;=$B165,12*$B$9,-12*$B$8*(1+$B$4)^3))*IF(E165+IF($B$1+3&lt;=$B165,12*$B$9,-12*$B$8*(1+$B$4)^3)&gt;0,1+$B$3,1))</f>
        <v/>
      </c>
      <c r="G165">
        <f>IF($B$1+4&gt;90,F165,(F165+IF($B$1+4&lt;=$B165,12*$B$9,-12*$B$8*(1+$B$4)^4))*IF(F165+IF($B$1+4&lt;=$B165,12*$B$9,-12*$B$8*(1+$B$4)^4)&gt;0,1+$B$3,1))</f>
        <v/>
      </c>
      <c r="H165">
        <f>IF($B$1+5&gt;90,G165,(G165+IF($B$1+5&lt;=$B165,12*$B$9,-12*$B$8*(1+$B$4)^5))*IF(G165+IF($B$1+5&lt;=$B165,12*$B$9,-12*$B$8*(1+$B$4)^5)&gt;0,1+$B$3,1))</f>
        <v/>
      </c>
      <c r="I165">
        <f>IF($B$1+6&gt;90,H165,(H165+IF($B$1+6&lt;=$B165,12*$B$9,-12*$B$8*(1+$B$4)^6))*IF(H165+IF($B$1+6&lt;=$B165,12*$B$9,-12*$B$8*(1+$B$4)^6)&gt;0,1+$B$3,1))</f>
        <v/>
      </c>
      <c r="J165">
        <f>IF($B$1+7&gt;90,I165,(I165+IF($B$1+7&lt;=$B165,12*$B$9,-12*$B$8*(1+$B$4)^7))*IF(I165+IF($B$1+7&lt;=$B165,12*$B$9,-12*$B$8*(1+$B$4)^7)&gt;0,1+$B$3,1))</f>
        <v/>
      </c>
      <c r="K165">
        <f>IF($B$1+8&gt;90,J165,(J165+IF($B$1+8&lt;=$B165,12*$B$9,-12*$B$8*(1+$B$4)^8))*IF(J165+IF($B$1+8&lt;=$B165,12*$B$9,-12*$B$8*(1+$B$4)^8)&gt;0,1+$B$3,1))</f>
        <v/>
      </c>
      <c r="L165">
        <f>IF($B$1+9&gt;90,K165,(K165+IF($B$1+9&lt;=$B165,12*$B$9,-12*$B$8*(1+$B$4)^9))*IF(K165+IF($B$1+9&lt;=$B165,12*$B$9,-12*$B$8*(1+$B$4)^9)&gt;0,1+$B$3,1))</f>
        <v/>
      </c>
      <c r="M165">
        <f>IF($B$1+10&gt;90,L165,(L165+IF($B$1+10&lt;=$B165,12*$B$9,-12*$B$8*(1+$B$4)^10))*IF(L165+IF($B$1+10&lt;=$B165,12*$B$9,-12*$B$8*(1+$B$4)^10)&gt;0,1+$B$3,1))</f>
        <v/>
      </c>
      <c r="N165">
        <f>IF($B$1+11&gt;90,M165,(M165+IF($B$1+11&lt;=$B165,12*$B$9,-12*$B$8*(1+$B$4)^11))*IF(M165+IF($B$1+11&lt;=$B165,12*$B$9,-12*$B$8*(1+$B$4)^11)&gt;0,1+$B$3,1))</f>
        <v/>
      </c>
      <c r="O165">
        <f>IF($B$1+12&gt;90,N165,(N165+IF($B$1+12&lt;=$B165,12*$B$9,-12*$B$8*(1+$B$4)^12))*IF(N165+IF($B$1+12&lt;=$B165,12*$B$9,-12*$B$8*(1+$B$4)^12)&gt;0,1+$B$3,1))</f>
        <v/>
      </c>
      <c r="P165">
        <f>IF($B$1+13&gt;90,O165,(O165+IF($B$1+13&lt;=$B165,12*$B$9,-12*$B$8*(1+$B$4)^13))*IF(O165+IF($B$1+13&lt;=$B165,12*$B$9,-12*$B$8*(1+$B$4)^13)&gt;0,1+$B$3,1))</f>
        <v/>
      </c>
      <c r="Q165">
        <f>IF($B$1+14&gt;90,P165,(P165+IF($B$1+14&lt;=$B165,12*$B$9,-12*$B$8*(1+$B$4)^14))*IF(P165+IF($B$1+14&lt;=$B165,12*$B$9,-12*$B$8*(1+$B$4)^14)&gt;0,1+$B$3,1))</f>
        <v/>
      </c>
      <c r="R165">
        <f>IF($B$1+15&gt;90,Q165,(Q165+IF($B$1+15&lt;=$B165,12*$B$9,-12*$B$8*(1+$B$4)^15))*IF(Q165+IF($B$1+15&lt;=$B165,12*$B$9,-12*$B$8*(1+$B$4)^15)&gt;0,1+$B$3,1))</f>
        <v/>
      </c>
      <c r="S165">
        <f>IF($B$1+16&gt;90,R165,(R165+IF($B$1+16&lt;=$B165,12*$B$9,-12*$B$8*(1+$B$4)^16))*IF(R165+IF($B$1+16&lt;=$B165,12*$B$9,-12*$B$8*(1+$B$4)^16)&gt;0,1+$B$3,1))</f>
        <v/>
      </c>
      <c r="T165">
        <f>IF($B$1+17&gt;90,S165,(S165+IF($B$1+17&lt;=$B165,12*$B$9,-12*$B$8*(1+$B$4)^17))*IF(S165+IF($B$1+17&lt;=$B165,12*$B$9,-12*$B$8*(1+$B$4)^17)&gt;0,1+$B$3,1))</f>
        <v/>
      </c>
      <c r="U165">
        <f>IF($B$1+18&gt;90,T165,(T165+IF($B$1+18&lt;=$B165,12*$B$9,-12*$B$8*(1+$B$4)^18))*IF(T165+IF($B$1+18&lt;=$B165,12*$B$9,-12*$B$8*(1+$B$4)^18)&gt;0,1+$B$3,1))</f>
        <v/>
      </c>
      <c r="V165">
        <f>IF($B$1+19&gt;90,U165,(U165+IF($B$1+19&lt;=$B165,12*$B$9,-12*$B$8*(1+$B$4)^19))*IF(U165+IF($B$1+19&lt;=$B165,12*$B$9,-12*$B$8*(1+$B$4)^19)&gt;0,1+$B$3,1))</f>
        <v/>
      </c>
      <c r="W165">
        <f>IF($B$1+20&gt;90,V165,(V165+IF($B$1+20&lt;=$B165,12*$B$9,-12*$B$8*(1+$B$4)^20))*IF(V165+IF($B$1+20&lt;=$B165,12*$B$9,-12*$B$8*(1+$B$4)^20)&gt;0,1+$B$3,1))</f>
        <v/>
      </c>
      <c r="X165">
        <f>IF($B$1+21&gt;90,W165,(W165+IF($B$1+21&lt;=$B165,12*$B$9,-12*$B$8*(1+$B$4)^21))*IF(W165+IF($B$1+21&lt;=$B165,12*$B$9,-12*$B$8*(1+$B$4)^21)&gt;0,1+$B$3,1))</f>
        <v/>
      </c>
      <c r="Y165">
        <f>IF($B$1+22&gt;90,X165,(X165+IF($B$1+22&lt;=$B165,12*$B$9,-12*$B$8*(1+$B$4)^22))*IF(X165+IF($B$1+22&lt;=$B165,12*$B$9,-12*$B$8*(1+$B$4)^22)&gt;0,1+$B$3,1))</f>
        <v/>
      </c>
      <c r="Z165">
        <f>IF($B$1+23&gt;90,Y165,(Y165+IF($B$1+23&lt;=$B165,12*$B$9,-12*$B$8*(1+$B$4)^23))*IF(Y165+IF($B$1+23&lt;=$B165,12*$B$9,-12*$B$8*(1+$B$4)^23)&gt;0,1+$B$3,1))</f>
        <v/>
      </c>
      <c r="AA165">
        <f>IF($B$1+24&gt;90,Z165,(Z165+IF($B$1+24&lt;=$B165,12*$B$9,-12*$B$8*(1+$B$4)^24))*IF(Z165+IF($B$1+24&lt;=$B165,12*$B$9,-12*$B$8*(1+$B$4)^24)&gt;0,1+$B$3,1))</f>
        <v/>
      </c>
      <c r="AB165">
        <f>IF($B$1+25&gt;90,AA165,(AA165+IF($B$1+25&lt;=$B165,12*$B$9,-12*$B$8*(1+$B$4)^25))*IF(AA165+IF($B$1+25&lt;=$B165,12*$B$9,-12*$B$8*(1+$B$4)^25)&gt;0,1+$B$3,1))</f>
        <v/>
      </c>
      <c r="AC165">
        <f>IF($B$1+26&gt;90,AB165,(AB165+IF($B$1+26&lt;=$B165,12*$B$9,-12*$B$8*(1+$B$4)^26))*IF(AB165+IF($B$1+26&lt;=$B165,12*$B$9,-12*$B$8*(1+$B$4)^26)&gt;0,1+$B$3,1))</f>
        <v/>
      </c>
      <c r="AD165">
        <f>IF($B$1+27&gt;90,AC165,(AC165+IF($B$1+27&lt;=$B165,12*$B$9,-12*$B$8*(1+$B$4)^27))*IF(AC165+IF($B$1+27&lt;=$B165,12*$B$9,-12*$B$8*(1+$B$4)^27)&gt;0,1+$B$3,1))</f>
        <v/>
      </c>
      <c r="AE165">
        <f>IF($B$1+28&gt;90,AD165,(AD165+IF($B$1+28&lt;=$B165,12*$B$9,-12*$B$8*(1+$B$4)^28))*IF(AD165+IF($B$1+28&lt;=$B165,12*$B$9,-12*$B$8*(1+$B$4)^28)&gt;0,1+$B$3,1))</f>
        <v/>
      </c>
      <c r="AF165">
        <f>IF($B$1+29&gt;90,AE165,(AE165+IF($B$1+29&lt;=$B165,12*$B$9,-12*$B$8*(1+$B$4)^29))*IF(AE165+IF($B$1+29&lt;=$B165,12*$B$9,-12*$B$8*(1+$B$4)^29)&gt;0,1+$B$3,1))</f>
        <v/>
      </c>
      <c r="AG165">
        <f>IF($B$1+30&gt;90,AF165,(AF165+IF($B$1+30&lt;=$B165,12*$B$9,-12*$B$8*(1+$B$4)^30))*IF(AF165+IF($B$1+30&lt;=$B165,12*$B$9,-12*$B$8*(1+$B$4)^30)&gt;0,1+$B$3,1))</f>
        <v/>
      </c>
      <c r="AH165">
        <f>IF($B$1+31&gt;90,AG165,(AG165+IF($B$1+31&lt;=$B165,12*$B$9,-12*$B$8*(1+$B$4)^31))*IF(AG165+IF($B$1+31&lt;=$B165,12*$B$9,-12*$B$8*(1+$B$4)^31)&gt;0,1+$B$3,1))</f>
        <v/>
      </c>
      <c r="AI165">
        <f>IF($B$1+32&gt;90,AH165,(AH165+IF($B$1+32&lt;=$B165,12*$B$9,-12*$B$8*(1+$B$4)^32))*IF(AH165+IF($B$1+32&lt;=$B165,12*$B$9,-12*$B$8*(1+$B$4)^32)&gt;0,1+$B$3,1))</f>
        <v/>
      </c>
      <c r="AJ165">
        <f>IF($B$1+33&gt;90,AI165,(AI165+IF($B$1+33&lt;=$B165,12*$B$9,-12*$B$8*(1+$B$4)^33))*IF(AI165+IF($B$1+33&lt;=$B165,12*$B$9,-12*$B$8*(1+$B$4)^33)&gt;0,1+$B$3,1))</f>
        <v/>
      </c>
      <c r="AK165">
        <f>IF($B$1+34&gt;90,AJ165,(AJ165+IF($B$1+34&lt;=$B165,12*$B$9,-12*$B$8*(1+$B$4)^34))*IF(AJ165+IF($B$1+34&lt;=$B165,12*$B$9,-12*$B$8*(1+$B$4)^34)&gt;0,1+$B$3,1))</f>
        <v/>
      </c>
      <c r="AL165">
        <f>IF($B$1+35&gt;90,AK165,(AK165+IF($B$1+35&lt;=$B165,12*$B$9,-12*$B$8*(1+$B$4)^35))*IF(AK165+IF($B$1+35&lt;=$B165,12*$B$9,-12*$B$8*(1+$B$4)^35)&gt;0,1+$B$3,1))</f>
        <v/>
      </c>
      <c r="AM165">
        <f>IF($B$1+36&gt;90,AL165,(AL165+IF($B$1+36&lt;=$B165,12*$B$9,-12*$B$8*(1+$B$4)^36))*IF(AL165+IF($B$1+36&lt;=$B165,12*$B$9,-12*$B$8*(1+$B$4)^36)&gt;0,1+$B$3,1))</f>
        <v/>
      </c>
      <c r="AN165">
        <f>IF($B$1+37&gt;90,AM165,(AM165+IF($B$1+37&lt;=$B165,12*$B$9,-12*$B$8*(1+$B$4)^37))*IF(AM165+IF($B$1+37&lt;=$B165,12*$B$9,-12*$B$8*(1+$B$4)^37)&gt;0,1+$B$3,1))</f>
        <v/>
      </c>
      <c r="AO165">
        <f>IF($B$1+38&gt;90,AN165,(AN165+IF($B$1+38&lt;=$B165,12*$B$9,-12*$B$8*(1+$B$4)^38))*IF(AN165+IF($B$1+38&lt;=$B165,12*$B$9,-12*$B$8*(1+$B$4)^38)&gt;0,1+$B$3,1))</f>
        <v/>
      </c>
      <c r="AP165">
        <f>IF($B$1+39&gt;90,AO165,(AO165+IF($B$1+39&lt;=$B165,12*$B$9,-12*$B$8*(1+$B$4)^39))*IF(AO165+IF($B$1+39&lt;=$B165,12*$B$9,-12*$B$8*(1+$B$4)^39)&gt;0,1+$B$3,1))</f>
        <v/>
      </c>
      <c r="AQ165">
        <f>IF($B$1+40&gt;90,AP165,(AP165+IF($B$1+40&lt;=$B165,12*$B$9,-12*$B$8*(1+$B$4)^40))*IF(AP165+IF($B$1+40&lt;=$B165,12*$B$9,-12*$B$8*(1+$B$4)^40)&gt;0,1+$B$3,1))</f>
        <v/>
      </c>
      <c r="AR165">
        <f>IF($B$1+41&gt;90,AQ165,(AQ165+IF($B$1+41&lt;=$B165,12*$B$9,-12*$B$8*(1+$B$4)^41))*IF(AQ165+IF($B$1+41&lt;=$B165,12*$B$9,-12*$B$8*(1+$B$4)^41)&gt;0,1+$B$3,1))</f>
        <v/>
      </c>
      <c r="AS165">
        <f>IF($B$1+42&gt;90,AR165,(AR165+IF($B$1+42&lt;=$B165,12*$B$9,-12*$B$8*(1+$B$4)^42))*IF(AR165+IF($B$1+42&lt;=$B165,12*$B$9,-12*$B$8*(1+$B$4)^42)&gt;0,1+$B$3,1))</f>
        <v/>
      </c>
      <c r="AT165">
        <f>IF($B$1+43&gt;90,AS165,(AS165+IF($B$1+43&lt;=$B165,12*$B$9,-12*$B$8*(1+$B$4)^43))*IF(AS165+IF($B$1+43&lt;=$B165,12*$B$9,-12*$B$8*(1+$B$4)^43)&gt;0,1+$B$3,1))</f>
        <v/>
      </c>
      <c r="AU165">
        <f>IF($B$1+44&gt;90,AT165,(AT165+IF($B$1+44&lt;=$B165,12*$B$9,-12*$B$8*(1+$B$4)^44))*IF(AT165+IF($B$1+44&lt;=$B165,12*$B$9,-12*$B$8*(1+$B$4)^44)&gt;0,1+$B$3,1))</f>
        <v/>
      </c>
      <c r="AV165">
        <f>IF($B$1+45&gt;90,AU165,(AU165+IF($B$1+45&lt;=$B165,12*$B$9,-12*$B$8*(1+$B$4)^45))*IF(AU165+IF($B$1+45&lt;=$B165,12*$B$9,-12*$B$8*(1+$B$4)^45)&gt;0,1+$B$3,1))</f>
        <v/>
      </c>
      <c r="AW165">
        <f>IF($B$1+46&gt;90,AV165,(AV165+IF($B$1+46&lt;=$B165,12*$B$9,-12*$B$8*(1+$B$4)^46))*IF(AV165+IF($B$1+46&lt;=$B165,12*$B$9,-12*$B$8*(1+$B$4)^46)&gt;0,1+$B$3,1))</f>
        <v/>
      </c>
      <c r="AX165">
        <f>IF($B$1+47&gt;90,AW165,(AW165+IF($B$1+47&lt;=$B165,12*$B$9,-12*$B$8*(1+$B$4)^47))*IF(AW165+IF($B$1+47&lt;=$B165,12*$B$9,-12*$B$8*(1+$B$4)^47)&gt;0,1+$B$3,1))</f>
        <v/>
      </c>
      <c r="AY165">
        <f>IF($B$1+48&gt;90,AX165,(AX165+IF($B$1+48&lt;=$B165,12*$B$9,-12*$B$8*(1+$B$4)^48))*IF(AX165+IF($B$1+48&lt;=$B165,12*$B$9,-12*$B$8*(1+$B$4)^48)&gt;0,1+$B$3,1))</f>
        <v/>
      </c>
      <c r="AZ165">
        <f>IF($B$1+49&gt;90,AY165,(AY165+IF($B$1+49&lt;=$B165,12*$B$9,-12*$B$8*(1+$B$4)^49))*IF(AY165+IF($B$1+49&lt;=$B165,12*$B$9,-12*$B$8*(1+$B$4)^49)&gt;0,1+$B$3,1))</f>
        <v/>
      </c>
      <c r="BA165">
        <f>IF($B$1+50&gt;90,AZ165,(AZ165+IF($B$1+50&lt;=$B165,12*$B$9,-12*$B$8*(1+$B$4)^50))*IF(AZ165+IF($B$1+50&lt;=$B165,12*$B$9,-12*$B$8*(1+$B$4)^50)&gt;0,1+$B$3,1))</f>
        <v/>
      </c>
      <c r="BB165">
        <f>IF($B$1+51&gt;90,BA165,(BA165+IF($B$1+51&lt;=$B165,12*$B$9,-12*$B$8*(1+$B$4)^51))*IF(BA165+IF($B$1+51&lt;=$B165,12*$B$9,-12*$B$8*(1+$B$4)^51)&gt;0,1+$B$3,1))</f>
        <v/>
      </c>
      <c r="BC165">
        <f>IF($B$1+52&gt;90,BB165,(BB165+IF($B$1+52&lt;=$B165,12*$B$9,-12*$B$8*(1+$B$4)^52))*IF(BB165+IF($B$1+52&lt;=$B165,12*$B$9,-12*$B$8*(1+$B$4)^52)&gt;0,1+$B$3,1))</f>
        <v/>
      </c>
      <c r="BD165">
        <f>IF($B$1+53&gt;90,BC165,(BC165+IF($B$1+53&lt;=$B165,12*$B$9,-12*$B$8*(1+$B$4)^53))*IF(BC165+IF($B$1+53&lt;=$B165,12*$B$9,-12*$B$8*(1+$B$4)^53)&gt;0,1+$B$3,1))</f>
        <v/>
      </c>
      <c r="BE165">
        <f>IF($B$1+54&gt;90,BD165,(BD165+IF($B$1+54&lt;=$B165,12*$B$9,-12*$B$8*(1+$B$4)^54))*IF(BD165+IF($B$1+54&lt;=$B165,12*$B$9,-12*$B$8*(1+$B$4)^54)&gt;0,1+$B$3,1))</f>
        <v/>
      </c>
      <c r="BF165">
        <f>IF($B$1+55&gt;90,BE165,(BE165+IF($B$1+55&lt;=$B165,12*$B$9,-12*$B$8*(1+$B$4)^55))*IF(BE165+IF($B$1+55&lt;=$B165,12*$B$9,-12*$B$8*(1+$B$4)^55)&gt;0,1+$B$3,1))</f>
        <v/>
      </c>
      <c r="BG165">
        <f>IF($B$1+56&gt;90,BF165,(BF165+IF($B$1+56&lt;=$B165,12*$B$9,-12*$B$8*(1+$B$4)^56))*IF(BF165+IF($B$1+56&lt;=$B165,12*$B$9,-12*$B$8*(1+$B$4)^56)&gt;0,1+$B$3,1))</f>
        <v/>
      </c>
      <c r="BH165">
        <f>IF($B$1+57&gt;90,BG165,(BG165+IF($B$1+57&lt;=$B165,12*$B$9,-12*$B$8*(1+$B$4)^57))*IF(BG165+IF($B$1+57&lt;=$B165,12*$B$9,-12*$B$8*(1+$B$4)^57)&gt;0,1+$B$3,1))</f>
        <v/>
      </c>
      <c r="BI165">
        <f>IF($B$1+58&gt;90,BH165,(BH165+IF($B$1+58&lt;=$B165,12*$B$9,-12*$B$8*(1+$B$4)^58))*IF(BH165+IF($B$1+58&lt;=$B165,12*$B$9,-12*$B$8*(1+$B$4)^58)&gt;0,1+$B$3,1))</f>
        <v/>
      </c>
      <c r="BJ165">
        <f>IF($B$1+59&gt;90,BI165,(BI165+IF($B$1+59&lt;=$B165,12*$B$9,-12*$B$8*(1+$B$4)^59))*IF(BI165+IF($B$1+59&lt;=$B165,12*$B$9,-12*$B$8*(1+$B$4)^59)&gt;0,1+$B$3,1))</f>
        <v/>
      </c>
      <c r="BK165">
        <f>IF($B$1+60&gt;90,BJ165,(BJ165+IF($B$1+60&lt;=$B165,12*$B$9,-12*$B$8*(1+$B$4)^60))*IF(BJ165+IF($B$1+60&lt;=$B165,12*$B$9,-12*$B$8*(1+$B$4)^60)&gt;0,1+$B$3,1))</f>
        <v/>
      </c>
      <c r="BL165">
        <f>IF($B$1+61&gt;90,BK165,(BK165+IF($B$1+61&lt;=$B165,12*$B$9,-12*$B$8*(1+$B$4)^61))*IF(BK165+IF($B$1+61&lt;=$B165,12*$B$9,-12*$B$8*(1+$B$4)^61)&gt;0,1+$B$3,1))</f>
        <v/>
      </c>
      <c r="BM165">
        <f>IF($B$1+62&gt;90,BL165,(BL165+IF($B$1+62&lt;=$B165,12*$B$9,-12*$B$8*(1+$B$4)^62))*IF(BL165+IF($B$1+62&lt;=$B165,12*$B$9,-12*$B$8*(1+$B$4)^62)&gt;0,1+$B$3,1))</f>
        <v/>
      </c>
      <c r="BN165">
        <f>IF($B$1+63&gt;90,BM165,(BM165+IF($B$1+63&lt;=$B165,12*$B$9,-12*$B$8*(1+$B$4)^63))*IF(BM165+IF($B$1+63&lt;=$B165,12*$B$9,-12*$B$8*(1+$B$4)^63)&gt;0,1+$B$3,1))</f>
        <v/>
      </c>
      <c r="BO165">
        <f>IF($B$1+64&gt;90,BN165,(BN165+IF($B$1+64&lt;=$B165,12*$B$9,-12*$B$8*(1+$B$4)^64))*IF(BN165+IF($B$1+64&lt;=$B165,12*$B$9,-12*$B$8*(1+$B$4)^64)&gt;0,1+$B$3,1))</f>
        <v/>
      </c>
      <c r="BP165">
        <f>IF($B$1+65&gt;90,BO165,(BO165+IF($B$1+65&lt;=$B165,12*$B$9,-12*$B$8*(1+$B$4)^65))*IF(BO165+IF($B$1+65&lt;=$B165,12*$B$9,-12*$B$8*(1+$B$4)^65)&gt;0,1+$B$3,1))</f>
        <v/>
      </c>
      <c r="BQ165">
        <f>IF($B$1+66&gt;90,BP165,(BP165+IF($B$1+66&lt;=$B165,12*$B$9,-12*$B$8*(1+$B$4)^66))*IF(BP165+IF($B$1+66&lt;=$B165,12*$B$9,-12*$B$8*(1+$B$4)^66)&gt;0,1+$B$3,1))</f>
        <v/>
      </c>
      <c r="BR165">
        <f>IF($B$1+67&gt;90,BQ165,(BQ165+IF($B$1+67&lt;=$B165,12*$B$9,-12*$B$8*(1+$B$4)^67))*IF(BQ165+IF($B$1+67&lt;=$B165,12*$B$9,-12*$B$8*(1+$B$4)^67)&gt;0,1+$B$3,1))</f>
        <v/>
      </c>
      <c r="BS165">
        <f>IF($B$1+68&gt;90,BR165,(BR165+IF($B$1+68&lt;=$B165,12*$B$9,-12*$B$8*(1+$B$4)^68))*IF(BR165+IF($B$1+68&lt;=$B165,12*$B$9,-12*$B$8*(1+$B$4)^68)&gt;0,1+$B$3,1))</f>
        <v/>
      </c>
      <c r="BT165">
        <f>IF($B$1+69&gt;90,BS165,(BS165+IF($B$1+69&lt;=$B165,12*$B$9,-12*$B$8*(1+$B$4)^69))*IF(BS165+IF($B$1+69&lt;=$B165,12*$B$9,-12*$B$8*(1+$B$4)^69)&gt;0,1+$B$3,1))</f>
        <v/>
      </c>
      <c r="BU165">
        <f>IF($B$1+70&gt;90,BT165,(BT165+IF($B$1+70&lt;=$B165,12*$B$9,-12*$B$8*(1+$B$4)^70))*IF(BT165+IF($B$1+70&lt;=$B165,12*$B$9,-12*$B$8*(1+$B$4)^70)&gt;0,1+$B$3,1))</f>
        <v/>
      </c>
      <c r="BV165">
        <f>BU165</f>
        <v/>
      </c>
      <c r="BW165">
        <f>IF(AND($B165&lt;=70,BV165&gt;0),$B165,999)</f>
        <v/>
      </c>
    </row>
    <row r="166">
      <c r="A166" t="n">
        <v>14</v>
      </c>
      <c r="B166">
        <f>$B$1+14</f>
        <v/>
      </c>
      <c r="C166">
        <f>$B$2</f>
        <v/>
      </c>
      <c r="D166">
        <f>IF($B$1+1&gt;90,C166,(C166+IF($B$1+1&lt;=$B166,12*$B$9,-12*$B$8*(1+$B$4)^1))*IF(C166+IF($B$1+1&lt;=$B166,12*$B$9,-12*$B$8*(1+$B$4)^1)&gt;0,1+$B$3,1))</f>
        <v/>
      </c>
      <c r="E166">
        <f>IF($B$1+2&gt;90,D166,(D166+IF($B$1+2&lt;=$B166,12*$B$9,-12*$B$8*(1+$B$4)^2))*IF(D166+IF($B$1+2&lt;=$B166,12*$B$9,-12*$B$8*(1+$B$4)^2)&gt;0,1+$B$3,1))</f>
        <v/>
      </c>
      <c r="F166">
        <f>IF($B$1+3&gt;90,E166,(E166+IF($B$1+3&lt;=$B166,12*$B$9,-12*$B$8*(1+$B$4)^3))*IF(E166+IF($B$1+3&lt;=$B166,12*$B$9,-12*$B$8*(1+$B$4)^3)&gt;0,1+$B$3,1))</f>
        <v/>
      </c>
      <c r="G166">
        <f>IF($B$1+4&gt;90,F166,(F166+IF($B$1+4&lt;=$B166,12*$B$9,-12*$B$8*(1+$B$4)^4))*IF(F166+IF($B$1+4&lt;=$B166,12*$B$9,-12*$B$8*(1+$B$4)^4)&gt;0,1+$B$3,1))</f>
        <v/>
      </c>
      <c r="H166">
        <f>IF($B$1+5&gt;90,G166,(G166+IF($B$1+5&lt;=$B166,12*$B$9,-12*$B$8*(1+$B$4)^5))*IF(G166+IF($B$1+5&lt;=$B166,12*$B$9,-12*$B$8*(1+$B$4)^5)&gt;0,1+$B$3,1))</f>
        <v/>
      </c>
      <c r="I166">
        <f>IF($B$1+6&gt;90,H166,(H166+IF($B$1+6&lt;=$B166,12*$B$9,-12*$B$8*(1+$B$4)^6))*IF(H166+IF($B$1+6&lt;=$B166,12*$B$9,-12*$B$8*(1+$B$4)^6)&gt;0,1+$B$3,1))</f>
        <v/>
      </c>
      <c r="J166">
        <f>IF($B$1+7&gt;90,I166,(I166+IF($B$1+7&lt;=$B166,12*$B$9,-12*$B$8*(1+$B$4)^7))*IF(I166+IF($B$1+7&lt;=$B166,12*$B$9,-12*$B$8*(1+$B$4)^7)&gt;0,1+$B$3,1))</f>
        <v/>
      </c>
      <c r="K166">
        <f>IF($B$1+8&gt;90,J166,(J166+IF($B$1+8&lt;=$B166,12*$B$9,-12*$B$8*(1+$B$4)^8))*IF(J166+IF($B$1+8&lt;=$B166,12*$B$9,-12*$B$8*(1+$B$4)^8)&gt;0,1+$B$3,1))</f>
        <v/>
      </c>
      <c r="L166">
        <f>IF($B$1+9&gt;90,K166,(K166+IF($B$1+9&lt;=$B166,12*$B$9,-12*$B$8*(1+$B$4)^9))*IF(K166+IF($B$1+9&lt;=$B166,12*$B$9,-12*$B$8*(1+$B$4)^9)&gt;0,1+$B$3,1))</f>
        <v/>
      </c>
      <c r="M166">
        <f>IF($B$1+10&gt;90,L166,(L166+IF($B$1+10&lt;=$B166,12*$B$9,-12*$B$8*(1+$B$4)^10))*IF(L166+IF($B$1+10&lt;=$B166,12*$B$9,-12*$B$8*(1+$B$4)^10)&gt;0,1+$B$3,1))</f>
        <v/>
      </c>
      <c r="N166">
        <f>IF($B$1+11&gt;90,M166,(M166+IF($B$1+11&lt;=$B166,12*$B$9,-12*$B$8*(1+$B$4)^11))*IF(M166+IF($B$1+11&lt;=$B166,12*$B$9,-12*$B$8*(1+$B$4)^11)&gt;0,1+$B$3,1))</f>
        <v/>
      </c>
      <c r="O166">
        <f>IF($B$1+12&gt;90,N166,(N166+IF($B$1+12&lt;=$B166,12*$B$9,-12*$B$8*(1+$B$4)^12))*IF(N166+IF($B$1+12&lt;=$B166,12*$B$9,-12*$B$8*(1+$B$4)^12)&gt;0,1+$B$3,1))</f>
        <v/>
      </c>
      <c r="P166">
        <f>IF($B$1+13&gt;90,O166,(O166+IF($B$1+13&lt;=$B166,12*$B$9,-12*$B$8*(1+$B$4)^13))*IF(O166+IF($B$1+13&lt;=$B166,12*$B$9,-12*$B$8*(1+$B$4)^13)&gt;0,1+$B$3,1))</f>
        <v/>
      </c>
      <c r="Q166">
        <f>IF($B$1+14&gt;90,P166,(P166+IF($B$1+14&lt;=$B166,12*$B$9,-12*$B$8*(1+$B$4)^14))*IF(P166+IF($B$1+14&lt;=$B166,12*$B$9,-12*$B$8*(1+$B$4)^14)&gt;0,1+$B$3,1))</f>
        <v/>
      </c>
      <c r="R166">
        <f>IF($B$1+15&gt;90,Q166,(Q166+IF($B$1+15&lt;=$B166,12*$B$9,-12*$B$8*(1+$B$4)^15))*IF(Q166+IF($B$1+15&lt;=$B166,12*$B$9,-12*$B$8*(1+$B$4)^15)&gt;0,1+$B$3,1))</f>
        <v/>
      </c>
      <c r="S166">
        <f>IF($B$1+16&gt;90,R166,(R166+IF($B$1+16&lt;=$B166,12*$B$9,-12*$B$8*(1+$B$4)^16))*IF(R166+IF($B$1+16&lt;=$B166,12*$B$9,-12*$B$8*(1+$B$4)^16)&gt;0,1+$B$3,1))</f>
        <v/>
      </c>
      <c r="T166">
        <f>IF($B$1+17&gt;90,S166,(S166+IF($B$1+17&lt;=$B166,12*$B$9,-12*$B$8*(1+$B$4)^17))*IF(S166+IF($B$1+17&lt;=$B166,12*$B$9,-12*$B$8*(1+$B$4)^17)&gt;0,1+$B$3,1))</f>
        <v/>
      </c>
      <c r="U166">
        <f>IF($B$1+18&gt;90,T166,(T166+IF($B$1+18&lt;=$B166,12*$B$9,-12*$B$8*(1+$B$4)^18))*IF(T166+IF($B$1+18&lt;=$B166,12*$B$9,-12*$B$8*(1+$B$4)^18)&gt;0,1+$B$3,1))</f>
        <v/>
      </c>
      <c r="V166">
        <f>IF($B$1+19&gt;90,U166,(U166+IF($B$1+19&lt;=$B166,12*$B$9,-12*$B$8*(1+$B$4)^19))*IF(U166+IF($B$1+19&lt;=$B166,12*$B$9,-12*$B$8*(1+$B$4)^19)&gt;0,1+$B$3,1))</f>
        <v/>
      </c>
      <c r="W166">
        <f>IF($B$1+20&gt;90,V166,(V166+IF($B$1+20&lt;=$B166,12*$B$9,-12*$B$8*(1+$B$4)^20))*IF(V166+IF($B$1+20&lt;=$B166,12*$B$9,-12*$B$8*(1+$B$4)^20)&gt;0,1+$B$3,1))</f>
        <v/>
      </c>
      <c r="X166">
        <f>IF($B$1+21&gt;90,W166,(W166+IF($B$1+21&lt;=$B166,12*$B$9,-12*$B$8*(1+$B$4)^21))*IF(W166+IF($B$1+21&lt;=$B166,12*$B$9,-12*$B$8*(1+$B$4)^21)&gt;0,1+$B$3,1))</f>
        <v/>
      </c>
      <c r="Y166">
        <f>IF($B$1+22&gt;90,X166,(X166+IF($B$1+22&lt;=$B166,12*$B$9,-12*$B$8*(1+$B$4)^22))*IF(X166+IF($B$1+22&lt;=$B166,12*$B$9,-12*$B$8*(1+$B$4)^22)&gt;0,1+$B$3,1))</f>
        <v/>
      </c>
      <c r="Z166">
        <f>IF($B$1+23&gt;90,Y166,(Y166+IF($B$1+23&lt;=$B166,12*$B$9,-12*$B$8*(1+$B$4)^23))*IF(Y166+IF($B$1+23&lt;=$B166,12*$B$9,-12*$B$8*(1+$B$4)^23)&gt;0,1+$B$3,1))</f>
        <v/>
      </c>
      <c r="AA166">
        <f>IF($B$1+24&gt;90,Z166,(Z166+IF($B$1+24&lt;=$B166,12*$B$9,-12*$B$8*(1+$B$4)^24))*IF(Z166+IF($B$1+24&lt;=$B166,12*$B$9,-12*$B$8*(1+$B$4)^24)&gt;0,1+$B$3,1))</f>
        <v/>
      </c>
      <c r="AB166">
        <f>IF($B$1+25&gt;90,AA166,(AA166+IF($B$1+25&lt;=$B166,12*$B$9,-12*$B$8*(1+$B$4)^25))*IF(AA166+IF($B$1+25&lt;=$B166,12*$B$9,-12*$B$8*(1+$B$4)^25)&gt;0,1+$B$3,1))</f>
        <v/>
      </c>
      <c r="AC166">
        <f>IF($B$1+26&gt;90,AB166,(AB166+IF($B$1+26&lt;=$B166,12*$B$9,-12*$B$8*(1+$B$4)^26))*IF(AB166+IF($B$1+26&lt;=$B166,12*$B$9,-12*$B$8*(1+$B$4)^26)&gt;0,1+$B$3,1))</f>
        <v/>
      </c>
      <c r="AD166">
        <f>IF($B$1+27&gt;90,AC166,(AC166+IF($B$1+27&lt;=$B166,12*$B$9,-12*$B$8*(1+$B$4)^27))*IF(AC166+IF($B$1+27&lt;=$B166,12*$B$9,-12*$B$8*(1+$B$4)^27)&gt;0,1+$B$3,1))</f>
        <v/>
      </c>
      <c r="AE166">
        <f>IF($B$1+28&gt;90,AD166,(AD166+IF($B$1+28&lt;=$B166,12*$B$9,-12*$B$8*(1+$B$4)^28))*IF(AD166+IF($B$1+28&lt;=$B166,12*$B$9,-12*$B$8*(1+$B$4)^28)&gt;0,1+$B$3,1))</f>
        <v/>
      </c>
      <c r="AF166">
        <f>IF($B$1+29&gt;90,AE166,(AE166+IF($B$1+29&lt;=$B166,12*$B$9,-12*$B$8*(1+$B$4)^29))*IF(AE166+IF($B$1+29&lt;=$B166,12*$B$9,-12*$B$8*(1+$B$4)^29)&gt;0,1+$B$3,1))</f>
        <v/>
      </c>
      <c r="AG166">
        <f>IF($B$1+30&gt;90,AF166,(AF166+IF($B$1+30&lt;=$B166,12*$B$9,-12*$B$8*(1+$B$4)^30))*IF(AF166+IF($B$1+30&lt;=$B166,12*$B$9,-12*$B$8*(1+$B$4)^30)&gt;0,1+$B$3,1))</f>
        <v/>
      </c>
      <c r="AH166">
        <f>IF($B$1+31&gt;90,AG166,(AG166+IF($B$1+31&lt;=$B166,12*$B$9,-12*$B$8*(1+$B$4)^31))*IF(AG166+IF($B$1+31&lt;=$B166,12*$B$9,-12*$B$8*(1+$B$4)^31)&gt;0,1+$B$3,1))</f>
        <v/>
      </c>
      <c r="AI166">
        <f>IF($B$1+32&gt;90,AH166,(AH166+IF($B$1+32&lt;=$B166,12*$B$9,-12*$B$8*(1+$B$4)^32))*IF(AH166+IF($B$1+32&lt;=$B166,12*$B$9,-12*$B$8*(1+$B$4)^32)&gt;0,1+$B$3,1))</f>
        <v/>
      </c>
      <c r="AJ166">
        <f>IF($B$1+33&gt;90,AI166,(AI166+IF($B$1+33&lt;=$B166,12*$B$9,-12*$B$8*(1+$B$4)^33))*IF(AI166+IF($B$1+33&lt;=$B166,12*$B$9,-12*$B$8*(1+$B$4)^33)&gt;0,1+$B$3,1))</f>
        <v/>
      </c>
      <c r="AK166">
        <f>IF($B$1+34&gt;90,AJ166,(AJ166+IF($B$1+34&lt;=$B166,12*$B$9,-12*$B$8*(1+$B$4)^34))*IF(AJ166+IF($B$1+34&lt;=$B166,12*$B$9,-12*$B$8*(1+$B$4)^34)&gt;0,1+$B$3,1))</f>
        <v/>
      </c>
      <c r="AL166">
        <f>IF($B$1+35&gt;90,AK166,(AK166+IF($B$1+35&lt;=$B166,12*$B$9,-12*$B$8*(1+$B$4)^35))*IF(AK166+IF($B$1+35&lt;=$B166,12*$B$9,-12*$B$8*(1+$B$4)^35)&gt;0,1+$B$3,1))</f>
        <v/>
      </c>
      <c r="AM166">
        <f>IF($B$1+36&gt;90,AL166,(AL166+IF($B$1+36&lt;=$B166,12*$B$9,-12*$B$8*(1+$B$4)^36))*IF(AL166+IF($B$1+36&lt;=$B166,12*$B$9,-12*$B$8*(1+$B$4)^36)&gt;0,1+$B$3,1))</f>
        <v/>
      </c>
      <c r="AN166">
        <f>IF($B$1+37&gt;90,AM166,(AM166+IF($B$1+37&lt;=$B166,12*$B$9,-12*$B$8*(1+$B$4)^37))*IF(AM166+IF($B$1+37&lt;=$B166,12*$B$9,-12*$B$8*(1+$B$4)^37)&gt;0,1+$B$3,1))</f>
        <v/>
      </c>
      <c r="AO166">
        <f>IF($B$1+38&gt;90,AN166,(AN166+IF($B$1+38&lt;=$B166,12*$B$9,-12*$B$8*(1+$B$4)^38))*IF(AN166+IF($B$1+38&lt;=$B166,12*$B$9,-12*$B$8*(1+$B$4)^38)&gt;0,1+$B$3,1))</f>
        <v/>
      </c>
      <c r="AP166">
        <f>IF($B$1+39&gt;90,AO166,(AO166+IF($B$1+39&lt;=$B166,12*$B$9,-12*$B$8*(1+$B$4)^39))*IF(AO166+IF($B$1+39&lt;=$B166,12*$B$9,-12*$B$8*(1+$B$4)^39)&gt;0,1+$B$3,1))</f>
        <v/>
      </c>
      <c r="AQ166">
        <f>IF($B$1+40&gt;90,AP166,(AP166+IF($B$1+40&lt;=$B166,12*$B$9,-12*$B$8*(1+$B$4)^40))*IF(AP166+IF($B$1+40&lt;=$B166,12*$B$9,-12*$B$8*(1+$B$4)^40)&gt;0,1+$B$3,1))</f>
        <v/>
      </c>
      <c r="AR166">
        <f>IF($B$1+41&gt;90,AQ166,(AQ166+IF($B$1+41&lt;=$B166,12*$B$9,-12*$B$8*(1+$B$4)^41))*IF(AQ166+IF($B$1+41&lt;=$B166,12*$B$9,-12*$B$8*(1+$B$4)^41)&gt;0,1+$B$3,1))</f>
        <v/>
      </c>
      <c r="AS166">
        <f>IF($B$1+42&gt;90,AR166,(AR166+IF($B$1+42&lt;=$B166,12*$B$9,-12*$B$8*(1+$B$4)^42))*IF(AR166+IF($B$1+42&lt;=$B166,12*$B$9,-12*$B$8*(1+$B$4)^42)&gt;0,1+$B$3,1))</f>
        <v/>
      </c>
      <c r="AT166">
        <f>IF($B$1+43&gt;90,AS166,(AS166+IF($B$1+43&lt;=$B166,12*$B$9,-12*$B$8*(1+$B$4)^43))*IF(AS166+IF($B$1+43&lt;=$B166,12*$B$9,-12*$B$8*(1+$B$4)^43)&gt;0,1+$B$3,1))</f>
        <v/>
      </c>
      <c r="AU166">
        <f>IF($B$1+44&gt;90,AT166,(AT166+IF($B$1+44&lt;=$B166,12*$B$9,-12*$B$8*(1+$B$4)^44))*IF(AT166+IF($B$1+44&lt;=$B166,12*$B$9,-12*$B$8*(1+$B$4)^44)&gt;0,1+$B$3,1))</f>
        <v/>
      </c>
      <c r="AV166">
        <f>IF($B$1+45&gt;90,AU166,(AU166+IF($B$1+45&lt;=$B166,12*$B$9,-12*$B$8*(1+$B$4)^45))*IF(AU166+IF($B$1+45&lt;=$B166,12*$B$9,-12*$B$8*(1+$B$4)^45)&gt;0,1+$B$3,1))</f>
        <v/>
      </c>
      <c r="AW166">
        <f>IF($B$1+46&gt;90,AV166,(AV166+IF($B$1+46&lt;=$B166,12*$B$9,-12*$B$8*(1+$B$4)^46))*IF(AV166+IF($B$1+46&lt;=$B166,12*$B$9,-12*$B$8*(1+$B$4)^46)&gt;0,1+$B$3,1))</f>
        <v/>
      </c>
      <c r="AX166">
        <f>IF($B$1+47&gt;90,AW166,(AW166+IF($B$1+47&lt;=$B166,12*$B$9,-12*$B$8*(1+$B$4)^47))*IF(AW166+IF($B$1+47&lt;=$B166,12*$B$9,-12*$B$8*(1+$B$4)^47)&gt;0,1+$B$3,1))</f>
        <v/>
      </c>
      <c r="AY166">
        <f>IF($B$1+48&gt;90,AX166,(AX166+IF($B$1+48&lt;=$B166,12*$B$9,-12*$B$8*(1+$B$4)^48))*IF(AX166+IF($B$1+48&lt;=$B166,12*$B$9,-12*$B$8*(1+$B$4)^48)&gt;0,1+$B$3,1))</f>
        <v/>
      </c>
      <c r="AZ166">
        <f>IF($B$1+49&gt;90,AY166,(AY166+IF($B$1+49&lt;=$B166,12*$B$9,-12*$B$8*(1+$B$4)^49))*IF(AY166+IF($B$1+49&lt;=$B166,12*$B$9,-12*$B$8*(1+$B$4)^49)&gt;0,1+$B$3,1))</f>
        <v/>
      </c>
      <c r="BA166">
        <f>IF($B$1+50&gt;90,AZ166,(AZ166+IF($B$1+50&lt;=$B166,12*$B$9,-12*$B$8*(1+$B$4)^50))*IF(AZ166+IF($B$1+50&lt;=$B166,12*$B$9,-12*$B$8*(1+$B$4)^50)&gt;0,1+$B$3,1))</f>
        <v/>
      </c>
      <c r="BB166">
        <f>IF($B$1+51&gt;90,BA166,(BA166+IF($B$1+51&lt;=$B166,12*$B$9,-12*$B$8*(1+$B$4)^51))*IF(BA166+IF($B$1+51&lt;=$B166,12*$B$9,-12*$B$8*(1+$B$4)^51)&gt;0,1+$B$3,1))</f>
        <v/>
      </c>
      <c r="BC166">
        <f>IF($B$1+52&gt;90,BB166,(BB166+IF($B$1+52&lt;=$B166,12*$B$9,-12*$B$8*(1+$B$4)^52))*IF(BB166+IF($B$1+52&lt;=$B166,12*$B$9,-12*$B$8*(1+$B$4)^52)&gt;0,1+$B$3,1))</f>
        <v/>
      </c>
      <c r="BD166">
        <f>IF($B$1+53&gt;90,BC166,(BC166+IF($B$1+53&lt;=$B166,12*$B$9,-12*$B$8*(1+$B$4)^53))*IF(BC166+IF($B$1+53&lt;=$B166,12*$B$9,-12*$B$8*(1+$B$4)^53)&gt;0,1+$B$3,1))</f>
        <v/>
      </c>
      <c r="BE166">
        <f>IF($B$1+54&gt;90,BD166,(BD166+IF($B$1+54&lt;=$B166,12*$B$9,-12*$B$8*(1+$B$4)^54))*IF(BD166+IF($B$1+54&lt;=$B166,12*$B$9,-12*$B$8*(1+$B$4)^54)&gt;0,1+$B$3,1))</f>
        <v/>
      </c>
      <c r="BF166">
        <f>IF($B$1+55&gt;90,BE166,(BE166+IF($B$1+55&lt;=$B166,12*$B$9,-12*$B$8*(1+$B$4)^55))*IF(BE166+IF($B$1+55&lt;=$B166,12*$B$9,-12*$B$8*(1+$B$4)^55)&gt;0,1+$B$3,1))</f>
        <v/>
      </c>
      <c r="BG166">
        <f>IF($B$1+56&gt;90,BF166,(BF166+IF($B$1+56&lt;=$B166,12*$B$9,-12*$B$8*(1+$B$4)^56))*IF(BF166+IF($B$1+56&lt;=$B166,12*$B$9,-12*$B$8*(1+$B$4)^56)&gt;0,1+$B$3,1))</f>
        <v/>
      </c>
      <c r="BH166">
        <f>IF($B$1+57&gt;90,BG166,(BG166+IF($B$1+57&lt;=$B166,12*$B$9,-12*$B$8*(1+$B$4)^57))*IF(BG166+IF($B$1+57&lt;=$B166,12*$B$9,-12*$B$8*(1+$B$4)^57)&gt;0,1+$B$3,1))</f>
        <v/>
      </c>
      <c r="BI166">
        <f>IF($B$1+58&gt;90,BH166,(BH166+IF($B$1+58&lt;=$B166,12*$B$9,-12*$B$8*(1+$B$4)^58))*IF(BH166+IF($B$1+58&lt;=$B166,12*$B$9,-12*$B$8*(1+$B$4)^58)&gt;0,1+$B$3,1))</f>
        <v/>
      </c>
      <c r="BJ166">
        <f>IF($B$1+59&gt;90,BI166,(BI166+IF($B$1+59&lt;=$B166,12*$B$9,-12*$B$8*(1+$B$4)^59))*IF(BI166+IF($B$1+59&lt;=$B166,12*$B$9,-12*$B$8*(1+$B$4)^59)&gt;0,1+$B$3,1))</f>
        <v/>
      </c>
      <c r="BK166">
        <f>IF($B$1+60&gt;90,BJ166,(BJ166+IF($B$1+60&lt;=$B166,12*$B$9,-12*$B$8*(1+$B$4)^60))*IF(BJ166+IF($B$1+60&lt;=$B166,12*$B$9,-12*$B$8*(1+$B$4)^60)&gt;0,1+$B$3,1))</f>
        <v/>
      </c>
      <c r="BL166">
        <f>IF($B$1+61&gt;90,BK166,(BK166+IF($B$1+61&lt;=$B166,12*$B$9,-12*$B$8*(1+$B$4)^61))*IF(BK166+IF($B$1+61&lt;=$B166,12*$B$9,-12*$B$8*(1+$B$4)^61)&gt;0,1+$B$3,1))</f>
        <v/>
      </c>
      <c r="BM166">
        <f>IF($B$1+62&gt;90,BL166,(BL166+IF($B$1+62&lt;=$B166,12*$B$9,-12*$B$8*(1+$B$4)^62))*IF(BL166+IF($B$1+62&lt;=$B166,12*$B$9,-12*$B$8*(1+$B$4)^62)&gt;0,1+$B$3,1))</f>
        <v/>
      </c>
      <c r="BN166">
        <f>IF($B$1+63&gt;90,BM166,(BM166+IF($B$1+63&lt;=$B166,12*$B$9,-12*$B$8*(1+$B$4)^63))*IF(BM166+IF($B$1+63&lt;=$B166,12*$B$9,-12*$B$8*(1+$B$4)^63)&gt;0,1+$B$3,1))</f>
        <v/>
      </c>
      <c r="BO166">
        <f>IF($B$1+64&gt;90,BN166,(BN166+IF($B$1+64&lt;=$B166,12*$B$9,-12*$B$8*(1+$B$4)^64))*IF(BN166+IF($B$1+64&lt;=$B166,12*$B$9,-12*$B$8*(1+$B$4)^64)&gt;0,1+$B$3,1))</f>
        <v/>
      </c>
      <c r="BP166">
        <f>IF($B$1+65&gt;90,BO166,(BO166+IF($B$1+65&lt;=$B166,12*$B$9,-12*$B$8*(1+$B$4)^65))*IF(BO166+IF($B$1+65&lt;=$B166,12*$B$9,-12*$B$8*(1+$B$4)^65)&gt;0,1+$B$3,1))</f>
        <v/>
      </c>
      <c r="BQ166">
        <f>IF($B$1+66&gt;90,BP166,(BP166+IF($B$1+66&lt;=$B166,12*$B$9,-12*$B$8*(1+$B$4)^66))*IF(BP166+IF($B$1+66&lt;=$B166,12*$B$9,-12*$B$8*(1+$B$4)^66)&gt;0,1+$B$3,1))</f>
        <v/>
      </c>
      <c r="BR166">
        <f>IF($B$1+67&gt;90,BQ166,(BQ166+IF($B$1+67&lt;=$B166,12*$B$9,-12*$B$8*(1+$B$4)^67))*IF(BQ166+IF($B$1+67&lt;=$B166,12*$B$9,-12*$B$8*(1+$B$4)^67)&gt;0,1+$B$3,1))</f>
        <v/>
      </c>
      <c r="BS166">
        <f>IF($B$1+68&gt;90,BR166,(BR166+IF($B$1+68&lt;=$B166,12*$B$9,-12*$B$8*(1+$B$4)^68))*IF(BR166+IF($B$1+68&lt;=$B166,12*$B$9,-12*$B$8*(1+$B$4)^68)&gt;0,1+$B$3,1))</f>
        <v/>
      </c>
      <c r="BT166">
        <f>IF($B$1+69&gt;90,BS166,(BS166+IF($B$1+69&lt;=$B166,12*$B$9,-12*$B$8*(1+$B$4)^69))*IF(BS166+IF($B$1+69&lt;=$B166,12*$B$9,-12*$B$8*(1+$B$4)^69)&gt;0,1+$B$3,1))</f>
        <v/>
      </c>
      <c r="BU166">
        <f>IF($B$1+70&gt;90,BT166,(BT166+IF($B$1+70&lt;=$B166,12*$B$9,-12*$B$8*(1+$B$4)^70))*IF(BT166+IF($B$1+70&lt;=$B166,12*$B$9,-12*$B$8*(1+$B$4)^70)&gt;0,1+$B$3,1))</f>
        <v/>
      </c>
      <c r="BV166">
        <f>BU166</f>
        <v/>
      </c>
      <c r="BW166">
        <f>IF(AND($B166&lt;=70,BV166&gt;0),$B166,999)</f>
        <v/>
      </c>
    </row>
    <row r="167">
      <c r="A167" t="n">
        <v>15</v>
      </c>
      <c r="B167">
        <f>$B$1+15</f>
        <v/>
      </c>
      <c r="C167">
        <f>$B$2</f>
        <v/>
      </c>
      <c r="D167">
        <f>IF($B$1+1&gt;90,C167,(C167+IF($B$1+1&lt;=$B167,12*$B$9,-12*$B$8*(1+$B$4)^1))*IF(C167+IF($B$1+1&lt;=$B167,12*$B$9,-12*$B$8*(1+$B$4)^1)&gt;0,1+$B$3,1))</f>
        <v/>
      </c>
      <c r="E167">
        <f>IF($B$1+2&gt;90,D167,(D167+IF($B$1+2&lt;=$B167,12*$B$9,-12*$B$8*(1+$B$4)^2))*IF(D167+IF($B$1+2&lt;=$B167,12*$B$9,-12*$B$8*(1+$B$4)^2)&gt;0,1+$B$3,1))</f>
        <v/>
      </c>
      <c r="F167">
        <f>IF($B$1+3&gt;90,E167,(E167+IF($B$1+3&lt;=$B167,12*$B$9,-12*$B$8*(1+$B$4)^3))*IF(E167+IF($B$1+3&lt;=$B167,12*$B$9,-12*$B$8*(1+$B$4)^3)&gt;0,1+$B$3,1))</f>
        <v/>
      </c>
      <c r="G167">
        <f>IF($B$1+4&gt;90,F167,(F167+IF($B$1+4&lt;=$B167,12*$B$9,-12*$B$8*(1+$B$4)^4))*IF(F167+IF($B$1+4&lt;=$B167,12*$B$9,-12*$B$8*(1+$B$4)^4)&gt;0,1+$B$3,1))</f>
        <v/>
      </c>
      <c r="H167">
        <f>IF($B$1+5&gt;90,G167,(G167+IF($B$1+5&lt;=$B167,12*$B$9,-12*$B$8*(1+$B$4)^5))*IF(G167+IF($B$1+5&lt;=$B167,12*$B$9,-12*$B$8*(1+$B$4)^5)&gt;0,1+$B$3,1))</f>
        <v/>
      </c>
      <c r="I167">
        <f>IF($B$1+6&gt;90,H167,(H167+IF($B$1+6&lt;=$B167,12*$B$9,-12*$B$8*(1+$B$4)^6))*IF(H167+IF($B$1+6&lt;=$B167,12*$B$9,-12*$B$8*(1+$B$4)^6)&gt;0,1+$B$3,1))</f>
        <v/>
      </c>
      <c r="J167">
        <f>IF($B$1+7&gt;90,I167,(I167+IF($B$1+7&lt;=$B167,12*$B$9,-12*$B$8*(1+$B$4)^7))*IF(I167+IF($B$1+7&lt;=$B167,12*$B$9,-12*$B$8*(1+$B$4)^7)&gt;0,1+$B$3,1))</f>
        <v/>
      </c>
      <c r="K167">
        <f>IF($B$1+8&gt;90,J167,(J167+IF($B$1+8&lt;=$B167,12*$B$9,-12*$B$8*(1+$B$4)^8))*IF(J167+IF($B$1+8&lt;=$B167,12*$B$9,-12*$B$8*(1+$B$4)^8)&gt;0,1+$B$3,1))</f>
        <v/>
      </c>
      <c r="L167">
        <f>IF($B$1+9&gt;90,K167,(K167+IF($B$1+9&lt;=$B167,12*$B$9,-12*$B$8*(1+$B$4)^9))*IF(K167+IF($B$1+9&lt;=$B167,12*$B$9,-12*$B$8*(1+$B$4)^9)&gt;0,1+$B$3,1))</f>
        <v/>
      </c>
      <c r="M167">
        <f>IF($B$1+10&gt;90,L167,(L167+IF($B$1+10&lt;=$B167,12*$B$9,-12*$B$8*(1+$B$4)^10))*IF(L167+IF($B$1+10&lt;=$B167,12*$B$9,-12*$B$8*(1+$B$4)^10)&gt;0,1+$B$3,1))</f>
        <v/>
      </c>
      <c r="N167">
        <f>IF($B$1+11&gt;90,M167,(M167+IF($B$1+11&lt;=$B167,12*$B$9,-12*$B$8*(1+$B$4)^11))*IF(M167+IF($B$1+11&lt;=$B167,12*$B$9,-12*$B$8*(1+$B$4)^11)&gt;0,1+$B$3,1))</f>
        <v/>
      </c>
      <c r="O167">
        <f>IF($B$1+12&gt;90,N167,(N167+IF($B$1+12&lt;=$B167,12*$B$9,-12*$B$8*(1+$B$4)^12))*IF(N167+IF($B$1+12&lt;=$B167,12*$B$9,-12*$B$8*(1+$B$4)^12)&gt;0,1+$B$3,1))</f>
        <v/>
      </c>
      <c r="P167">
        <f>IF($B$1+13&gt;90,O167,(O167+IF($B$1+13&lt;=$B167,12*$B$9,-12*$B$8*(1+$B$4)^13))*IF(O167+IF($B$1+13&lt;=$B167,12*$B$9,-12*$B$8*(1+$B$4)^13)&gt;0,1+$B$3,1))</f>
        <v/>
      </c>
      <c r="Q167">
        <f>IF($B$1+14&gt;90,P167,(P167+IF($B$1+14&lt;=$B167,12*$B$9,-12*$B$8*(1+$B$4)^14))*IF(P167+IF($B$1+14&lt;=$B167,12*$B$9,-12*$B$8*(1+$B$4)^14)&gt;0,1+$B$3,1))</f>
        <v/>
      </c>
      <c r="R167">
        <f>IF($B$1+15&gt;90,Q167,(Q167+IF($B$1+15&lt;=$B167,12*$B$9,-12*$B$8*(1+$B$4)^15))*IF(Q167+IF($B$1+15&lt;=$B167,12*$B$9,-12*$B$8*(1+$B$4)^15)&gt;0,1+$B$3,1))</f>
        <v/>
      </c>
      <c r="S167">
        <f>IF($B$1+16&gt;90,R167,(R167+IF($B$1+16&lt;=$B167,12*$B$9,-12*$B$8*(1+$B$4)^16))*IF(R167+IF($B$1+16&lt;=$B167,12*$B$9,-12*$B$8*(1+$B$4)^16)&gt;0,1+$B$3,1))</f>
        <v/>
      </c>
      <c r="T167">
        <f>IF($B$1+17&gt;90,S167,(S167+IF($B$1+17&lt;=$B167,12*$B$9,-12*$B$8*(1+$B$4)^17))*IF(S167+IF($B$1+17&lt;=$B167,12*$B$9,-12*$B$8*(1+$B$4)^17)&gt;0,1+$B$3,1))</f>
        <v/>
      </c>
      <c r="U167">
        <f>IF($B$1+18&gt;90,T167,(T167+IF($B$1+18&lt;=$B167,12*$B$9,-12*$B$8*(1+$B$4)^18))*IF(T167+IF($B$1+18&lt;=$B167,12*$B$9,-12*$B$8*(1+$B$4)^18)&gt;0,1+$B$3,1))</f>
        <v/>
      </c>
      <c r="V167">
        <f>IF($B$1+19&gt;90,U167,(U167+IF($B$1+19&lt;=$B167,12*$B$9,-12*$B$8*(1+$B$4)^19))*IF(U167+IF($B$1+19&lt;=$B167,12*$B$9,-12*$B$8*(1+$B$4)^19)&gt;0,1+$B$3,1))</f>
        <v/>
      </c>
      <c r="W167">
        <f>IF($B$1+20&gt;90,V167,(V167+IF($B$1+20&lt;=$B167,12*$B$9,-12*$B$8*(1+$B$4)^20))*IF(V167+IF($B$1+20&lt;=$B167,12*$B$9,-12*$B$8*(1+$B$4)^20)&gt;0,1+$B$3,1))</f>
        <v/>
      </c>
      <c r="X167">
        <f>IF($B$1+21&gt;90,W167,(W167+IF($B$1+21&lt;=$B167,12*$B$9,-12*$B$8*(1+$B$4)^21))*IF(W167+IF($B$1+21&lt;=$B167,12*$B$9,-12*$B$8*(1+$B$4)^21)&gt;0,1+$B$3,1))</f>
        <v/>
      </c>
      <c r="Y167">
        <f>IF($B$1+22&gt;90,X167,(X167+IF($B$1+22&lt;=$B167,12*$B$9,-12*$B$8*(1+$B$4)^22))*IF(X167+IF($B$1+22&lt;=$B167,12*$B$9,-12*$B$8*(1+$B$4)^22)&gt;0,1+$B$3,1))</f>
        <v/>
      </c>
      <c r="Z167">
        <f>IF($B$1+23&gt;90,Y167,(Y167+IF($B$1+23&lt;=$B167,12*$B$9,-12*$B$8*(1+$B$4)^23))*IF(Y167+IF($B$1+23&lt;=$B167,12*$B$9,-12*$B$8*(1+$B$4)^23)&gt;0,1+$B$3,1))</f>
        <v/>
      </c>
      <c r="AA167">
        <f>IF($B$1+24&gt;90,Z167,(Z167+IF($B$1+24&lt;=$B167,12*$B$9,-12*$B$8*(1+$B$4)^24))*IF(Z167+IF($B$1+24&lt;=$B167,12*$B$9,-12*$B$8*(1+$B$4)^24)&gt;0,1+$B$3,1))</f>
        <v/>
      </c>
      <c r="AB167">
        <f>IF($B$1+25&gt;90,AA167,(AA167+IF($B$1+25&lt;=$B167,12*$B$9,-12*$B$8*(1+$B$4)^25))*IF(AA167+IF($B$1+25&lt;=$B167,12*$B$9,-12*$B$8*(1+$B$4)^25)&gt;0,1+$B$3,1))</f>
        <v/>
      </c>
      <c r="AC167">
        <f>IF($B$1+26&gt;90,AB167,(AB167+IF($B$1+26&lt;=$B167,12*$B$9,-12*$B$8*(1+$B$4)^26))*IF(AB167+IF($B$1+26&lt;=$B167,12*$B$9,-12*$B$8*(1+$B$4)^26)&gt;0,1+$B$3,1))</f>
        <v/>
      </c>
      <c r="AD167">
        <f>IF($B$1+27&gt;90,AC167,(AC167+IF($B$1+27&lt;=$B167,12*$B$9,-12*$B$8*(1+$B$4)^27))*IF(AC167+IF($B$1+27&lt;=$B167,12*$B$9,-12*$B$8*(1+$B$4)^27)&gt;0,1+$B$3,1))</f>
        <v/>
      </c>
      <c r="AE167">
        <f>IF($B$1+28&gt;90,AD167,(AD167+IF($B$1+28&lt;=$B167,12*$B$9,-12*$B$8*(1+$B$4)^28))*IF(AD167+IF($B$1+28&lt;=$B167,12*$B$9,-12*$B$8*(1+$B$4)^28)&gt;0,1+$B$3,1))</f>
        <v/>
      </c>
      <c r="AF167">
        <f>IF($B$1+29&gt;90,AE167,(AE167+IF($B$1+29&lt;=$B167,12*$B$9,-12*$B$8*(1+$B$4)^29))*IF(AE167+IF($B$1+29&lt;=$B167,12*$B$9,-12*$B$8*(1+$B$4)^29)&gt;0,1+$B$3,1))</f>
        <v/>
      </c>
      <c r="AG167">
        <f>IF($B$1+30&gt;90,AF167,(AF167+IF($B$1+30&lt;=$B167,12*$B$9,-12*$B$8*(1+$B$4)^30))*IF(AF167+IF($B$1+30&lt;=$B167,12*$B$9,-12*$B$8*(1+$B$4)^30)&gt;0,1+$B$3,1))</f>
        <v/>
      </c>
      <c r="AH167">
        <f>IF($B$1+31&gt;90,AG167,(AG167+IF($B$1+31&lt;=$B167,12*$B$9,-12*$B$8*(1+$B$4)^31))*IF(AG167+IF($B$1+31&lt;=$B167,12*$B$9,-12*$B$8*(1+$B$4)^31)&gt;0,1+$B$3,1))</f>
        <v/>
      </c>
      <c r="AI167">
        <f>IF($B$1+32&gt;90,AH167,(AH167+IF($B$1+32&lt;=$B167,12*$B$9,-12*$B$8*(1+$B$4)^32))*IF(AH167+IF($B$1+32&lt;=$B167,12*$B$9,-12*$B$8*(1+$B$4)^32)&gt;0,1+$B$3,1))</f>
        <v/>
      </c>
      <c r="AJ167">
        <f>IF($B$1+33&gt;90,AI167,(AI167+IF($B$1+33&lt;=$B167,12*$B$9,-12*$B$8*(1+$B$4)^33))*IF(AI167+IF($B$1+33&lt;=$B167,12*$B$9,-12*$B$8*(1+$B$4)^33)&gt;0,1+$B$3,1))</f>
        <v/>
      </c>
      <c r="AK167">
        <f>IF($B$1+34&gt;90,AJ167,(AJ167+IF($B$1+34&lt;=$B167,12*$B$9,-12*$B$8*(1+$B$4)^34))*IF(AJ167+IF($B$1+34&lt;=$B167,12*$B$9,-12*$B$8*(1+$B$4)^34)&gt;0,1+$B$3,1))</f>
        <v/>
      </c>
      <c r="AL167">
        <f>IF($B$1+35&gt;90,AK167,(AK167+IF($B$1+35&lt;=$B167,12*$B$9,-12*$B$8*(1+$B$4)^35))*IF(AK167+IF($B$1+35&lt;=$B167,12*$B$9,-12*$B$8*(1+$B$4)^35)&gt;0,1+$B$3,1))</f>
        <v/>
      </c>
      <c r="AM167">
        <f>IF($B$1+36&gt;90,AL167,(AL167+IF($B$1+36&lt;=$B167,12*$B$9,-12*$B$8*(1+$B$4)^36))*IF(AL167+IF($B$1+36&lt;=$B167,12*$B$9,-12*$B$8*(1+$B$4)^36)&gt;0,1+$B$3,1))</f>
        <v/>
      </c>
      <c r="AN167">
        <f>IF($B$1+37&gt;90,AM167,(AM167+IF($B$1+37&lt;=$B167,12*$B$9,-12*$B$8*(1+$B$4)^37))*IF(AM167+IF($B$1+37&lt;=$B167,12*$B$9,-12*$B$8*(1+$B$4)^37)&gt;0,1+$B$3,1))</f>
        <v/>
      </c>
      <c r="AO167">
        <f>IF($B$1+38&gt;90,AN167,(AN167+IF($B$1+38&lt;=$B167,12*$B$9,-12*$B$8*(1+$B$4)^38))*IF(AN167+IF($B$1+38&lt;=$B167,12*$B$9,-12*$B$8*(1+$B$4)^38)&gt;0,1+$B$3,1))</f>
        <v/>
      </c>
      <c r="AP167">
        <f>IF($B$1+39&gt;90,AO167,(AO167+IF($B$1+39&lt;=$B167,12*$B$9,-12*$B$8*(1+$B$4)^39))*IF(AO167+IF($B$1+39&lt;=$B167,12*$B$9,-12*$B$8*(1+$B$4)^39)&gt;0,1+$B$3,1))</f>
        <v/>
      </c>
      <c r="AQ167">
        <f>IF($B$1+40&gt;90,AP167,(AP167+IF($B$1+40&lt;=$B167,12*$B$9,-12*$B$8*(1+$B$4)^40))*IF(AP167+IF($B$1+40&lt;=$B167,12*$B$9,-12*$B$8*(1+$B$4)^40)&gt;0,1+$B$3,1))</f>
        <v/>
      </c>
      <c r="AR167">
        <f>IF($B$1+41&gt;90,AQ167,(AQ167+IF($B$1+41&lt;=$B167,12*$B$9,-12*$B$8*(1+$B$4)^41))*IF(AQ167+IF($B$1+41&lt;=$B167,12*$B$9,-12*$B$8*(1+$B$4)^41)&gt;0,1+$B$3,1))</f>
        <v/>
      </c>
      <c r="AS167">
        <f>IF($B$1+42&gt;90,AR167,(AR167+IF($B$1+42&lt;=$B167,12*$B$9,-12*$B$8*(1+$B$4)^42))*IF(AR167+IF($B$1+42&lt;=$B167,12*$B$9,-12*$B$8*(1+$B$4)^42)&gt;0,1+$B$3,1))</f>
        <v/>
      </c>
      <c r="AT167">
        <f>IF($B$1+43&gt;90,AS167,(AS167+IF($B$1+43&lt;=$B167,12*$B$9,-12*$B$8*(1+$B$4)^43))*IF(AS167+IF($B$1+43&lt;=$B167,12*$B$9,-12*$B$8*(1+$B$4)^43)&gt;0,1+$B$3,1))</f>
        <v/>
      </c>
      <c r="AU167">
        <f>IF($B$1+44&gt;90,AT167,(AT167+IF($B$1+44&lt;=$B167,12*$B$9,-12*$B$8*(1+$B$4)^44))*IF(AT167+IF($B$1+44&lt;=$B167,12*$B$9,-12*$B$8*(1+$B$4)^44)&gt;0,1+$B$3,1))</f>
        <v/>
      </c>
      <c r="AV167">
        <f>IF($B$1+45&gt;90,AU167,(AU167+IF($B$1+45&lt;=$B167,12*$B$9,-12*$B$8*(1+$B$4)^45))*IF(AU167+IF($B$1+45&lt;=$B167,12*$B$9,-12*$B$8*(1+$B$4)^45)&gt;0,1+$B$3,1))</f>
        <v/>
      </c>
      <c r="AW167">
        <f>IF($B$1+46&gt;90,AV167,(AV167+IF($B$1+46&lt;=$B167,12*$B$9,-12*$B$8*(1+$B$4)^46))*IF(AV167+IF($B$1+46&lt;=$B167,12*$B$9,-12*$B$8*(1+$B$4)^46)&gt;0,1+$B$3,1))</f>
        <v/>
      </c>
      <c r="AX167">
        <f>IF($B$1+47&gt;90,AW167,(AW167+IF($B$1+47&lt;=$B167,12*$B$9,-12*$B$8*(1+$B$4)^47))*IF(AW167+IF($B$1+47&lt;=$B167,12*$B$9,-12*$B$8*(1+$B$4)^47)&gt;0,1+$B$3,1))</f>
        <v/>
      </c>
      <c r="AY167">
        <f>IF($B$1+48&gt;90,AX167,(AX167+IF($B$1+48&lt;=$B167,12*$B$9,-12*$B$8*(1+$B$4)^48))*IF(AX167+IF($B$1+48&lt;=$B167,12*$B$9,-12*$B$8*(1+$B$4)^48)&gt;0,1+$B$3,1))</f>
        <v/>
      </c>
      <c r="AZ167">
        <f>IF($B$1+49&gt;90,AY167,(AY167+IF($B$1+49&lt;=$B167,12*$B$9,-12*$B$8*(1+$B$4)^49))*IF(AY167+IF($B$1+49&lt;=$B167,12*$B$9,-12*$B$8*(1+$B$4)^49)&gt;0,1+$B$3,1))</f>
        <v/>
      </c>
      <c r="BA167">
        <f>IF($B$1+50&gt;90,AZ167,(AZ167+IF($B$1+50&lt;=$B167,12*$B$9,-12*$B$8*(1+$B$4)^50))*IF(AZ167+IF($B$1+50&lt;=$B167,12*$B$9,-12*$B$8*(1+$B$4)^50)&gt;0,1+$B$3,1))</f>
        <v/>
      </c>
      <c r="BB167">
        <f>IF($B$1+51&gt;90,BA167,(BA167+IF($B$1+51&lt;=$B167,12*$B$9,-12*$B$8*(1+$B$4)^51))*IF(BA167+IF($B$1+51&lt;=$B167,12*$B$9,-12*$B$8*(1+$B$4)^51)&gt;0,1+$B$3,1))</f>
        <v/>
      </c>
      <c r="BC167">
        <f>IF($B$1+52&gt;90,BB167,(BB167+IF($B$1+52&lt;=$B167,12*$B$9,-12*$B$8*(1+$B$4)^52))*IF(BB167+IF($B$1+52&lt;=$B167,12*$B$9,-12*$B$8*(1+$B$4)^52)&gt;0,1+$B$3,1))</f>
        <v/>
      </c>
      <c r="BD167">
        <f>IF($B$1+53&gt;90,BC167,(BC167+IF($B$1+53&lt;=$B167,12*$B$9,-12*$B$8*(1+$B$4)^53))*IF(BC167+IF($B$1+53&lt;=$B167,12*$B$9,-12*$B$8*(1+$B$4)^53)&gt;0,1+$B$3,1))</f>
        <v/>
      </c>
      <c r="BE167">
        <f>IF($B$1+54&gt;90,BD167,(BD167+IF($B$1+54&lt;=$B167,12*$B$9,-12*$B$8*(1+$B$4)^54))*IF(BD167+IF($B$1+54&lt;=$B167,12*$B$9,-12*$B$8*(1+$B$4)^54)&gt;0,1+$B$3,1))</f>
        <v/>
      </c>
      <c r="BF167">
        <f>IF($B$1+55&gt;90,BE167,(BE167+IF($B$1+55&lt;=$B167,12*$B$9,-12*$B$8*(1+$B$4)^55))*IF(BE167+IF($B$1+55&lt;=$B167,12*$B$9,-12*$B$8*(1+$B$4)^55)&gt;0,1+$B$3,1))</f>
        <v/>
      </c>
      <c r="BG167">
        <f>IF($B$1+56&gt;90,BF167,(BF167+IF($B$1+56&lt;=$B167,12*$B$9,-12*$B$8*(1+$B$4)^56))*IF(BF167+IF($B$1+56&lt;=$B167,12*$B$9,-12*$B$8*(1+$B$4)^56)&gt;0,1+$B$3,1))</f>
        <v/>
      </c>
      <c r="BH167">
        <f>IF($B$1+57&gt;90,BG167,(BG167+IF($B$1+57&lt;=$B167,12*$B$9,-12*$B$8*(1+$B$4)^57))*IF(BG167+IF($B$1+57&lt;=$B167,12*$B$9,-12*$B$8*(1+$B$4)^57)&gt;0,1+$B$3,1))</f>
        <v/>
      </c>
      <c r="BI167">
        <f>IF($B$1+58&gt;90,BH167,(BH167+IF($B$1+58&lt;=$B167,12*$B$9,-12*$B$8*(1+$B$4)^58))*IF(BH167+IF($B$1+58&lt;=$B167,12*$B$9,-12*$B$8*(1+$B$4)^58)&gt;0,1+$B$3,1))</f>
        <v/>
      </c>
      <c r="BJ167">
        <f>IF($B$1+59&gt;90,BI167,(BI167+IF($B$1+59&lt;=$B167,12*$B$9,-12*$B$8*(1+$B$4)^59))*IF(BI167+IF($B$1+59&lt;=$B167,12*$B$9,-12*$B$8*(1+$B$4)^59)&gt;0,1+$B$3,1))</f>
        <v/>
      </c>
      <c r="BK167">
        <f>IF($B$1+60&gt;90,BJ167,(BJ167+IF($B$1+60&lt;=$B167,12*$B$9,-12*$B$8*(1+$B$4)^60))*IF(BJ167+IF($B$1+60&lt;=$B167,12*$B$9,-12*$B$8*(1+$B$4)^60)&gt;0,1+$B$3,1))</f>
        <v/>
      </c>
      <c r="BL167">
        <f>IF($B$1+61&gt;90,BK167,(BK167+IF($B$1+61&lt;=$B167,12*$B$9,-12*$B$8*(1+$B$4)^61))*IF(BK167+IF($B$1+61&lt;=$B167,12*$B$9,-12*$B$8*(1+$B$4)^61)&gt;0,1+$B$3,1))</f>
        <v/>
      </c>
      <c r="BM167">
        <f>IF($B$1+62&gt;90,BL167,(BL167+IF($B$1+62&lt;=$B167,12*$B$9,-12*$B$8*(1+$B$4)^62))*IF(BL167+IF($B$1+62&lt;=$B167,12*$B$9,-12*$B$8*(1+$B$4)^62)&gt;0,1+$B$3,1))</f>
        <v/>
      </c>
      <c r="BN167">
        <f>IF($B$1+63&gt;90,BM167,(BM167+IF($B$1+63&lt;=$B167,12*$B$9,-12*$B$8*(1+$B$4)^63))*IF(BM167+IF($B$1+63&lt;=$B167,12*$B$9,-12*$B$8*(1+$B$4)^63)&gt;0,1+$B$3,1))</f>
        <v/>
      </c>
      <c r="BO167">
        <f>IF($B$1+64&gt;90,BN167,(BN167+IF($B$1+64&lt;=$B167,12*$B$9,-12*$B$8*(1+$B$4)^64))*IF(BN167+IF($B$1+64&lt;=$B167,12*$B$9,-12*$B$8*(1+$B$4)^64)&gt;0,1+$B$3,1))</f>
        <v/>
      </c>
      <c r="BP167">
        <f>IF($B$1+65&gt;90,BO167,(BO167+IF($B$1+65&lt;=$B167,12*$B$9,-12*$B$8*(1+$B$4)^65))*IF(BO167+IF($B$1+65&lt;=$B167,12*$B$9,-12*$B$8*(1+$B$4)^65)&gt;0,1+$B$3,1))</f>
        <v/>
      </c>
      <c r="BQ167">
        <f>IF($B$1+66&gt;90,BP167,(BP167+IF($B$1+66&lt;=$B167,12*$B$9,-12*$B$8*(1+$B$4)^66))*IF(BP167+IF($B$1+66&lt;=$B167,12*$B$9,-12*$B$8*(1+$B$4)^66)&gt;0,1+$B$3,1))</f>
        <v/>
      </c>
      <c r="BR167">
        <f>IF($B$1+67&gt;90,BQ167,(BQ167+IF($B$1+67&lt;=$B167,12*$B$9,-12*$B$8*(1+$B$4)^67))*IF(BQ167+IF($B$1+67&lt;=$B167,12*$B$9,-12*$B$8*(1+$B$4)^67)&gt;0,1+$B$3,1))</f>
        <v/>
      </c>
      <c r="BS167">
        <f>IF($B$1+68&gt;90,BR167,(BR167+IF($B$1+68&lt;=$B167,12*$B$9,-12*$B$8*(1+$B$4)^68))*IF(BR167+IF($B$1+68&lt;=$B167,12*$B$9,-12*$B$8*(1+$B$4)^68)&gt;0,1+$B$3,1))</f>
        <v/>
      </c>
      <c r="BT167">
        <f>IF($B$1+69&gt;90,BS167,(BS167+IF($B$1+69&lt;=$B167,12*$B$9,-12*$B$8*(1+$B$4)^69))*IF(BS167+IF($B$1+69&lt;=$B167,12*$B$9,-12*$B$8*(1+$B$4)^69)&gt;0,1+$B$3,1))</f>
        <v/>
      </c>
      <c r="BU167">
        <f>IF($B$1+70&gt;90,BT167,(BT167+IF($B$1+70&lt;=$B167,12*$B$9,-12*$B$8*(1+$B$4)^70))*IF(BT167+IF($B$1+70&lt;=$B167,12*$B$9,-12*$B$8*(1+$B$4)^70)&gt;0,1+$B$3,1))</f>
        <v/>
      </c>
      <c r="BV167">
        <f>BU167</f>
        <v/>
      </c>
      <c r="BW167">
        <f>IF(AND($B167&lt;=70,BV167&gt;0),$B167,999)</f>
        <v/>
      </c>
    </row>
    <row r="168">
      <c r="A168" t="n">
        <v>16</v>
      </c>
      <c r="B168">
        <f>$B$1+16</f>
        <v/>
      </c>
      <c r="C168">
        <f>$B$2</f>
        <v/>
      </c>
      <c r="D168">
        <f>IF($B$1+1&gt;90,C168,(C168+IF($B$1+1&lt;=$B168,12*$B$9,-12*$B$8*(1+$B$4)^1))*IF(C168+IF($B$1+1&lt;=$B168,12*$B$9,-12*$B$8*(1+$B$4)^1)&gt;0,1+$B$3,1))</f>
        <v/>
      </c>
      <c r="E168">
        <f>IF($B$1+2&gt;90,D168,(D168+IF($B$1+2&lt;=$B168,12*$B$9,-12*$B$8*(1+$B$4)^2))*IF(D168+IF($B$1+2&lt;=$B168,12*$B$9,-12*$B$8*(1+$B$4)^2)&gt;0,1+$B$3,1))</f>
        <v/>
      </c>
      <c r="F168">
        <f>IF($B$1+3&gt;90,E168,(E168+IF($B$1+3&lt;=$B168,12*$B$9,-12*$B$8*(1+$B$4)^3))*IF(E168+IF($B$1+3&lt;=$B168,12*$B$9,-12*$B$8*(1+$B$4)^3)&gt;0,1+$B$3,1))</f>
        <v/>
      </c>
      <c r="G168">
        <f>IF($B$1+4&gt;90,F168,(F168+IF($B$1+4&lt;=$B168,12*$B$9,-12*$B$8*(1+$B$4)^4))*IF(F168+IF($B$1+4&lt;=$B168,12*$B$9,-12*$B$8*(1+$B$4)^4)&gt;0,1+$B$3,1))</f>
        <v/>
      </c>
      <c r="H168">
        <f>IF($B$1+5&gt;90,G168,(G168+IF($B$1+5&lt;=$B168,12*$B$9,-12*$B$8*(1+$B$4)^5))*IF(G168+IF($B$1+5&lt;=$B168,12*$B$9,-12*$B$8*(1+$B$4)^5)&gt;0,1+$B$3,1))</f>
        <v/>
      </c>
      <c r="I168">
        <f>IF($B$1+6&gt;90,H168,(H168+IF($B$1+6&lt;=$B168,12*$B$9,-12*$B$8*(1+$B$4)^6))*IF(H168+IF($B$1+6&lt;=$B168,12*$B$9,-12*$B$8*(1+$B$4)^6)&gt;0,1+$B$3,1))</f>
        <v/>
      </c>
      <c r="J168">
        <f>IF($B$1+7&gt;90,I168,(I168+IF($B$1+7&lt;=$B168,12*$B$9,-12*$B$8*(1+$B$4)^7))*IF(I168+IF($B$1+7&lt;=$B168,12*$B$9,-12*$B$8*(1+$B$4)^7)&gt;0,1+$B$3,1))</f>
        <v/>
      </c>
      <c r="K168">
        <f>IF($B$1+8&gt;90,J168,(J168+IF($B$1+8&lt;=$B168,12*$B$9,-12*$B$8*(1+$B$4)^8))*IF(J168+IF($B$1+8&lt;=$B168,12*$B$9,-12*$B$8*(1+$B$4)^8)&gt;0,1+$B$3,1))</f>
        <v/>
      </c>
      <c r="L168">
        <f>IF($B$1+9&gt;90,K168,(K168+IF($B$1+9&lt;=$B168,12*$B$9,-12*$B$8*(1+$B$4)^9))*IF(K168+IF($B$1+9&lt;=$B168,12*$B$9,-12*$B$8*(1+$B$4)^9)&gt;0,1+$B$3,1))</f>
        <v/>
      </c>
      <c r="M168">
        <f>IF($B$1+10&gt;90,L168,(L168+IF($B$1+10&lt;=$B168,12*$B$9,-12*$B$8*(1+$B$4)^10))*IF(L168+IF($B$1+10&lt;=$B168,12*$B$9,-12*$B$8*(1+$B$4)^10)&gt;0,1+$B$3,1))</f>
        <v/>
      </c>
      <c r="N168">
        <f>IF($B$1+11&gt;90,M168,(M168+IF($B$1+11&lt;=$B168,12*$B$9,-12*$B$8*(1+$B$4)^11))*IF(M168+IF($B$1+11&lt;=$B168,12*$B$9,-12*$B$8*(1+$B$4)^11)&gt;0,1+$B$3,1))</f>
        <v/>
      </c>
      <c r="O168">
        <f>IF($B$1+12&gt;90,N168,(N168+IF($B$1+12&lt;=$B168,12*$B$9,-12*$B$8*(1+$B$4)^12))*IF(N168+IF($B$1+12&lt;=$B168,12*$B$9,-12*$B$8*(1+$B$4)^12)&gt;0,1+$B$3,1))</f>
        <v/>
      </c>
      <c r="P168">
        <f>IF($B$1+13&gt;90,O168,(O168+IF($B$1+13&lt;=$B168,12*$B$9,-12*$B$8*(1+$B$4)^13))*IF(O168+IF($B$1+13&lt;=$B168,12*$B$9,-12*$B$8*(1+$B$4)^13)&gt;0,1+$B$3,1))</f>
        <v/>
      </c>
      <c r="Q168">
        <f>IF($B$1+14&gt;90,P168,(P168+IF($B$1+14&lt;=$B168,12*$B$9,-12*$B$8*(1+$B$4)^14))*IF(P168+IF($B$1+14&lt;=$B168,12*$B$9,-12*$B$8*(1+$B$4)^14)&gt;0,1+$B$3,1))</f>
        <v/>
      </c>
      <c r="R168">
        <f>IF($B$1+15&gt;90,Q168,(Q168+IF($B$1+15&lt;=$B168,12*$B$9,-12*$B$8*(1+$B$4)^15))*IF(Q168+IF($B$1+15&lt;=$B168,12*$B$9,-12*$B$8*(1+$B$4)^15)&gt;0,1+$B$3,1))</f>
        <v/>
      </c>
      <c r="S168">
        <f>IF($B$1+16&gt;90,R168,(R168+IF($B$1+16&lt;=$B168,12*$B$9,-12*$B$8*(1+$B$4)^16))*IF(R168+IF($B$1+16&lt;=$B168,12*$B$9,-12*$B$8*(1+$B$4)^16)&gt;0,1+$B$3,1))</f>
        <v/>
      </c>
      <c r="T168">
        <f>IF($B$1+17&gt;90,S168,(S168+IF($B$1+17&lt;=$B168,12*$B$9,-12*$B$8*(1+$B$4)^17))*IF(S168+IF($B$1+17&lt;=$B168,12*$B$9,-12*$B$8*(1+$B$4)^17)&gt;0,1+$B$3,1))</f>
        <v/>
      </c>
      <c r="U168">
        <f>IF($B$1+18&gt;90,T168,(T168+IF($B$1+18&lt;=$B168,12*$B$9,-12*$B$8*(1+$B$4)^18))*IF(T168+IF($B$1+18&lt;=$B168,12*$B$9,-12*$B$8*(1+$B$4)^18)&gt;0,1+$B$3,1))</f>
        <v/>
      </c>
      <c r="V168">
        <f>IF($B$1+19&gt;90,U168,(U168+IF($B$1+19&lt;=$B168,12*$B$9,-12*$B$8*(1+$B$4)^19))*IF(U168+IF($B$1+19&lt;=$B168,12*$B$9,-12*$B$8*(1+$B$4)^19)&gt;0,1+$B$3,1))</f>
        <v/>
      </c>
      <c r="W168">
        <f>IF($B$1+20&gt;90,V168,(V168+IF($B$1+20&lt;=$B168,12*$B$9,-12*$B$8*(1+$B$4)^20))*IF(V168+IF($B$1+20&lt;=$B168,12*$B$9,-12*$B$8*(1+$B$4)^20)&gt;0,1+$B$3,1))</f>
        <v/>
      </c>
      <c r="X168">
        <f>IF($B$1+21&gt;90,W168,(W168+IF($B$1+21&lt;=$B168,12*$B$9,-12*$B$8*(1+$B$4)^21))*IF(W168+IF($B$1+21&lt;=$B168,12*$B$9,-12*$B$8*(1+$B$4)^21)&gt;0,1+$B$3,1))</f>
        <v/>
      </c>
      <c r="Y168">
        <f>IF($B$1+22&gt;90,X168,(X168+IF($B$1+22&lt;=$B168,12*$B$9,-12*$B$8*(1+$B$4)^22))*IF(X168+IF($B$1+22&lt;=$B168,12*$B$9,-12*$B$8*(1+$B$4)^22)&gt;0,1+$B$3,1))</f>
        <v/>
      </c>
      <c r="Z168">
        <f>IF($B$1+23&gt;90,Y168,(Y168+IF($B$1+23&lt;=$B168,12*$B$9,-12*$B$8*(1+$B$4)^23))*IF(Y168+IF($B$1+23&lt;=$B168,12*$B$9,-12*$B$8*(1+$B$4)^23)&gt;0,1+$B$3,1))</f>
        <v/>
      </c>
      <c r="AA168">
        <f>IF($B$1+24&gt;90,Z168,(Z168+IF($B$1+24&lt;=$B168,12*$B$9,-12*$B$8*(1+$B$4)^24))*IF(Z168+IF($B$1+24&lt;=$B168,12*$B$9,-12*$B$8*(1+$B$4)^24)&gt;0,1+$B$3,1))</f>
        <v/>
      </c>
      <c r="AB168">
        <f>IF($B$1+25&gt;90,AA168,(AA168+IF($B$1+25&lt;=$B168,12*$B$9,-12*$B$8*(1+$B$4)^25))*IF(AA168+IF($B$1+25&lt;=$B168,12*$B$9,-12*$B$8*(1+$B$4)^25)&gt;0,1+$B$3,1))</f>
        <v/>
      </c>
      <c r="AC168">
        <f>IF($B$1+26&gt;90,AB168,(AB168+IF($B$1+26&lt;=$B168,12*$B$9,-12*$B$8*(1+$B$4)^26))*IF(AB168+IF($B$1+26&lt;=$B168,12*$B$9,-12*$B$8*(1+$B$4)^26)&gt;0,1+$B$3,1))</f>
        <v/>
      </c>
      <c r="AD168">
        <f>IF($B$1+27&gt;90,AC168,(AC168+IF($B$1+27&lt;=$B168,12*$B$9,-12*$B$8*(1+$B$4)^27))*IF(AC168+IF($B$1+27&lt;=$B168,12*$B$9,-12*$B$8*(1+$B$4)^27)&gt;0,1+$B$3,1))</f>
        <v/>
      </c>
      <c r="AE168">
        <f>IF($B$1+28&gt;90,AD168,(AD168+IF($B$1+28&lt;=$B168,12*$B$9,-12*$B$8*(1+$B$4)^28))*IF(AD168+IF($B$1+28&lt;=$B168,12*$B$9,-12*$B$8*(1+$B$4)^28)&gt;0,1+$B$3,1))</f>
        <v/>
      </c>
      <c r="AF168">
        <f>IF($B$1+29&gt;90,AE168,(AE168+IF($B$1+29&lt;=$B168,12*$B$9,-12*$B$8*(1+$B$4)^29))*IF(AE168+IF($B$1+29&lt;=$B168,12*$B$9,-12*$B$8*(1+$B$4)^29)&gt;0,1+$B$3,1))</f>
        <v/>
      </c>
      <c r="AG168">
        <f>IF($B$1+30&gt;90,AF168,(AF168+IF($B$1+30&lt;=$B168,12*$B$9,-12*$B$8*(1+$B$4)^30))*IF(AF168+IF($B$1+30&lt;=$B168,12*$B$9,-12*$B$8*(1+$B$4)^30)&gt;0,1+$B$3,1))</f>
        <v/>
      </c>
      <c r="AH168">
        <f>IF($B$1+31&gt;90,AG168,(AG168+IF($B$1+31&lt;=$B168,12*$B$9,-12*$B$8*(1+$B$4)^31))*IF(AG168+IF($B$1+31&lt;=$B168,12*$B$9,-12*$B$8*(1+$B$4)^31)&gt;0,1+$B$3,1))</f>
        <v/>
      </c>
      <c r="AI168">
        <f>IF($B$1+32&gt;90,AH168,(AH168+IF($B$1+32&lt;=$B168,12*$B$9,-12*$B$8*(1+$B$4)^32))*IF(AH168+IF($B$1+32&lt;=$B168,12*$B$9,-12*$B$8*(1+$B$4)^32)&gt;0,1+$B$3,1))</f>
        <v/>
      </c>
      <c r="AJ168">
        <f>IF($B$1+33&gt;90,AI168,(AI168+IF($B$1+33&lt;=$B168,12*$B$9,-12*$B$8*(1+$B$4)^33))*IF(AI168+IF($B$1+33&lt;=$B168,12*$B$9,-12*$B$8*(1+$B$4)^33)&gt;0,1+$B$3,1))</f>
        <v/>
      </c>
      <c r="AK168">
        <f>IF($B$1+34&gt;90,AJ168,(AJ168+IF($B$1+34&lt;=$B168,12*$B$9,-12*$B$8*(1+$B$4)^34))*IF(AJ168+IF($B$1+34&lt;=$B168,12*$B$9,-12*$B$8*(1+$B$4)^34)&gt;0,1+$B$3,1))</f>
        <v/>
      </c>
      <c r="AL168">
        <f>IF($B$1+35&gt;90,AK168,(AK168+IF($B$1+35&lt;=$B168,12*$B$9,-12*$B$8*(1+$B$4)^35))*IF(AK168+IF($B$1+35&lt;=$B168,12*$B$9,-12*$B$8*(1+$B$4)^35)&gt;0,1+$B$3,1))</f>
        <v/>
      </c>
      <c r="AM168">
        <f>IF($B$1+36&gt;90,AL168,(AL168+IF($B$1+36&lt;=$B168,12*$B$9,-12*$B$8*(1+$B$4)^36))*IF(AL168+IF($B$1+36&lt;=$B168,12*$B$9,-12*$B$8*(1+$B$4)^36)&gt;0,1+$B$3,1))</f>
        <v/>
      </c>
      <c r="AN168">
        <f>IF($B$1+37&gt;90,AM168,(AM168+IF($B$1+37&lt;=$B168,12*$B$9,-12*$B$8*(1+$B$4)^37))*IF(AM168+IF($B$1+37&lt;=$B168,12*$B$9,-12*$B$8*(1+$B$4)^37)&gt;0,1+$B$3,1))</f>
        <v/>
      </c>
      <c r="AO168">
        <f>IF($B$1+38&gt;90,AN168,(AN168+IF($B$1+38&lt;=$B168,12*$B$9,-12*$B$8*(1+$B$4)^38))*IF(AN168+IF($B$1+38&lt;=$B168,12*$B$9,-12*$B$8*(1+$B$4)^38)&gt;0,1+$B$3,1))</f>
        <v/>
      </c>
      <c r="AP168">
        <f>IF($B$1+39&gt;90,AO168,(AO168+IF($B$1+39&lt;=$B168,12*$B$9,-12*$B$8*(1+$B$4)^39))*IF(AO168+IF($B$1+39&lt;=$B168,12*$B$9,-12*$B$8*(1+$B$4)^39)&gt;0,1+$B$3,1))</f>
        <v/>
      </c>
      <c r="AQ168">
        <f>IF($B$1+40&gt;90,AP168,(AP168+IF($B$1+40&lt;=$B168,12*$B$9,-12*$B$8*(1+$B$4)^40))*IF(AP168+IF($B$1+40&lt;=$B168,12*$B$9,-12*$B$8*(1+$B$4)^40)&gt;0,1+$B$3,1))</f>
        <v/>
      </c>
      <c r="AR168">
        <f>IF($B$1+41&gt;90,AQ168,(AQ168+IF($B$1+41&lt;=$B168,12*$B$9,-12*$B$8*(1+$B$4)^41))*IF(AQ168+IF($B$1+41&lt;=$B168,12*$B$9,-12*$B$8*(1+$B$4)^41)&gt;0,1+$B$3,1))</f>
        <v/>
      </c>
      <c r="AS168">
        <f>IF($B$1+42&gt;90,AR168,(AR168+IF($B$1+42&lt;=$B168,12*$B$9,-12*$B$8*(1+$B$4)^42))*IF(AR168+IF($B$1+42&lt;=$B168,12*$B$9,-12*$B$8*(1+$B$4)^42)&gt;0,1+$B$3,1))</f>
        <v/>
      </c>
      <c r="AT168">
        <f>IF($B$1+43&gt;90,AS168,(AS168+IF($B$1+43&lt;=$B168,12*$B$9,-12*$B$8*(1+$B$4)^43))*IF(AS168+IF($B$1+43&lt;=$B168,12*$B$9,-12*$B$8*(1+$B$4)^43)&gt;0,1+$B$3,1))</f>
        <v/>
      </c>
      <c r="AU168">
        <f>IF($B$1+44&gt;90,AT168,(AT168+IF($B$1+44&lt;=$B168,12*$B$9,-12*$B$8*(1+$B$4)^44))*IF(AT168+IF($B$1+44&lt;=$B168,12*$B$9,-12*$B$8*(1+$B$4)^44)&gt;0,1+$B$3,1))</f>
        <v/>
      </c>
      <c r="AV168">
        <f>IF($B$1+45&gt;90,AU168,(AU168+IF($B$1+45&lt;=$B168,12*$B$9,-12*$B$8*(1+$B$4)^45))*IF(AU168+IF($B$1+45&lt;=$B168,12*$B$9,-12*$B$8*(1+$B$4)^45)&gt;0,1+$B$3,1))</f>
        <v/>
      </c>
      <c r="AW168">
        <f>IF($B$1+46&gt;90,AV168,(AV168+IF($B$1+46&lt;=$B168,12*$B$9,-12*$B$8*(1+$B$4)^46))*IF(AV168+IF($B$1+46&lt;=$B168,12*$B$9,-12*$B$8*(1+$B$4)^46)&gt;0,1+$B$3,1))</f>
        <v/>
      </c>
      <c r="AX168">
        <f>IF($B$1+47&gt;90,AW168,(AW168+IF($B$1+47&lt;=$B168,12*$B$9,-12*$B$8*(1+$B$4)^47))*IF(AW168+IF($B$1+47&lt;=$B168,12*$B$9,-12*$B$8*(1+$B$4)^47)&gt;0,1+$B$3,1))</f>
        <v/>
      </c>
      <c r="AY168">
        <f>IF($B$1+48&gt;90,AX168,(AX168+IF($B$1+48&lt;=$B168,12*$B$9,-12*$B$8*(1+$B$4)^48))*IF(AX168+IF($B$1+48&lt;=$B168,12*$B$9,-12*$B$8*(1+$B$4)^48)&gt;0,1+$B$3,1))</f>
        <v/>
      </c>
      <c r="AZ168">
        <f>IF($B$1+49&gt;90,AY168,(AY168+IF($B$1+49&lt;=$B168,12*$B$9,-12*$B$8*(1+$B$4)^49))*IF(AY168+IF($B$1+49&lt;=$B168,12*$B$9,-12*$B$8*(1+$B$4)^49)&gt;0,1+$B$3,1))</f>
        <v/>
      </c>
      <c r="BA168">
        <f>IF($B$1+50&gt;90,AZ168,(AZ168+IF($B$1+50&lt;=$B168,12*$B$9,-12*$B$8*(1+$B$4)^50))*IF(AZ168+IF($B$1+50&lt;=$B168,12*$B$9,-12*$B$8*(1+$B$4)^50)&gt;0,1+$B$3,1))</f>
        <v/>
      </c>
      <c r="BB168">
        <f>IF($B$1+51&gt;90,BA168,(BA168+IF($B$1+51&lt;=$B168,12*$B$9,-12*$B$8*(1+$B$4)^51))*IF(BA168+IF($B$1+51&lt;=$B168,12*$B$9,-12*$B$8*(1+$B$4)^51)&gt;0,1+$B$3,1))</f>
        <v/>
      </c>
      <c r="BC168">
        <f>IF($B$1+52&gt;90,BB168,(BB168+IF($B$1+52&lt;=$B168,12*$B$9,-12*$B$8*(1+$B$4)^52))*IF(BB168+IF($B$1+52&lt;=$B168,12*$B$9,-12*$B$8*(1+$B$4)^52)&gt;0,1+$B$3,1))</f>
        <v/>
      </c>
      <c r="BD168">
        <f>IF($B$1+53&gt;90,BC168,(BC168+IF($B$1+53&lt;=$B168,12*$B$9,-12*$B$8*(1+$B$4)^53))*IF(BC168+IF($B$1+53&lt;=$B168,12*$B$9,-12*$B$8*(1+$B$4)^53)&gt;0,1+$B$3,1))</f>
        <v/>
      </c>
      <c r="BE168">
        <f>IF($B$1+54&gt;90,BD168,(BD168+IF($B$1+54&lt;=$B168,12*$B$9,-12*$B$8*(1+$B$4)^54))*IF(BD168+IF($B$1+54&lt;=$B168,12*$B$9,-12*$B$8*(1+$B$4)^54)&gt;0,1+$B$3,1))</f>
        <v/>
      </c>
      <c r="BF168">
        <f>IF($B$1+55&gt;90,BE168,(BE168+IF($B$1+55&lt;=$B168,12*$B$9,-12*$B$8*(1+$B$4)^55))*IF(BE168+IF($B$1+55&lt;=$B168,12*$B$9,-12*$B$8*(1+$B$4)^55)&gt;0,1+$B$3,1))</f>
        <v/>
      </c>
      <c r="BG168">
        <f>IF($B$1+56&gt;90,BF168,(BF168+IF($B$1+56&lt;=$B168,12*$B$9,-12*$B$8*(1+$B$4)^56))*IF(BF168+IF($B$1+56&lt;=$B168,12*$B$9,-12*$B$8*(1+$B$4)^56)&gt;0,1+$B$3,1))</f>
        <v/>
      </c>
      <c r="BH168">
        <f>IF($B$1+57&gt;90,BG168,(BG168+IF($B$1+57&lt;=$B168,12*$B$9,-12*$B$8*(1+$B$4)^57))*IF(BG168+IF($B$1+57&lt;=$B168,12*$B$9,-12*$B$8*(1+$B$4)^57)&gt;0,1+$B$3,1))</f>
        <v/>
      </c>
      <c r="BI168">
        <f>IF($B$1+58&gt;90,BH168,(BH168+IF($B$1+58&lt;=$B168,12*$B$9,-12*$B$8*(1+$B$4)^58))*IF(BH168+IF($B$1+58&lt;=$B168,12*$B$9,-12*$B$8*(1+$B$4)^58)&gt;0,1+$B$3,1))</f>
        <v/>
      </c>
      <c r="BJ168">
        <f>IF($B$1+59&gt;90,BI168,(BI168+IF($B$1+59&lt;=$B168,12*$B$9,-12*$B$8*(1+$B$4)^59))*IF(BI168+IF($B$1+59&lt;=$B168,12*$B$9,-12*$B$8*(1+$B$4)^59)&gt;0,1+$B$3,1))</f>
        <v/>
      </c>
      <c r="BK168">
        <f>IF($B$1+60&gt;90,BJ168,(BJ168+IF($B$1+60&lt;=$B168,12*$B$9,-12*$B$8*(1+$B$4)^60))*IF(BJ168+IF($B$1+60&lt;=$B168,12*$B$9,-12*$B$8*(1+$B$4)^60)&gt;0,1+$B$3,1))</f>
        <v/>
      </c>
      <c r="BL168">
        <f>IF($B$1+61&gt;90,BK168,(BK168+IF($B$1+61&lt;=$B168,12*$B$9,-12*$B$8*(1+$B$4)^61))*IF(BK168+IF($B$1+61&lt;=$B168,12*$B$9,-12*$B$8*(1+$B$4)^61)&gt;0,1+$B$3,1))</f>
        <v/>
      </c>
      <c r="BM168">
        <f>IF($B$1+62&gt;90,BL168,(BL168+IF($B$1+62&lt;=$B168,12*$B$9,-12*$B$8*(1+$B$4)^62))*IF(BL168+IF($B$1+62&lt;=$B168,12*$B$9,-12*$B$8*(1+$B$4)^62)&gt;0,1+$B$3,1))</f>
        <v/>
      </c>
      <c r="BN168">
        <f>IF($B$1+63&gt;90,BM168,(BM168+IF($B$1+63&lt;=$B168,12*$B$9,-12*$B$8*(1+$B$4)^63))*IF(BM168+IF($B$1+63&lt;=$B168,12*$B$9,-12*$B$8*(1+$B$4)^63)&gt;0,1+$B$3,1))</f>
        <v/>
      </c>
      <c r="BO168">
        <f>IF($B$1+64&gt;90,BN168,(BN168+IF($B$1+64&lt;=$B168,12*$B$9,-12*$B$8*(1+$B$4)^64))*IF(BN168+IF($B$1+64&lt;=$B168,12*$B$9,-12*$B$8*(1+$B$4)^64)&gt;0,1+$B$3,1))</f>
        <v/>
      </c>
      <c r="BP168">
        <f>IF($B$1+65&gt;90,BO168,(BO168+IF($B$1+65&lt;=$B168,12*$B$9,-12*$B$8*(1+$B$4)^65))*IF(BO168+IF($B$1+65&lt;=$B168,12*$B$9,-12*$B$8*(1+$B$4)^65)&gt;0,1+$B$3,1))</f>
        <v/>
      </c>
      <c r="BQ168">
        <f>IF($B$1+66&gt;90,BP168,(BP168+IF($B$1+66&lt;=$B168,12*$B$9,-12*$B$8*(1+$B$4)^66))*IF(BP168+IF($B$1+66&lt;=$B168,12*$B$9,-12*$B$8*(1+$B$4)^66)&gt;0,1+$B$3,1))</f>
        <v/>
      </c>
      <c r="BR168">
        <f>IF($B$1+67&gt;90,BQ168,(BQ168+IF($B$1+67&lt;=$B168,12*$B$9,-12*$B$8*(1+$B$4)^67))*IF(BQ168+IF($B$1+67&lt;=$B168,12*$B$9,-12*$B$8*(1+$B$4)^67)&gt;0,1+$B$3,1))</f>
        <v/>
      </c>
      <c r="BS168">
        <f>IF($B$1+68&gt;90,BR168,(BR168+IF($B$1+68&lt;=$B168,12*$B$9,-12*$B$8*(1+$B$4)^68))*IF(BR168+IF($B$1+68&lt;=$B168,12*$B$9,-12*$B$8*(1+$B$4)^68)&gt;0,1+$B$3,1))</f>
        <v/>
      </c>
      <c r="BT168">
        <f>IF($B$1+69&gt;90,BS168,(BS168+IF($B$1+69&lt;=$B168,12*$B$9,-12*$B$8*(1+$B$4)^69))*IF(BS168+IF($B$1+69&lt;=$B168,12*$B$9,-12*$B$8*(1+$B$4)^69)&gt;0,1+$B$3,1))</f>
        <v/>
      </c>
      <c r="BU168">
        <f>IF($B$1+70&gt;90,BT168,(BT168+IF($B$1+70&lt;=$B168,12*$B$9,-12*$B$8*(1+$B$4)^70))*IF(BT168+IF($B$1+70&lt;=$B168,12*$B$9,-12*$B$8*(1+$B$4)^70)&gt;0,1+$B$3,1))</f>
        <v/>
      </c>
      <c r="BV168">
        <f>BU168</f>
        <v/>
      </c>
      <c r="BW168">
        <f>IF(AND($B168&lt;=70,BV168&gt;0),$B168,999)</f>
        <v/>
      </c>
    </row>
    <row r="169">
      <c r="A169" t="n">
        <v>17</v>
      </c>
      <c r="B169">
        <f>$B$1+17</f>
        <v/>
      </c>
      <c r="C169">
        <f>$B$2</f>
        <v/>
      </c>
      <c r="D169">
        <f>IF($B$1+1&gt;90,C169,(C169+IF($B$1+1&lt;=$B169,12*$B$9,-12*$B$8*(1+$B$4)^1))*IF(C169+IF($B$1+1&lt;=$B169,12*$B$9,-12*$B$8*(1+$B$4)^1)&gt;0,1+$B$3,1))</f>
        <v/>
      </c>
      <c r="E169">
        <f>IF($B$1+2&gt;90,D169,(D169+IF($B$1+2&lt;=$B169,12*$B$9,-12*$B$8*(1+$B$4)^2))*IF(D169+IF($B$1+2&lt;=$B169,12*$B$9,-12*$B$8*(1+$B$4)^2)&gt;0,1+$B$3,1))</f>
        <v/>
      </c>
      <c r="F169">
        <f>IF($B$1+3&gt;90,E169,(E169+IF($B$1+3&lt;=$B169,12*$B$9,-12*$B$8*(1+$B$4)^3))*IF(E169+IF($B$1+3&lt;=$B169,12*$B$9,-12*$B$8*(1+$B$4)^3)&gt;0,1+$B$3,1))</f>
        <v/>
      </c>
      <c r="G169">
        <f>IF($B$1+4&gt;90,F169,(F169+IF($B$1+4&lt;=$B169,12*$B$9,-12*$B$8*(1+$B$4)^4))*IF(F169+IF($B$1+4&lt;=$B169,12*$B$9,-12*$B$8*(1+$B$4)^4)&gt;0,1+$B$3,1))</f>
        <v/>
      </c>
      <c r="H169">
        <f>IF($B$1+5&gt;90,G169,(G169+IF($B$1+5&lt;=$B169,12*$B$9,-12*$B$8*(1+$B$4)^5))*IF(G169+IF($B$1+5&lt;=$B169,12*$B$9,-12*$B$8*(1+$B$4)^5)&gt;0,1+$B$3,1))</f>
        <v/>
      </c>
      <c r="I169">
        <f>IF($B$1+6&gt;90,H169,(H169+IF($B$1+6&lt;=$B169,12*$B$9,-12*$B$8*(1+$B$4)^6))*IF(H169+IF($B$1+6&lt;=$B169,12*$B$9,-12*$B$8*(1+$B$4)^6)&gt;0,1+$B$3,1))</f>
        <v/>
      </c>
      <c r="J169">
        <f>IF($B$1+7&gt;90,I169,(I169+IF($B$1+7&lt;=$B169,12*$B$9,-12*$B$8*(1+$B$4)^7))*IF(I169+IF($B$1+7&lt;=$B169,12*$B$9,-12*$B$8*(1+$B$4)^7)&gt;0,1+$B$3,1))</f>
        <v/>
      </c>
      <c r="K169">
        <f>IF($B$1+8&gt;90,J169,(J169+IF($B$1+8&lt;=$B169,12*$B$9,-12*$B$8*(1+$B$4)^8))*IF(J169+IF($B$1+8&lt;=$B169,12*$B$9,-12*$B$8*(1+$B$4)^8)&gt;0,1+$B$3,1))</f>
        <v/>
      </c>
      <c r="L169">
        <f>IF($B$1+9&gt;90,K169,(K169+IF($B$1+9&lt;=$B169,12*$B$9,-12*$B$8*(1+$B$4)^9))*IF(K169+IF($B$1+9&lt;=$B169,12*$B$9,-12*$B$8*(1+$B$4)^9)&gt;0,1+$B$3,1))</f>
        <v/>
      </c>
      <c r="M169">
        <f>IF($B$1+10&gt;90,L169,(L169+IF($B$1+10&lt;=$B169,12*$B$9,-12*$B$8*(1+$B$4)^10))*IF(L169+IF($B$1+10&lt;=$B169,12*$B$9,-12*$B$8*(1+$B$4)^10)&gt;0,1+$B$3,1))</f>
        <v/>
      </c>
      <c r="N169">
        <f>IF($B$1+11&gt;90,M169,(M169+IF($B$1+11&lt;=$B169,12*$B$9,-12*$B$8*(1+$B$4)^11))*IF(M169+IF($B$1+11&lt;=$B169,12*$B$9,-12*$B$8*(1+$B$4)^11)&gt;0,1+$B$3,1))</f>
        <v/>
      </c>
      <c r="O169">
        <f>IF($B$1+12&gt;90,N169,(N169+IF($B$1+12&lt;=$B169,12*$B$9,-12*$B$8*(1+$B$4)^12))*IF(N169+IF($B$1+12&lt;=$B169,12*$B$9,-12*$B$8*(1+$B$4)^12)&gt;0,1+$B$3,1))</f>
        <v/>
      </c>
      <c r="P169">
        <f>IF($B$1+13&gt;90,O169,(O169+IF($B$1+13&lt;=$B169,12*$B$9,-12*$B$8*(1+$B$4)^13))*IF(O169+IF($B$1+13&lt;=$B169,12*$B$9,-12*$B$8*(1+$B$4)^13)&gt;0,1+$B$3,1))</f>
        <v/>
      </c>
      <c r="Q169">
        <f>IF($B$1+14&gt;90,P169,(P169+IF($B$1+14&lt;=$B169,12*$B$9,-12*$B$8*(1+$B$4)^14))*IF(P169+IF($B$1+14&lt;=$B169,12*$B$9,-12*$B$8*(1+$B$4)^14)&gt;0,1+$B$3,1))</f>
        <v/>
      </c>
      <c r="R169">
        <f>IF($B$1+15&gt;90,Q169,(Q169+IF($B$1+15&lt;=$B169,12*$B$9,-12*$B$8*(1+$B$4)^15))*IF(Q169+IF($B$1+15&lt;=$B169,12*$B$9,-12*$B$8*(1+$B$4)^15)&gt;0,1+$B$3,1))</f>
        <v/>
      </c>
      <c r="S169">
        <f>IF($B$1+16&gt;90,R169,(R169+IF($B$1+16&lt;=$B169,12*$B$9,-12*$B$8*(1+$B$4)^16))*IF(R169+IF($B$1+16&lt;=$B169,12*$B$9,-12*$B$8*(1+$B$4)^16)&gt;0,1+$B$3,1))</f>
        <v/>
      </c>
      <c r="T169">
        <f>IF($B$1+17&gt;90,S169,(S169+IF($B$1+17&lt;=$B169,12*$B$9,-12*$B$8*(1+$B$4)^17))*IF(S169+IF($B$1+17&lt;=$B169,12*$B$9,-12*$B$8*(1+$B$4)^17)&gt;0,1+$B$3,1))</f>
        <v/>
      </c>
      <c r="U169">
        <f>IF($B$1+18&gt;90,T169,(T169+IF($B$1+18&lt;=$B169,12*$B$9,-12*$B$8*(1+$B$4)^18))*IF(T169+IF($B$1+18&lt;=$B169,12*$B$9,-12*$B$8*(1+$B$4)^18)&gt;0,1+$B$3,1))</f>
        <v/>
      </c>
      <c r="V169">
        <f>IF($B$1+19&gt;90,U169,(U169+IF($B$1+19&lt;=$B169,12*$B$9,-12*$B$8*(1+$B$4)^19))*IF(U169+IF($B$1+19&lt;=$B169,12*$B$9,-12*$B$8*(1+$B$4)^19)&gt;0,1+$B$3,1))</f>
        <v/>
      </c>
      <c r="W169">
        <f>IF($B$1+20&gt;90,V169,(V169+IF($B$1+20&lt;=$B169,12*$B$9,-12*$B$8*(1+$B$4)^20))*IF(V169+IF($B$1+20&lt;=$B169,12*$B$9,-12*$B$8*(1+$B$4)^20)&gt;0,1+$B$3,1))</f>
        <v/>
      </c>
      <c r="X169">
        <f>IF($B$1+21&gt;90,W169,(W169+IF($B$1+21&lt;=$B169,12*$B$9,-12*$B$8*(1+$B$4)^21))*IF(W169+IF($B$1+21&lt;=$B169,12*$B$9,-12*$B$8*(1+$B$4)^21)&gt;0,1+$B$3,1))</f>
        <v/>
      </c>
      <c r="Y169">
        <f>IF($B$1+22&gt;90,X169,(X169+IF($B$1+22&lt;=$B169,12*$B$9,-12*$B$8*(1+$B$4)^22))*IF(X169+IF($B$1+22&lt;=$B169,12*$B$9,-12*$B$8*(1+$B$4)^22)&gt;0,1+$B$3,1))</f>
        <v/>
      </c>
      <c r="Z169">
        <f>IF($B$1+23&gt;90,Y169,(Y169+IF($B$1+23&lt;=$B169,12*$B$9,-12*$B$8*(1+$B$4)^23))*IF(Y169+IF($B$1+23&lt;=$B169,12*$B$9,-12*$B$8*(1+$B$4)^23)&gt;0,1+$B$3,1))</f>
        <v/>
      </c>
      <c r="AA169">
        <f>IF($B$1+24&gt;90,Z169,(Z169+IF($B$1+24&lt;=$B169,12*$B$9,-12*$B$8*(1+$B$4)^24))*IF(Z169+IF($B$1+24&lt;=$B169,12*$B$9,-12*$B$8*(1+$B$4)^24)&gt;0,1+$B$3,1))</f>
        <v/>
      </c>
      <c r="AB169">
        <f>IF($B$1+25&gt;90,AA169,(AA169+IF($B$1+25&lt;=$B169,12*$B$9,-12*$B$8*(1+$B$4)^25))*IF(AA169+IF($B$1+25&lt;=$B169,12*$B$9,-12*$B$8*(1+$B$4)^25)&gt;0,1+$B$3,1))</f>
        <v/>
      </c>
      <c r="AC169">
        <f>IF($B$1+26&gt;90,AB169,(AB169+IF($B$1+26&lt;=$B169,12*$B$9,-12*$B$8*(1+$B$4)^26))*IF(AB169+IF($B$1+26&lt;=$B169,12*$B$9,-12*$B$8*(1+$B$4)^26)&gt;0,1+$B$3,1))</f>
        <v/>
      </c>
      <c r="AD169">
        <f>IF($B$1+27&gt;90,AC169,(AC169+IF($B$1+27&lt;=$B169,12*$B$9,-12*$B$8*(1+$B$4)^27))*IF(AC169+IF($B$1+27&lt;=$B169,12*$B$9,-12*$B$8*(1+$B$4)^27)&gt;0,1+$B$3,1))</f>
        <v/>
      </c>
      <c r="AE169">
        <f>IF($B$1+28&gt;90,AD169,(AD169+IF($B$1+28&lt;=$B169,12*$B$9,-12*$B$8*(1+$B$4)^28))*IF(AD169+IF($B$1+28&lt;=$B169,12*$B$9,-12*$B$8*(1+$B$4)^28)&gt;0,1+$B$3,1))</f>
        <v/>
      </c>
      <c r="AF169">
        <f>IF($B$1+29&gt;90,AE169,(AE169+IF($B$1+29&lt;=$B169,12*$B$9,-12*$B$8*(1+$B$4)^29))*IF(AE169+IF($B$1+29&lt;=$B169,12*$B$9,-12*$B$8*(1+$B$4)^29)&gt;0,1+$B$3,1))</f>
        <v/>
      </c>
      <c r="AG169">
        <f>IF($B$1+30&gt;90,AF169,(AF169+IF($B$1+30&lt;=$B169,12*$B$9,-12*$B$8*(1+$B$4)^30))*IF(AF169+IF($B$1+30&lt;=$B169,12*$B$9,-12*$B$8*(1+$B$4)^30)&gt;0,1+$B$3,1))</f>
        <v/>
      </c>
      <c r="AH169">
        <f>IF($B$1+31&gt;90,AG169,(AG169+IF($B$1+31&lt;=$B169,12*$B$9,-12*$B$8*(1+$B$4)^31))*IF(AG169+IF($B$1+31&lt;=$B169,12*$B$9,-12*$B$8*(1+$B$4)^31)&gt;0,1+$B$3,1))</f>
        <v/>
      </c>
      <c r="AI169">
        <f>IF($B$1+32&gt;90,AH169,(AH169+IF($B$1+32&lt;=$B169,12*$B$9,-12*$B$8*(1+$B$4)^32))*IF(AH169+IF($B$1+32&lt;=$B169,12*$B$9,-12*$B$8*(1+$B$4)^32)&gt;0,1+$B$3,1))</f>
        <v/>
      </c>
      <c r="AJ169">
        <f>IF($B$1+33&gt;90,AI169,(AI169+IF($B$1+33&lt;=$B169,12*$B$9,-12*$B$8*(1+$B$4)^33))*IF(AI169+IF($B$1+33&lt;=$B169,12*$B$9,-12*$B$8*(1+$B$4)^33)&gt;0,1+$B$3,1))</f>
        <v/>
      </c>
      <c r="AK169">
        <f>IF($B$1+34&gt;90,AJ169,(AJ169+IF($B$1+34&lt;=$B169,12*$B$9,-12*$B$8*(1+$B$4)^34))*IF(AJ169+IF($B$1+34&lt;=$B169,12*$B$9,-12*$B$8*(1+$B$4)^34)&gt;0,1+$B$3,1))</f>
        <v/>
      </c>
      <c r="AL169">
        <f>IF($B$1+35&gt;90,AK169,(AK169+IF($B$1+35&lt;=$B169,12*$B$9,-12*$B$8*(1+$B$4)^35))*IF(AK169+IF($B$1+35&lt;=$B169,12*$B$9,-12*$B$8*(1+$B$4)^35)&gt;0,1+$B$3,1))</f>
        <v/>
      </c>
      <c r="AM169">
        <f>IF($B$1+36&gt;90,AL169,(AL169+IF($B$1+36&lt;=$B169,12*$B$9,-12*$B$8*(1+$B$4)^36))*IF(AL169+IF($B$1+36&lt;=$B169,12*$B$9,-12*$B$8*(1+$B$4)^36)&gt;0,1+$B$3,1))</f>
        <v/>
      </c>
      <c r="AN169">
        <f>IF($B$1+37&gt;90,AM169,(AM169+IF($B$1+37&lt;=$B169,12*$B$9,-12*$B$8*(1+$B$4)^37))*IF(AM169+IF($B$1+37&lt;=$B169,12*$B$9,-12*$B$8*(1+$B$4)^37)&gt;0,1+$B$3,1))</f>
        <v/>
      </c>
      <c r="AO169">
        <f>IF($B$1+38&gt;90,AN169,(AN169+IF($B$1+38&lt;=$B169,12*$B$9,-12*$B$8*(1+$B$4)^38))*IF(AN169+IF($B$1+38&lt;=$B169,12*$B$9,-12*$B$8*(1+$B$4)^38)&gt;0,1+$B$3,1))</f>
        <v/>
      </c>
      <c r="AP169">
        <f>IF($B$1+39&gt;90,AO169,(AO169+IF($B$1+39&lt;=$B169,12*$B$9,-12*$B$8*(1+$B$4)^39))*IF(AO169+IF($B$1+39&lt;=$B169,12*$B$9,-12*$B$8*(1+$B$4)^39)&gt;0,1+$B$3,1))</f>
        <v/>
      </c>
      <c r="AQ169">
        <f>IF($B$1+40&gt;90,AP169,(AP169+IF($B$1+40&lt;=$B169,12*$B$9,-12*$B$8*(1+$B$4)^40))*IF(AP169+IF($B$1+40&lt;=$B169,12*$B$9,-12*$B$8*(1+$B$4)^40)&gt;0,1+$B$3,1))</f>
        <v/>
      </c>
      <c r="AR169">
        <f>IF($B$1+41&gt;90,AQ169,(AQ169+IF($B$1+41&lt;=$B169,12*$B$9,-12*$B$8*(1+$B$4)^41))*IF(AQ169+IF($B$1+41&lt;=$B169,12*$B$9,-12*$B$8*(1+$B$4)^41)&gt;0,1+$B$3,1))</f>
        <v/>
      </c>
      <c r="AS169">
        <f>IF($B$1+42&gt;90,AR169,(AR169+IF($B$1+42&lt;=$B169,12*$B$9,-12*$B$8*(1+$B$4)^42))*IF(AR169+IF($B$1+42&lt;=$B169,12*$B$9,-12*$B$8*(1+$B$4)^42)&gt;0,1+$B$3,1))</f>
        <v/>
      </c>
      <c r="AT169">
        <f>IF($B$1+43&gt;90,AS169,(AS169+IF($B$1+43&lt;=$B169,12*$B$9,-12*$B$8*(1+$B$4)^43))*IF(AS169+IF($B$1+43&lt;=$B169,12*$B$9,-12*$B$8*(1+$B$4)^43)&gt;0,1+$B$3,1))</f>
        <v/>
      </c>
      <c r="AU169">
        <f>IF($B$1+44&gt;90,AT169,(AT169+IF($B$1+44&lt;=$B169,12*$B$9,-12*$B$8*(1+$B$4)^44))*IF(AT169+IF($B$1+44&lt;=$B169,12*$B$9,-12*$B$8*(1+$B$4)^44)&gt;0,1+$B$3,1))</f>
        <v/>
      </c>
      <c r="AV169">
        <f>IF($B$1+45&gt;90,AU169,(AU169+IF($B$1+45&lt;=$B169,12*$B$9,-12*$B$8*(1+$B$4)^45))*IF(AU169+IF($B$1+45&lt;=$B169,12*$B$9,-12*$B$8*(1+$B$4)^45)&gt;0,1+$B$3,1))</f>
        <v/>
      </c>
      <c r="AW169">
        <f>IF($B$1+46&gt;90,AV169,(AV169+IF($B$1+46&lt;=$B169,12*$B$9,-12*$B$8*(1+$B$4)^46))*IF(AV169+IF($B$1+46&lt;=$B169,12*$B$9,-12*$B$8*(1+$B$4)^46)&gt;0,1+$B$3,1))</f>
        <v/>
      </c>
      <c r="AX169">
        <f>IF($B$1+47&gt;90,AW169,(AW169+IF($B$1+47&lt;=$B169,12*$B$9,-12*$B$8*(1+$B$4)^47))*IF(AW169+IF($B$1+47&lt;=$B169,12*$B$9,-12*$B$8*(1+$B$4)^47)&gt;0,1+$B$3,1))</f>
        <v/>
      </c>
      <c r="AY169">
        <f>IF($B$1+48&gt;90,AX169,(AX169+IF($B$1+48&lt;=$B169,12*$B$9,-12*$B$8*(1+$B$4)^48))*IF(AX169+IF($B$1+48&lt;=$B169,12*$B$9,-12*$B$8*(1+$B$4)^48)&gt;0,1+$B$3,1))</f>
        <v/>
      </c>
      <c r="AZ169">
        <f>IF($B$1+49&gt;90,AY169,(AY169+IF($B$1+49&lt;=$B169,12*$B$9,-12*$B$8*(1+$B$4)^49))*IF(AY169+IF($B$1+49&lt;=$B169,12*$B$9,-12*$B$8*(1+$B$4)^49)&gt;0,1+$B$3,1))</f>
        <v/>
      </c>
      <c r="BA169">
        <f>IF($B$1+50&gt;90,AZ169,(AZ169+IF($B$1+50&lt;=$B169,12*$B$9,-12*$B$8*(1+$B$4)^50))*IF(AZ169+IF($B$1+50&lt;=$B169,12*$B$9,-12*$B$8*(1+$B$4)^50)&gt;0,1+$B$3,1))</f>
        <v/>
      </c>
      <c r="BB169">
        <f>IF($B$1+51&gt;90,BA169,(BA169+IF($B$1+51&lt;=$B169,12*$B$9,-12*$B$8*(1+$B$4)^51))*IF(BA169+IF($B$1+51&lt;=$B169,12*$B$9,-12*$B$8*(1+$B$4)^51)&gt;0,1+$B$3,1))</f>
        <v/>
      </c>
      <c r="BC169">
        <f>IF($B$1+52&gt;90,BB169,(BB169+IF($B$1+52&lt;=$B169,12*$B$9,-12*$B$8*(1+$B$4)^52))*IF(BB169+IF($B$1+52&lt;=$B169,12*$B$9,-12*$B$8*(1+$B$4)^52)&gt;0,1+$B$3,1))</f>
        <v/>
      </c>
      <c r="BD169">
        <f>IF($B$1+53&gt;90,BC169,(BC169+IF($B$1+53&lt;=$B169,12*$B$9,-12*$B$8*(1+$B$4)^53))*IF(BC169+IF($B$1+53&lt;=$B169,12*$B$9,-12*$B$8*(1+$B$4)^53)&gt;0,1+$B$3,1))</f>
        <v/>
      </c>
      <c r="BE169">
        <f>IF($B$1+54&gt;90,BD169,(BD169+IF($B$1+54&lt;=$B169,12*$B$9,-12*$B$8*(1+$B$4)^54))*IF(BD169+IF($B$1+54&lt;=$B169,12*$B$9,-12*$B$8*(1+$B$4)^54)&gt;0,1+$B$3,1))</f>
        <v/>
      </c>
      <c r="BF169">
        <f>IF($B$1+55&gt;90,BE169,(BE169+IF($B$1+55&lt;=$B169,12*$B$9,-12*$B$8*(1+$B$4)^55))*IF(BE169+IF($B$1+55&lt;=$B169,12*$B$9,-12*$B$8*(1+$B$4)^55)&gt;0,1+$B$3,1))</f>
        <v/>
      </c>
      <c r="BG169">
        <f>IF($B$1+56&gt;90,BF169,(BF169+IF($B$1+56&lt;=$B169,12*$B$9,-12*$B$8*(1+$B$4)^56))*IF(BF169+IF($B$1+56&lt;=$B169,12*$B$9,-12*$B$8*(1+$B$4)^56)&gt;0,1+$B$3,1))</f>
        <v/>
      </c>
      <c r="BH169">
        <f>IF($B$1+57&gt;90,BG169,(BG169+IF($B$1+57&lt;=$B169,12*$B$9,-12*$B$8*(1+$B$4)^57))*IF(BG169+IF($B$1+57&lt;=$B169,12*$B$9,-12*$B$8*(1+$B$4)^57)&gt;0,1+$B$3,1))</f>
        <v/>
      </c>
      <c r="BI169">
        <f>IF($B$1+58&gt;90,BH169,(BH169+IF($B$1+58&lt;=$B169,12*$B$9,-12*$B$8*(1+$B$4)^58))*IF(BH169+IF($B$1+58&lt;=$B169,12*$B$9,-12*$B$8*(1+$B$4)^58)&gt;0,1+$B$3,1))</f>
        <v/>
      </c>
      <c r="BJ169">
        <f>IF($B$1+59&gt;90,BI169,(BI169+IF($B$1+59&lt;=$B169,12*$B$9,-12*$B$8*(1+$B$4)^59))*IF(BI169+IF($B$1+59&lt;=$B169,12*$B$9,-12*$B$8*(1+$B$4)^59)&gt;0,1+$B$3,1))</f>
        <v/>
      </c>
      <c r="BK169">
        <f>IF($B$1+60&gt;90,BJ169,(BJ169+IF($B$1+60&lt;=$B169,12*$B$9,-12*$B$8*(1+$B$4)^60))*IF(BJ169+IF($B$1+60&lt;=$B169,12*$B$9,-12*$B$8*(1+$B$4)^60)&gt;0,1+$B$3,1))</f>
        <v/>
      </c>
      <c r="BL169">
        <f>IF($B$1+61&gt;90,BK169,(BK169+IF($B$1+61&lt;=$B169,12*$B$9,-12*$B$8*(1+$B$4)^61))*IF(BK169+IF($B$1+61&lt;=$B169,12*$B$9,-12*$B$8*(1+$B$4)^61)&gt;0,1+$B$3,1))</f>
        <v/>
      </c>
      <c r="BM169">
        <f>IF($B$1+62&gt;90,BL169,(BL169+IF($B$1+62&lt;=$B169,12*$B$9,-12*$B$8*(1+$B$4)^62))*IF(BL169+IF($B$1+62&lt;=$B169,12*$B$9,-12*$B$8*(1+$B$4)^62)&gt;0,1+$B$3,1))</f>
        <v/>
      </c>
      <c r="BN169">
        <f>IF($B$1+63&gt;90,BM169,(BM169+IF($B$1+63&lt;=$B169,12*$B$9,-12*$B$8*(1+$B$4)^63))*IF(BM169+IF($B$1+63&lt;=$B169,12*$B$9,-12*$B$8*(1+$B$4)^63)&gt;0,1+$B$3,1))</f>
        <v/>
      </c>
      <c r="BO169">
        <f>IF($B$1+64&gt;90,BN169,(BN169+IF($B$1+64&lt;=$B169,12*$B$9,-12*$B$8*(1+$B$4)^64))*IF(BN169+IF($B$1+64&lt;=$B169,12*$B$9,-12*$B$8*(1+$B$4)^64)&gt;0,1+$B$3,1))</f>
        <v/>
      </c>
      <c r="BP169">
        <f>IF($B$1+65&gt;90,BO169,(BO169+IF($B$1+65&lt;=$B169,12*$B$9,-12*$B$8*(1+$B$4)^65))*IF(BO169+IF($B$1+65&lt;=$B169,12*$B$9,-12*$B$8*(1+$B$4)^65)&gt;0,1+$B$3,1))</f>
        <v/>
      </c>
      <c r="BQ169">
        <f>IF($B$1+66&gt;90,BP169,(BP169+IF($B$1+66&lt;=$B169,12*$B$9,-12*$B$8*(1+$B$4)^66))*IF(BP169+IF($B$1+66&lt;=$B169,12*$B$9,-12*$B$8*(1+$B$4)^66)&gt;0,1+$B$3,1))</f>
        <v/>
      </c>
      <c r="BR169">
        <f>IF($B$1+67&gt;90,BQ169,(BQ169+IF($B$1+67&lt;=$B169,12*$B$9,-12*$B$8*(1+$B$4)^67))*IF(BQ169+IF($B$1+67&lt;=$B169,12*$B$9,-12*$B$8*(1+$B$4)^67)&gt;0,1+$B$3,1))</f>
        <v/>
      </c>
      <c r="BS169">
        <f>IF($B$1+68&gt;90,BR169,(BR169+IF($B$1+68&lt;=$B169,12*$B$9,-12*$B$8*(1+$B$4)^68))*IF(BR169+IF($B$1+68&lt;=$B169,12*$B$9,-12*$B$8*(1+$B$4)^68)&gt;0,1+$B$3,1))</f>
        <v/>
      </c>
      <c r="BT169">
        <f>IF($B$1+69&gt;90,BS169,(BS169+IF($B$1+69&lt;=$B169,12*$B$9,-12*$B$8*(1+$B$4)^69))*IF(BS169+IF($B$1+69&lt;=$B169,12*$B$9,-12*$B$8*(1+$B$4)^69)&gt;0,1+$B$3,1))</f>
        <v/>
      </c>
      <c r="BU169">
        <f>IF($B$1+70&gt;90,BT169,(BT169+IF($B$1+70&lt;=$B169,12*$B$9,-12*$B$8*(1+$B$4)^70))*IF(BT169+IF($B$1+70&lt;=$B169,12*$B$9,-12*$B$8*(1+$B$4)^70)&gt;0,1+$B$3,1))</f>
        <v/>
      </c>
      <c r="BV169">
        <f>BU169</f>
        <v/>
      </c>
      <c r="BW169">
        <f>IF(AND($B169&lt;=70,BV169&gt;0),$B169,999)</f>
        <v/>
      </c>
    </row>
    <row r="170">
      <c r="A170" t="n">
        <v>18</v>
      </c>
      <c r="B170">
        <f>$B$1+18</f>
        <v/>
      </c>
      <c r="C170">
        <f>$B$2</f>
        <v/>
      </c>
      <c r="D170">
        <f>IF($B$1+1&gt;90,C170,(C170+IF($B$1+1&lt;=$B170,12*$B$9,-12*$B$8*(1+$B$4)^1))*IF(C170+IF($B$1+1&lt;=$B170,12*$B$9,-12*$B$8*(1+$B$4)^1)&gt;0,1+$B$3,1))</f>
        <v/>
      </c>
      <c r="E170">
        <f>IF($B$1+2&gt;90,D170,(D170+IF($B$1+2&lt;=$B170,12*$B$9,-12*$B$8*(1+$B$4)^2))*IF(D170+IF($B$1+2&lt;=$B170,12*$B$9,-12*$B$8*(1+$B$4)^2)&gt;0,1+$B$3,1))</f>
        <v/>
      </c>
      <c r="F170">
        <f>IF($B$1+3&gt;90,E170,(E170+IF($B$1+3&lt;=$B170,12*$B$9,-12*$B$8*(1+$B$4)^3))*IF(E170+IF($B$1+3&lt;=$B170,12*$B$9,-12*$B$8*(1+$B$4)^3)&gt;0,1+$B$3,1))</f>
        <v/>
      </c>
      <c r="G170">
        <f>IF($B$1+4&gt;90,F170,(F170+IF($B$1+4&lt;=$B170,12*$B$9,-12*$B$8*(1+$B$4)^4))*IF(F170+IF($B$1+4&lt;=$B170,12*$B$9,-12*$B$8*(1+$B$4)^4)&gt;0,1+$B$3,1))</f>
        <v/>
      </c>
      <c r="H170">
        <f>IF($B$1+5&gt;90,G170,(G170+IF($B$1+5&lt;=$B170,12*$B$9,-12*$B$8*(1+$B$4)^5))*IF(G170+IF($B$1+5&lt;=$B170,12*$B$9,-12*$B$8*(1+$B$4)^5)&gt;0,1+$B$3,1))</f>
        <v/>
      </c>
      <c r="I170">
        <f>IF($B$1+6&gt;90,H170,(H170+IF($B$1+6&lt;=$B170,12*$B$9,-12*$B$8*(1+$B$4)^6))*IF(H170+IF($B$1+6&lt;=$B170,12*$B$9,-12*$B$8*(1+$B$4)^6)&gt;0,1+$B$3,1))</f>
        <v/>
      </c>
      <c r="J170">
        <f>IF($B$1+7&gt;90,I170,(I170+IF($B$1+7&lt;=$B170,12*$B$9,-12*$B$8*(1+$B$4)^7))*IF(I170+IF($B$1+7&lt;=$B170,12*$B$9,-12*$B$8*(1+$B$4)^7)&gt;0,1+$B$3,1))</f>
        <v/>
      </c>
      <c r="K170">
        <f>IF($B$1+8&gt;90,J170,(J170+IF($B$1+8&lt;=$B170,12*$B$9,-12*$B$8*(1+$B$4)^8))*IF(J170+IF($B$1+8&lt;=$B170,12*$B$9,-12*$B$8*(1+$B$4)^8)&gt;0,1+$B$3,1))</f>
        <v/>
      </c>
      <c r="L170">
        <f>IF($B$1+9&gt;90,K170,(K170+IF($B$1+9&lt;=$B170,12*$B$9,-12*$B$8*(1+$B$4)^9))*IF(K170+IF($B$1+9&lt;=$B170,12*$B$9,-12*$B$8*(1+$B$4)^9)&gt;0,1+$B$3,1))</f>
        <v/>
      </c>
      <c r="M170">
        <f>IF($B$1+10&gt;90,L170,(L170+IF($B$1+10&lt;=$B170,12*$B$9,-12*$B$8*(1+$B$4)^10))*IF(L170+IF($B$1+10&lt;=$B170,12*$B$9,-12*$B$8*(1+$B$4)^10)&gt;0,1+$B$3,1))</f>
        <v/>
      </c>
      <c r="N170">
        <f>IF($B$1+11&gt;90,M170,(M170+IF($B$1+11&lt;=$B170,12*$B$9,-12*$B$8*(1+$B$4)^11))*IF(M170+IF($B$1+11&lt;=$B170,12*$B$9,-12*$B$8*(1+$B$4)^11)&gt;0,1+$B$3,1))</f>
        <v/>
      </c>
      <c r="O170">
        <f>IF($B$1+12&gt;90,N170,(N170+IF($B$1+12&lt;=$B170,12*$B$9,-12*$B$8*(1+$B$4)^12))*IF(N170+IF($B$1+12&lt;=$B170,12*$B$9,-12*$B$8*(1+$B$4)^12)&gt;0,1+$B$3,1))</f>
        <v/>
      </c>
      <c r="P170">
        <f>IF($B$1+13&gt;90,O170,(O170+IF($B$1+13&lt;=$B170,12*$B$9,-12*$B$8*(1+$B$4)^13))*IF(O170+IF($B$1+13&lt;=$B170,12*$B$9,-12*$B$8*(1+$B$4)^13)&gt;0,1+$B$3,1))</f>
        <v/>
      </c>
      <c r="Q170">
        <f>IF($B$1+14&gt;90,P170,(P170+IF($B$1+14&lt;=$B170,12*$B$9,-12*$B$8*(1+$B$4)^14))*IF(P170+IF($B$1+14&lt;=$B170,12*$B$9,-12*$B$8*(1+$B$4)^14)&gt;0,1+$B$3,1))</f>
        <v/>
      </c>
      <c r="R170">
        <f>IF($B$1+15&gt;90,Q170,(Q170+IF($B$1+15&lt;=$B170,12*$B$9,-12*$B$8*(1+$B$4)^15))*IF(Q170+IF($B$1+15&lt;=$B170,12*$B$9,-12*$B$8*(1+$B$4)^15)&gt;0,1+$B$3,1))</f>
        <v/>
      </c>
      <c r="S170">
        <f>IF($B$1+16&gt;90,R170,(R170+IF($B$1+16&lt;=$B170,12*$B$9,-12*$B$8*(1+$B$4)^16))*IF(R170+IF($B$1+16&lt;=$B170,12*$B$9,-12*$B$8*(1+$B$4)^16)&gt;0,1+$B$3,1))</f>
        <v/>
      </c>
      <c r="T170">
        <f>IF($B$1+17&gt;90,S170,(S170+IF($B$1+17&lt;=$B170,12*$B$9,-12*$B$8*(1+$B$4)^17))*IF(S170+IF($B$1+17&lt;=$B170,12*$B$9,-12*$B$8*(1+$B$4)^17)&gt;0,1+$B$3,1))</f>
        <v/>
      </c>
      <c r="U170">
        <f>IF($B$1+18&gt;90,T170,(T170+IF($B$1+18&lt;=$B170,12*$B$9,-12*$B$8*(1+$B$4)^18))*IF(T170+IF($B$1+18&lt;=$B170,12*$B$9,-12*$B$8*(1+$B$4)^18)&gt;0,1+$B$3,1))</f>
        <v/>
      </c>
      <c r="V170">
        <f>IF($B$1+19&gt;90,U170,(U170+IF($B$1+19&lt;=$B170,12*$B$9,-12*$B$8*(1+$B$4)^19))*IF(U170+IF($B$1+19&lt;=$B170,12*$B$9,-12*$B$8*(1+$B$4)^19)&gt;0,1+$B$3,1))</f>
        <v/>
      </c>
      <c r="W170">
        <f>IF($B$1+20&gt;90,V170,(V170+IF($B$1+20&lt;=$B170,12*$B$9,-12*$B$8*(1+$B$4)^20))*IF(V170+IF($B$1+20&lt;=$B170,12*$B$9,-12*$B$8*(1+$B$4)^20)&gt;0,1+$B$3,1))</f>
        <v/>
      </c>
      <c r="X170">
        <f>IF($B$1+21&gt;90,W170,(W170+IF($B$1+21&lt;=$B170,12*$B$9,-12*$B$8*(1+$B$4)^21))*IF(W170+IF($B$1+21&lt;=$B170,12*$B$9,-12*$B$8*(1+$B$4)^21)&gt;0,1+$B$3,1))</f>
        <v/>
      </c>
      <c r="Y170">
        <f>IF($B$1+22&gt;90,X170,(X170+IF($B$1+22&lt;=$B170,12*$B$9,-12*$B$8*(1+$B$4)^22))*IF(X170+IF($B$1+22&lt;=$B170,12*$B$9,-12*$B$8*(1+$B$4)^22)&gt;0,1+$B$3,1))</f>
        <v/>
      </c>
      <c r="Z170">
        <f>IF($B$1+23&gt;90,Y170,(Y170+IF($B$1+23&lt;=$B170,12*$B$9,-12*$B$8*(1+$B$4)^23))*IF(Y170+IF($B$1+23&lt;=$B170,12*$B$9,-12*$B$8*(1+$B$4)^23)&gt;0,1+$B$3,1))</f>
        <v/>
      </c>
      <c r="AA170">
        <f>IF($B$1+24&gt;90,Z170,(Z170+IF($B$1+24&lt;=$B170,12*$B$9,-12*$B$8*(1+$B$4)^24))*IF(Z170+IF($B$1+24&lt;=$B170,12*$B$9,-12*$B$8*(1+$B$4)^24)&gt;0,1+$B$3,1))</f>
        <v/>
      </c>
      <c r="AB170">
        <f>IF($B$1+25&gt;90,AA170,(AA170+IF($B$1+25&lt;=$B170,12*$B$9,-12*$B$8*(1+$B$4)^25))*IF(AA170+IF($B$1+25&lt;=$B170,12*$B$9,-12*$B$8*(1+$B$4)^25)&gt;0,1+$B$3,1))</f>
        <v/>
      </c>
      <c r="AC170">
        <f>IF($B$1+26&gt;90,AB170,(AB170+IF($B$1+26&lt;=$B170,12*$B$9,-12*$B$8*(1+$B$4)^26))*IF(AB170+IF($B$1+26&lt;=$B170,12*$B$9,-12*$B$8*(1+$B$4)^26)&gt;0,1+$B$3,1))</f>
        <v/>
      </c>
      <c r="AD170">
        <f>IF($B$1+27&gt;90,AC170,(AC170+IF($B$1+27&lt;=$B170,12*$B$9,-12*$B$8*(1+$B$4)^27))*IF(AC170+IF($B$1+27&lt;=$B170,12*$B$9,-12*$B$8*(1+$B$4)^27)&gt;0,1+$B$3,1))</f>
        <v/>
      </c>
      <c r="AE170">
        <f>IF($B$1+28&gt;90,AD170,(AD170+IF($B$1+28&lt;=$B170,12*$B$9,-12*$B$8*(1+$B$4)^28))*IF(AD170+IF($B$1+28&lt;=$B170,12*$B$9,-12*$B$8*(1+$B$4)^28)&gt;0,1+$B$3,1))</f>
        <v/>
      </c>
      <c r="AF170">
        <f>IF($B$1+29&gt;90,AE170,(AE170+IF($B$1+29&lt;=$B170,12*$B$9,-12*$B$8*(1+$B$4)^29))*IF(AE170+IF($B$1+29&lt;=$B170,12*$B$9,-12*$B$8*(1+$B$4)^29)&gt;0,1+$B$3,1))</f>
        <v/>
      </c>
      <c r="AG170">
        <f>IF($B$1+30&gt;90,AF170,(AF170+IF($B$1+30&lt;=$B170,12*$B$9,-12*$B$8*(1+$B$4)^30))*IF(AF170+IF($B$1+30&lt;=$B170,12*$B$9,-12*$B$8*(1+$B$4)^30)&gt;0,1+$B$3,1))</f>
        <v/>
      </c>
      <c r="AH170">
        <f>IF($B$1+31&gt;90,AG170,(AG170+IF($B$1+31&lt;=$B170,12*$B$9,-12*$B$8*(1+$B$4)^31))*IF(AG170+IF($B$1+31&lt;=$B170,12*$B$9,-12*$B$8*(1+$B$4)^31)&gt;0,1+$B$3,1))</f>
        <v/>
      </c>
      <c r="AI170">
        <f>IF($B$1+32&gt;90,AH170,(AH170+IF($B$1+32&lt;=$B170,12*$B$9,-12*$B$8*(1+$B$4)^32))*IF(AH170+IF($B$1+32&lt;=$B170,12*$B$9,-12*$B$8*(1+$B$4)^32)&gt;0,1+$B$3,1))</f>
        <v/>
      </c>
      <c r="AJ170">
        <f>IF($B$1+33&gt;90,AI170,(AI170+IF($B$1+33&lt;=$B170,12*$B$9,-12*$B$8*(1+$B$4)^33))*IF(AI170+IF($B$1+33&lt;=$B170,12*$B$9,-12*$B$8*(1+$B$4)^33)&gt;0,1+$B$3,1))</f>
        <v/>
      </c>
      <c r="AK170">
        <f>IF($B$1+34&gt;90,AJ170,(AJ170+IF($B$1+34&lt;=$B170,12*$B$9,-12*$B$8*(1+$B$4)^34))*IF(AJ170+IF($B$1+34&lt;=$B170,12*$B$9,-12*$B$8*(1+$B$4)^34)&gt;0,1+$B$3,1))</f>
        <v/>
      </c>
      <c r="AL170">
        <f>IF($B$1+35&gt;90,AK170,(AK170+IF($B$1+35&lt;=$B170,12*$B$9,-12*$B$8*(1+$B$4)^35))*IF(AK170+IF($B$1+35&lt;=$B170,12*$B$9,-12*$B$8*(1+$B$4)^35)&gt;0,1+$B$3,1))</f>
        <v/>
      </c>
      <c r="AM170">
        <f>IF($B$1+36&gt;90,AL170,(AL170+IF($B$1+36&lt;=$B170,12*$B$9,-12*$B$8*(1+$B$4)^36))*IF(AL170+IF($B$1+36&lt;=$B170,12*$B$9,-12*$B$8*(1+$B$4)^36)&gt;0,1+$B$3,1))</f>
        <v/>
      </c>
      <c r="AN170">
        <f>IF($B$1+37&gt;90,AM170,(AM170+IF($B$1+37&lt;=$B170,12*$B$9,-12*$B$8*(1+$B$4)^37))*IF(AM170+IF($B$1+37&lt;=$B170,12*$B$9,-12*$B$8*(1+$B$4)^37)&gt;0,1+$B$3,1))</f>
        <v/>
      </c>
      <c r="AO170">
        <f>IF($B$1+38&gt;90,AN170,(AN170+IF($B$1+38&lt;=$B170,12*$B$9,-12*$B$8*(1+$B$4)^38))*IF(AN170+IF($B$1+38&lt;=$B170,12*$B$9,-12*$B$8*(1+$B$4)^38)&gt;0,1+$B$3,1))</f>
        <v/>
      </c>
      <c r="AP170">
        <f>IF($B$1+39&gt;90,AO170,(AO170+IF($B$1+39&lt;=$B170,12*$B$9,-12*$B$8*(1+$B$4)^39))*IF(AO170+IF($B$1+39&lt;=$B170,12*$B$9,-12*$B$8*(1+$B$4)^39)&gt;0,1+$B$3,1))</f>
        <v/>
      </c>
      <c r="AQ170">
        <f>IF($B$1+40&gt;90,AP170,(AP170+IF($B$1+40&lt;=$B170,12*$B$9,-12*$B$8*(1+$B$4)^40))*IF(AP170+IF($B$1+40&lt;=$B170,12*$B$9,-12*$B$8*(1+$B$4)^40)&gt;0,1+$B$3,1))</f>
        <v/>
      </c>
      <c r="AR170">
        <f>IF($B$1+41&gt;90,AQ170,(AQ170+IF($B$1+41&lt;=$B170,12*$B$9,-12*$B$8*(1+$B$4)^41))*IF(AQ170+IF($B$1+41&lt;=$B170,12*$B$9,-12*$B$8*(1+$B$4)^41)&gt;0,1+$B$3,1))</f>
        <v/>
      </c>
      <c r="AS170">
        <f>IF($B$1+42&gt;90,AR170,(AR170+IF($B$1+42&lt;=$B170,12*$B$9,-12*$B$8*(1+$B$4)^42))*IF(AR170+IF($B$1+42&lt;=$B170,12*$B$9,-12*$B$8*(1+$B$4)^42)&gt;0,1+$B$3,1))</f>
        <v/>
      </c>
      <c r="AT170">
        <f>IF($B$1+43&gt;90,AS170,(AS170+IF($B$1+43&lt;=$B170,12*$B$9,-12*$B$8*(1+$B$4)^43))*IF(AS170+IF($B$1+43&lt;=$B170,12*$B$9,-12*$B$8*(1+$B$4)^43)&gt;0,1+$B$3,1))</f>
        <v/>
      </c>
      <c r="AU170">
        <f>IF($B$1+44&gt;90,AT170,(AT170+IF($B$1+44&lt;=$B170,12*$B$9,-12*$B$8*(1+$B$4)^44))*IF(AT170+IF($B$1+44&lt;=$B170,12*$B$9,-12*$B$8*(1+$B$4)^44)&gt;0,1+$B$3,1))</f>
        <v/>
      </c>
      <c r="AV170">
        <f>IF($B$1+45&gt;90,AU170,(AU170+IF($B$1+45&lt;=$B170,12*$B$9,-12*$B$8*(1+$B$4)^45))*IF(AU170+IF($B$1+45&lt;=$B170,12*$B$9,-12*$B$8*(1+$B$4)^45)&gt;0,1+$B$3,1))</f>
        <v/>
      </c>
      <c r="AW170">
        <f>IF($B$1+46&gt;90,AV170,(AV170+IF($B$1+46&lt;=$B170,12*$B$9,-12*$B$8*(1+$B$4)^46))*IF(AV170+IF($B$1+46&lt;=$B170,12*$B$9,-12*$B$8*(1+$B$4)^46)&gt;0,1+$B$3,1))</f>
        <v/>
      </c>
      <c r="AX170">
        <f>IF($B$1+47&gt;90,AW170,(AW170+IF($B$1+47&lt;=$B170,12*$B$9,-12*$B$8*(1+$B$4)^47))*IF(AW170+IF($B$1+47&lt;=$B170,12*$B$9,-12*$B$8*(1+$B$4)^47)&gt;0,1+$B$3,1))</f>
        <v/>
      </c>
      <c r="AY170">
        <f>IF($B$1+48&gt;90,AX170,(AX170+IF($B$1+48&lt;=$B170,12*$B$9,-12*$B$8*(1+$B$4)^48))*IF(AX170+IF($B$1+48&lt;=$B170,12*$B$9,-12*$B$8*(1+$B$4)^48)&gt;0,1+$B$3,1))</f>
        <v/>
      </c>
      <c r="AZ170">
        <f>IF($B$1+49&gt;90,AY170,(AY170+IF($B$1+49&lt;=$B170,12*$B$9,-12*$B$8*(1+$B$4)^49))*IF(AY170+IF($B$1+49&lt;=$B170,12*$B$9,-12*$B$8*(1+$B$4)^49)&gt;0,1+$B$3,1))</f>
        <v/>
      </c>
      <c r="BA170">
        <f>IF($B$1+50&gt;90,AZ170,(AZ170+IF($B$1+50&lt;=$B170,12*$B$9,-12*$B$8*(1+$B$4)^50))*IF(AZ170+IF($B$1+50&lt;=$B170,12*$B$9,-12*$B$8*(1+$B$4)^50)&gt;0,1+$B$3,1))</f>
        <v/>
      </c>
      <c r="BB170">
        <f>IF($B$1+51&gt;90,BA170,(BA170+IF($B$1+51&lt;=$B170,12*$B$9,-12*$B$8*(1+$B$4)^51))*IF(BA170+IF($B$1+51&lt;=$B170,12*$B$9,-12*$B$8*(1+$B$4)^51)&gt;0,1+$B$3,1))</f>
        <v/>
      </c>
      <c r="BC170">
        <f>IF($B$1+52&gt;90,BB170,(BB170+IF($B$1+52&lt;=$B170,12*$B$9,-12*$B$8*(1+$B$4)^52))*IF(BB170+IF($B$1+52&lt;=$B170,12*$B$9,-12*$B$8*(1+$B$4)^52)&gt;0,1+$B$3,1))</f>
        <v/>
      </c>
      <c r="BD170">
        <f>IF($B$1+53&gt;90,BC170,(BC170+IF($B$1+53&lt;=$B170,12*$B$9,-12*$B$8*(1+$B$4)^53))*IF(BC170+IF($B$1+53&lt;=$B170,12*$B$9,-12*$B$8*(1+$B$4)^53)&gt;0,1+$B$3,1))</f>
        <v/>
      </c>
      <c r="BE170">
        <f>IF($B$1+54&gt;90,BD170,(BD170+IF($B$1+54&lt;=$B170,12*$B$9,-12*$B$8*(1+$B$4)^54))*IF(BD170+IF($B$1+54&lt;=$B170,12*$B$9,-12*$B$8*(1+$B$4)^54)&gt;0,1+$B$3,1))</f>
        <v/>
      </c>
      <c r="BF170">
        <f>IF($B$1+55&gt;90,BE170,(BE170+IF($B$1+55&lt;=$B170,12*$B$9,-12*$B$8*(1+$B$4)^55))*IF(BE170+IF($B$1+55&lt;=$B170,12*$B$9,-12*$B$8*(1+$B$4)^55)&gt;0,1+$B$3,1))</f>
        <v/>
      </c>
      <c r="BG170">
        <f>IF($B$1+56&gt;90,BF170,(BF170+IF($B$1+56&lt;=$B170,12*$B$9,-12*$B$8*(1+$B$4)^56))*IF(BF170+IF($B$1+56&lt;=$B170,12*$B$9,-12*$B$8*(1+$B$4)^56)&gt;0,1+$B$3,1))</f>
        <v/>
      </c>
      <c r="BH170">
        <f>IF($B$1+57&gt;90,BG170,(BG170+IF($B$1+57&lt;=$B170,12*$B$9,-12*$B$8*(1+$B$4)^57))*IF(BG170+IF($B$1+57&lt;=$B170,12*$B$9,-12*$B$8*(1+$B$4)^57)&gt;0,1+$B$3,1))</f>
        <v/>
      </c>
      <c r="BI170">
        <f>IF($B$1+58&gt;90,BH170,(BH170+IF($B$1+58&lt;=$B170,12*$B$9,-12*$B$8*(1+$B$4)^58))*IF(BH170+IF($B$1+58&lt;=$B170,12*$B$9,-12*$B$8*(1+$B$4)^58)&gt;0,1+$B$3,1))</f>
        <v/>
      </c>
      <c r="BJ170">
        <f>IF($B$1+59&gt;90,BI170,(BI170+IF($B$1+59&lt;=$B170,12*$B$9,-12*$B$8*(1+$B$4)^59))*IF(BI170+IF($B$1+59&lt;=$B170,12*$B$9,-12*$B$8*(1+$B$4)^59)&gt;0,1+$B$3,1))</f>
        <v/>
      </c>
      <c r="BK170">
        <f>IF($B$1+60&gt;90,BJ170,(BJ170+IF($B$1+60&lt;=$B170,12*$B$9,-12*$B$8*(1+$B$4)^60))*IF(BJ170+IF($B$1+60&lt;=$B170,12*$B$9,-12*$B$8*(1+$B$4)^60)&gt;0,1+$B$3,1))</f>
        <v/>
      </c>
      <c r="BL170">
        <f>IF($B$1+61&gt;90,BK170,(BK170+IF($B$1+61&lt;=$B170,12*$B$9,-12*$B$8*(1+$B$4)^61))*IF(BK170+IF($B$1+61&lt;=$B170,12*$B$9,-12*$B$8*(1+$B$4)^61)&gt;0,1+$B$3,1))</f>
        <v/>
      </c>
      <c r="BM170">
        <f>IF($B$1+62&gt;90,BL170,(BL170+IF($B$1+62&lt;=$B170,12*$B$9,-12*$B$8*(1+$B$4)^62))*IF(BL170+IF($B$1+62&lt;=$B170,12*$B$9,-12*$B$8*(1+$B$4)^62)&gt;0,1+$B$3,1))</f>
        <v/>
      </c>
      <c r="BN170">
        <f>IF($B$1+63&gt;90,BM170,(BM170+IF($B$1+63&lt;=$B170,12*$B$9,-12*$B$8*(1+$B$4)^63))*IF(BM170+IF($B$1+63&lt;=$B170,12*$B$9,-12*$B$8*(1+$B$4)^63)&gt;0,1+$B$3,1))</f>
        <v/>
      </c>
      <c r="BO170">
        <f>IF($B$1+64&gt;90,BN170,(BN170+IF($B$1+64&lt;=$B170,12*$B$9,-12*$B$8*(1+$B$4)^64))*IF(BN170+IF($B$1+64&lt;=$B170,12*$B$9,-12*$B$8*(1+$B$4)^64)&gt;0,1+$B$3,1))</f>
        <v/>
      </c>
      <c r="BP170">
        <f>IF($B$1+65&gt;90,BO170,(BO170+IF($B$1+65&lt;=$B170,12*$B$9,-12*$B$8*(1+$B$4)^65))*IF(BO170+IF($B$1+65&lt;=$B170,12*$B$9,-12*$B$8*(1+$B$4)^65)&gt;0,1+$B$3,1))</f>
        <v/>
      </c>
      <c r="BQ170">
        <f>IF($B$1+66&gt;90,BP170,(BP170+IF($B$1+66&lt;=$B170,12*$B$9,-12*$B$8*(1+$B$4)^66))*IF(BP170+IF($B$1+66&lt;=$B170,12*$B$9,-12*$B$8*(1+$B$4)^66)&gt;0,1+$B$3,1))</f>
        <v/>
      </c>
      <c r="BR170">
        <f>IF($B$1+67&gt;90,BQ170,(BQ170+IF($B$1+67&lt;=$B170,12*$B$9,-12*$B$8*(1+$B$4)^67))*IF(BQ170+IF($B$1+67&lt;=$B170,12*$B$9,-12*$B$8*(1+$B$4)^67)&gt;0,1+$B$3,1))</f>
        <v/>
      </c>
      <c r="BS170">
        <f>IF($B$1+68&gt;90,BR170,(BR170+IF($B$1+68&lt;=$B170,12*$B$9,-12*$B$8*(1+$B$4)^68))*IF(BR170+IF($B$1+68&lt;=$B170,12*$B$9,-12*$B$8*(1+$B$4)^68)&gt;0,1+$B$3,1))</f>
        <v/>
      </c>
      <c r="BT170">
        <f>IF($B$1+69&gt;90,BS170,(BS170+IF($B$1+69&lt;=$B170,12*$B$9,-12*$B$8*(1+$B$4)^69))*IF(BS170+IF($B$1+69&lt;=$B170,12*$B$9,-12*$B$8*(1+$B$4)^69)&gt;0,1+$B$3,1))</f>
        <v/>
      </c>
      <c r="BU170">
        <f>IF($B$1+70&gt;90,BT170,(BT170+IF($B$1+70&lt;=$B170,12*$B$9,-12*$B$8*(1+$B$4)^70))*IF(BT170+IF($B$1+70&lt;=$B170,12*$B$9,-12*$B$8*(1+$B$4)^70)&gt;0,1+$B$3,1))</f>
        <v/>
      </c>
      <c r="BV170">
        <f>BU170</f>
        <v/>
      </c>
      <c r="BW170">
        <f>IF(AND($B170&lt;=70,BV170&gt;0),$B170,999)</f>
        <v/>
      </c>
    </row>
    <row r="171">
      <c r="A171" t="n">
        <v>19</v>
      </c>
      <c r="B171">
        <f>$B$1+19</f>
        <v/>
      </c>
      <c r="C171">
        <f>$B$2</f>
        <v/>
      </c>
      <c r="D171">
        <f>IF($B$1+1&gt;90,C171,(C171+IF($B$1+1&lt;=$B171,12*$B$9,-12*$B$8*(1+$B$4)^1))*IF(C171+IF($B$1+1&lt;=$B171,12*$B$9,-12*$B$8*(1+$B$4)^1)&gt;0,1+$B$3,1))</f>
        <v/>
      </c>
      <c r="E171">
        <f>IF($B$1+2&gt;90,D171,(D171+IF($B$1+2&lt;=$B171,12*$B$9,-12*$B$8*(1+$B$4)^2))*IF(D171+IF($B$1+2&lt;=$B171,12*$B$9,-12*$B$8*(1+$B$4)^2)&gt;0,1+$B$3,1))</f>
        <v/>
      </c>
      <c r="F171">
        <f>IF($B$1+3&gt;90,E171,(E171+IF($B$1+3&lt;=$B171,12*$B$9,-12*$B$8*(1+$B$4)^3))*IF(E171+IF($B$1+3&lt;=$B171,12*$B$9,-12*$B$8*(1+$B$4)^3)&gt;0,1+$B$3,1))</f>
        <v/>
      </c>
      <c r="G171">
        <f>IF($B$1+4&gt;90,F171,(F171+IF($B$1+4&lt;=$B171,12*$B$9,-12*$B$8*(1+$B$4)^4))*IF(F171+IF($B$1+4&lt;=$B171,12*$B$9,-12*$B$8*(1+$B$4)^4)&gt;0,1+$B$3,1))</f>
        <v/>
      </c>
      <c r="H171">
        <f>IF($B$1+5&gt;90,G171,(G171+IF($B$1+5&lt;=$B171,12*$B$9,-12*$B$8*(1+$B$4)^5))*IF(G171+IF($B$1+5&lt;=$B171,12*$B$9,-12*$B$8*(1+$B$4)^5)&gt;0,1+$B$3,1))</f>
        <v/>
      </c>
      <c r="I171">
        <f>IF($B$1+6&gt;90,H171,(H171+IF($B$1+6&lt;=$B171,12*$B$9,-12*$B$8*(1+$B$4)^6))*IF(H171+IF($B$1+6&lt;=$B171,12*$B$9,-12*$B$8*(1+$B$4)^6)&gt;0,1+$B$3,1))</f>
        <v/>
      </c>
      <c r="J171">
        <f>IF($B$1+7&gt;90,I171,(I171+IF($B$1+7&lt;=$B171,12*$B$9,-12*$B$8*(1+$B$4)^7))*IF(I171+IF($B$1+7&lt;=$B171,12*$B$9,-12*$B$8*(1+$B$4)^7)&gt;0,1+$B$3,1))</f>
        <v/>
      </c>
      <c r="K171">
        <f>IF($B$1+8&gt;90,J171,(J171+IF($B$1+8&lt;=$B171,12*$B$9,-12*$B$8*(1+$B$4)^8))*IF(J171+IF($B$1+8&lt;=$B171,12*$B$9,-12*$B$8*(1+$B$4)^8)&gt;0,1+$B$3,1))</f>
        <v/>
      </c>
      <c r="L171">
        <f>IF($B$1+9&gt;90,K171,(K171+IF($B$1+9&lt;=$B171,12*$B$9,-12*$B$8*(1+$B$4)^9))*IF(K171+IF($B$1+9&lt;=$B171,12*$B$9,-12*$B$8*(1+$B$4)^9)&gt;0,1+$B$3,1))</f>
        <v/>
      </c>
      <c r="M171">
        <f>IF($B$1+10&gt;90,L171,(L171+IF($B$1+10&lt;=$B171,12*$B$9,-12*$B$8*(1+$B$4)^10))*IF(L171+IF($B$1+10&lt;=$B171,12*$B$9,-12*$B$8*(1+$B$4)^10)&gt;0,1+$B$3,1))</f>
        <v/>
      </c>
      <c r="N171">
        <f>IF($B$1+11&gt;90,M171,(M171+IF($B$1+11&lt;=$B171,12*$B$9,-12*$B$8*(1+$B$4)^11))*IF(M171+IF($B$1+11&lt;=$B171,12*$B$9,-12*$B$8*(1+$B$4)^11)&gt;0,1+$B$3,1))</f>
        <v/>
      </c>
      <c r="O171">
        <f>IF($B$1+12&gt;90,N171,(N171+IF($B$1+12&lt;=$B171,12*$B$9,-12*$B$8*(1+$B$4)^12))*IF(N171+IF($B$1+12&lt;=$B171,12*$B$9,-12*$B$8*(1+$B$4)^12)&gt;0,1+$B$3,1))</f>
        <v/>
      </c>
      <c r="P171">
        <f>IF($B$1+13&gt;90,O171,(O171+IF($B$1+13&lt;=$B171,12*$B$9,-12*$B$8*(1+$B$4)^13))*IF(O171+IF($B$1+13&lt;=$B171,12*$B$9,-12*$B$8*(1+$B$4)^13)&gt;0,1+$B$3,1))</f>
        <v/>
      </c>
      <c r="Q171">
        <f>IF($B$1+14&gt;90,P171,(P171+IF($B$1+14&lt;=$B171,12*$B$9,-12*$B$8*(1+$B$4)^14))*IF(P171+IF($B$1+14&lt;=$B171,12*$B$9,-12*$B$8*(1+$B$4)^14)&gt;0,1+$B$3,1))</f>
        <v/>
      </c>
      <c r="R171">
        <f>IF($B$1+15&gt;90,Q171,(Q171+IF($B$1+15&lt;=$B171,12*$B$9,-12*$B$8*(1+$B$4)^15))*IF(Q171+IF($B$1+15&lt;=$B171,12*$B$9,-12*$B$8*(1+$B$4)^15)&gt;0,1+$B$3,1))</f>
        <v/>
      </c>
      <c r="S171">
        <f>IF($B$1+16&gt;90,R171,(R171+IF($B$1+16&lt;=$B171,12*$B$9,-12*$B$8*(1+$B$4)^16))*IF(R171+IF($B$1+16&lt;=$B171,12*$B$9,-12*$B$8*(1+$B$4)^16)&gt;0,1+$B$3,1))</f>
        <v/>
      </c>
      <c r="T171">
        <f>IF($B$1+17&gt;90,S171,(S171+IF($B$1+17&lt;=$B171,12*$B$9,-12*$B$8*(1+$B$4)^17))*IF(S171+IF($B$1+17&lt;=$B171,12*$B$9,-12*$B$8*(1+$B$4)^17)&gt;0,1+$B$3,1))</f>
        <v/>
      </c>
      <c r="U171">
        <f>IF($B$1+18&gt;90,T171,(T171+IF($B$1+18&lt;=$B171,12*$B$9,-12*$B$8*(1+$B$4)^18))*IF(T171+IF($B$1+18&lt;=$B171,12*$B$9,-12*$B$8*(1+$B$4)^18)&gt;0,1+$B$3,1))</f>
        <v/>
      </c>
      <c r="V171">
        <f>IF($B$1+19&gt;90,U171,(U171+IF($B$1+19&lt;=$B171,12*$B$9,-12*$B$8*(1+$B$4)^19))*IF(U171+IF($B$1+19&lt;=$B171,12*$B$9,-12*$B$8*(1+$B$4)^19)&gt;0,1+$B$3,1))</f>
        <v/>
      </c>
      <c r="W171">
        <f>IF($B$1+20&gt;90,V171,(V171+IF($B$1+20&lt;=$B171,12*$B$9,-12*$B$8*(1+$B$4)^20))*IF(V171+IF($B$1+20&lt;=$B171,12*$B$9,-12*$B$8*(1+$B$4)^20)&gt;0,1+$B$3,1))</f>
        <v/>
      </c>
      <c r="X171">
        <f>IF($B$1+21&gt;90,W171,(W171+IF($B$1+21&lt;=$B171,12*$B$9,-12*$B$8*(1+$B$4)^21))*IF(W171+IF($B$1+21&lt;=$B171,12*$B$9,-12*$B$8*(1+$B$4)^21)&gt;0,1+$B$3,1))</f>
        <v/>
      </c>
      <c r="Y171">
        <f>IF($B$1+22&gt;90,X171,(X171+IF($B$1+22&lt;=$B171,12*$B$9,-12*$B$8*(1+$B$4)^22))*IF(X171+IF($B$1+22&lt;=$B171,12*$B$9,-12*$B$8*(1+$B$4)^22)&gt;0,1+$B$3,1))</f>
        <v/>
      </c>
      <c r="Z171">
        <f>IF($B$1+23&gt;90,Y171,(Y171+IF($B$1+23&lt;=$B171,12*$B$9,-12*$B$8*(1+$B$4)^23))*IF(Y171+IF($B$1+23&lt;=$B171,12*$B$9,-12*$B$8*(1+$B$4)^23)&gt;0,1+$B$3,1))</f>
        <v/>
      </c>
      <c r="AA171">
        <f>IF($B$1+24&gt;90,Z171,(Z171+IF($B$1+24&lt;=$B171,12*$B$9,-12*$B$8*(1+$B$4)^24))*IF(Z171+IF($B$1+24&lt;=$B171,12*$B$9,-12*$B$8*(1+$B$4)^24)&gt;0,1+$B$3,1))</f>
        <v/>
      </c>
      <c r="AB171">
        <f>IF($B$1+25&gt;90,AA171,(AA171+IF($B$1+25&lt;=$B171,12*$B$9,-12*$B$8*(1+$B$4)^25))*IF(AA171+IF($B$1+25&lt;=$B171,12*$B$9,-12*$B$8*(1+$B$4)^25)&gt;0,1+$B$3,1))</f>
        <v/>
      </c>
      <c r="AC171">
        <f>IF($B$1+26&gt;90,AB171,(AB171+IF($B$1+26&lt;=$B171,12*$B$9,-12*$B$8*(1+$B$4)^26))*IF(AB171+IF($B$1+26&lt;=$B171,12*$B$9,-12*$B$8*(1+$B$4)^26)&gt;0,1+$B$3,1))</f>
        <v/>
      </c>
      <c r="AD171">
        <f>IF($B$1+27&gt;90,AC171,(AC171+IF($B$1+27&lt;=$B171,12*$B$9,-12*$B$8*(1+$B$4)^27))*IF(AC171+IF($B$1+27&lt;=$B171,12*$B$9,-12*$B$8*(1+$B$4)^27)&gt;0,1+$B$3,1))</f>
        <v/>
      </c>
      <c r="AE171">
        <f>IF($B$1+28&gt;90,AD171,(AD171+IF($B$1+28&lt;=$B171,12*$B$9,-12*$B$8*(1+$B$4)^28))*IF(AD171+IF($B$1+28&lt;=$B171,12*$B$9,-12*$B$8*(1+$B$4)^28)&gt;0,1+$B$3,1))</f>
        <v/>
      </c>
      <c r="AF171">
        <f>IF($B$1+29&gt;90,AE171,(AE171+IF($B$1+29&lt;=$B171,12*$B$9,-12*$B$8*(1+$B$4)^29))*IF(AE171+IF($B$1+29&lt;=$B171,12*$B$9,-12*$B$8*(1+$B$4)^29)&gt;0,1+$B$3,1))</f>
        <v/>
      </c>
      <c r="AG171">
        <f>IF($B$1+30&gt;90,AF171,(AF171+IF($B$1+30&lt;=$B171,12*$B$9,-12*$B$8*(1+$B$4)^30))*IF(AF171+IF($B$1+30&lt;=$B171,12*$B$9,-12*$B$8*(1+$B$4)^30)&gt;0,1+$B$3,1))</f>
        <v/>
      </c>
      <c r="AH171">
        <f>IF($B$1+31&gt;90,AG171,(AG171+IF($B$1+31&lt;=$B171,12*$B$9,-12*$B$8*(1+$B$4)^31))*IF(AG171+IF($B$1+31&lt;=$B171,12*$B$9,-12*$B$8*(1+$B$4)^31)&gt;0,1+$B$3,1))</f>
        <v/>
      </c>
      <c r="AI171">
        <f>IF($B$1+32&gt;90,AH171,(AH171+IF($B$1+32&lt;=$B171,12*$B$9,-12*$B$8*(1+$B$4)^32))*IF(AH171+IF($B$1+32&lt;=$B171,12*$B$9,-12*$B$8*(1+$B$4)^32)&gt;0,1+$B$3,1))</f>
        <v/>
      </c>
      <c r="AJ171">
        <f>IF($B$1+33&gt;90,AI171,(AI171+IF($B$1+33&lt;=$B171,12*$B$9,-12*$B$8*(1+$B$4)^33))*IF(AI171+IF($B$1+33&lt;=$B171,12*$B$9,-12*$B$8*(1+$B$4)^33)&gt;0,1+$B$3,1))</f>
        <v/>
      </c>
      <c r="AK171">
        <f>IF($B$1+34&gt;90,AJ171,(AJ171+IF($B$1+34&lt;=$B171,12*$B$9,-12*$B$8*(1+$B$4)^34))*IF(AJ171+IF($B$1+34&lt;=$B171,12*$B$9,-12*$B$8*(1+$B$4)^34)&gt;0,1+$B$3,1))</f>
        <v/>
      </c>
      <c r="AL171">
        <f>IF($B$1+35&gt;90,AK171,(AK171+IF($B$1+35&lt;=$B171,12*$B$9,-12*$B$8*(1+$B$4)^35))*IF(AK171+IF($B$1+35&lt;=$B171,12*$B$9,-12*$B$8*(1+$B$4)^35)&gt;0,1+$B$3,1))</f>
        <v/>
      </c>
      <c r="AM171">
        <f>IF($B$1+36&gt;90,AL171,(AL171+IF($B$1+36&lt;=$B171,12*$B$9,-12*$B$8*(1+$B$4)^36))*IF(AL171+IF($B$1+36&lt;=$B171,12*$B$9,-12*$B$8*(1+$B$4)^36)&gt;0,1+$B$3,1))</f>
        <v/>
      </c>
      <c r="AN171">
        <f>IF($B$1+37&gt;90,AM171,(AM171+IF($B$1+37&lt;=$B171,12*$B$9,-12*$B$8*(1+$B$4)^37))*IF(AM171+IF($B$1+37&lt;=$B171,12*$B$9,-12*$B$8*(1+$B$4)^37)&gt;0,1+$B$3,1))</f>
        <v/>
      </c>
      <c r="AO171">
        <f>IF($B$1+38&gt;90,AN171,(AN171+IF($B$1+38&lt;=$B171,12*$B$9,-12*$B$8*(1+$B$4)^38))*IF(AN171+IF($B$1+38&lt;=$B171,12*$B$9,-12*$B$8*(1+$B$4)^38)&gt;0,1+$B$3,1))</f>
        <v/>
      </c>
      <c r="AP171">
        <f>IF($B$1+39&gt;90,AO171,(AO171+IF($B$1+39&lt;=$B171,12*$B$9,-12*$B$8*(1+$B$4)^39))*IF(AO171+IF($B$1+39&lt;=$B171,12*$B$9,-12*$B$8*(1+$B$4)^39)&gt;0,1+$B$3,1))</f>
        <v/>
      </c>
      <c r="AQ171">
        <f>IF($B$1+40&gt;90,AP171,(AP171+IF($B$1+40&lt;=$B171,12*$B$9,-12*$B$8*(1+$B$4)^40))*IF(AP171+IF($B$1+40&lt;=$B171,12*$B$9,-12*$B$8*(1+$B$4)^40)&gt;0,1+$B$3,1))</f>
        <v/>
      </c>
      <c r="AR171">
        <f>IF($B$1+41&gt;90,AQ171,(AQ171+IF($B$1+41&lt;=$B171,12*$B$9,-12*$B$8*(1+$B$4)^41))*IF(AQ171+IF($B$1+41&lt;=$B171,12*$B$9,-12*$B$8*(1+$B$4)^41)&gt;0,1+$B$3,1))</f>
        <v/>
      </c>
      <c r="AS171">
        <f>IF($B$1+42&gt;90,AR171,(AR171+IF($B$1+42&lt;=$B171,12*$B$9,-12*$B$8*(1+$B$4)^42))*IF(AR171+IF($B$1+42&lt;=$B171,12*$B$9,-12*$B$8*(1+$B$4)^42)&gt;0,1+$B$3,1))</f>
        <v/>
      </c>
      <c r="AT171">
        <f>IF($B$1+43&gt;90,AS171,(AS171+IF($B$1+43&lt;=$B171,12*$B$9,-12*$B$8*(1+$B$4)^43))*IF(AS171+IF($B$1+43&lt;=$B171,12*$B$9,-12*$B$8*(1+$B$4)^43)&gt;0,1+$B$3,1))</f>
        <v/>
      </c>
      <c r="AU171">
        <f>IF($B$1+44&gt;90,AT171,(AT171+IF($B$1+44&lt;=$B171,12*$B$9,-12*$B$8*(1+$B$4)^44))*IF(AT171+IF($B$1+44&lt;=$B171,12*$B$9,-12*$B$8*(1+$B$4)^44)&gt;0,1+$B$3,1))</f>
        <v/>
      </c>
      <c r="AV171">
        <f>IF($B$1+45&gt;90,AU171,(AU171+IF($B$1+45&lt;=$B171,12*$B$9,-12*$B$8*(1+$B$4)^45))*IF(AU171+IF($B$1+45&lt;=$B171,12*$B$9,-12*$B$8*(1+$B$4)^45)&gt;0,1+$B$3,1))</f>
        <v/>
      </c>
      <c r="AW171">
        <f>IF($B$1+46&gt;90,AV171,(AV171+IF($B$1+46&lt;=$B171,12*$B$9,-12*$B$8*(1+$B$4)^46))*IF(AV171+IF($B$1+46&lt;=$B171,12*$B$9,-12*$B$8*(1+$B$4)^46)&gt;0,1+$B$3,1))</f>
        <v/>
      </c>
      <c r="AX171">
        <f>IF($B$1+47&gt;90,AW171,(AW171+IF($B$1+47&lt;=$B171,12*$B$9,-12*$B$8*(1+$B$4)^47))*IF(AW171+IF($B$1+47&lt;=$B171,12*$B$9,-12*$B$8*(1+$B$4)^47)&gt;0,1+$B$3,1))</f>
        <v/>
      </c>
      <c r="AY171">
        <f>IF($B$1+48&gt;90,AX171,(AX171+IF($B$1+48&lt;=$B171,12*$B$9,-12*$B$8*(1+$B$4)^48))*IF(AX171+IF($B$1+48&lt;=$B171,12*$B$9,-12*$B$8*(1+$B$4)^48)&gt;0,1+$B$3,1))</f>
        <v/>
      </c>
      <c r="AZ171">
        <f>IF($B$1+49&gt;90,AY171,(AY171+IF($B$1+49&lt;=$B171,12*$B$9,-12*$B$8*(1+$B$4)^49))*IF(AY171+IF($B$1+49&lt;=$B171,12*$B$9,-12*$B$8*(1+$B$4)^49)&gt;0,1+$B$3,1))</f>
        <v/>
      </c>
      <c r="BA171">
        <f>IF($B$1+50&gt;90,AZ171,(AZ171+IF($B$1+50&lt;=$B171,12*$B$9,-12*$B$8*(1+$B$4)^50))*IF(AZ171+IF($B$1+50&lt;=$B171,12*$B$9,-12*$B$8*(1+$B$4)^50)&gt;0,1+$B$3,1))</f>
        <v/>
      </c>
      <c r="BB171">
        <f>IF($B$1+51&gt;90,BA171,(BA171+IF($B$1+51&lt;=$B171,12*$B$9,-12*$B$8*(1+$B$4)^51))*IF(BA171+IF($B$1+51&lt;=$B171,12*$B$9,-12*$B$8*(1+$B$4)^51)&gt;0,1+$B$3,1))</f>
        <v/>
      </c>
      <c r="BC171">
        <f>IF($B$1+52&gt;90,BB171,(BB171+IF($B$1+52&lt;=$B171,12*$B$9,-12*$B$8*(1+$B$4)^52))*IF(BB171+IF($B$1+52&lt;=$B171,12*$B$9,-12*$B$8*(1+$B$4)^52)&gt;0,1+$B$3,1))</f>
        <v/>
      </c>
      <c r="BD171">
        <f>IF($B$1+53&gt;90,BC171,(BC171+IF($B$1+53&lt;=$B171,12*$B$9,-12*$B$8*(1+$B$4)^53))*IF(BC171+IF($B$1+53&lt;=$B171,12*$B$9,-12*$B$8*(1+$B$4)^53)&gt;0,1+$B$3,1))</f>
        <v/>
      </c>
      <c r="BE171">
        <f>IF($B$1+54&gt;90,BD171,(BD171+IF($B$1+54&lt;=$B171,12*$B$9,-12*$B$8*(1+$B$4)^54))*IF(BD171+IF($B$1+54&lt;=$B171,12*$B$9,-12*$B$8*(1+$B$4)^54)&gt;0,1+$B$3,1))</f>
        <v/>
      </c>
      <c r="BF171">
        <f>IF($B$1+55&gt;90,BE171,(BE171+IF($B$1+55&lt;=$B171,12*$B$9,-12*$B$8*(1+$B$4)^55))*IF(BE171+IF($B$1+55&lt;=$B171,12*$B$9,-12*$B$8*(1+$B$4)^55)&gt;0,1+$B$3,1))</f>
        <v/>
      </c>
      <c r="BG171">
        <f>IF($B$1+56&gt;90,BF171,(BF171+IF($B$1+56&lt;=$B171,12*$B$9,-12*$B$8*(1+$B$4)^56))*IF(BF171+IF($B$1+56&lt;=$B171,12*$B$9,-12*$B$8*(1+$B$4)^56)&gt;0,1+$B$3,1))</f>
        <v/>
      </c>
      <c r="BH171">
        <f>IF($B$1+57&gt;90,BG171,(BG171+IF($B$1+57&lt;=$B171,12*$B$9,-12*$B$8*(1+$B$4)^57))*IF(BG171+IF($B$1+57&lt;=$B171,12*$B$9,-12*$B$8*(1+$B$4)^57)&gt;0,1+$B$3,1))</f>
        <v/>
      </c>
      <c r="BI171">
        <f>IF($B$1+58&gt;90,BH171,(BH171+IF($B$1+58&lt;=$B171,12*$B$9,-12*$B$8*(1+$B$4)^58))*IF(BH171+IF($B$1+58&lt;=$B171,12*$B$9,-12*$B$8*(1+$B$4)^58)&gt;0,1+$B$3,1))</f>
        <v/>
      </c>
      <c r="BJ171">
        <f>IF($B$1+59&gt;90,BI171,(BI171+IF($B$1+59&lt;=$B171,12*$B$9,-12*$B$8*(1+$B$4)^59))*IF(BI171+IF($B$1+59&lt;=$B171,12*$B$9,-12*$B$8*(1+$B$4)^59)&gt;0,1+$B$3,1))</f>
        <v/>
      </c>
      <c r="BK171">
        <f>IF($B$1+60&gt;90,BJ171,(BJ171+IF($B$1+60&lt;=$B171,12*$B$9,-12*$B$8*(1+$B$4)^60))*IF(BJ171+IF($B$1+60&lt;=$B171,12*$B$9,-12*$B$8*(1+$B$4)^60)&gt;0,1+$B$3,1))</f>
        <v/>
      </c>
      <c r="BL171">
        <f>IF($B$1+61&gt;90,BK171,(BK171+IF($B$1+61&lt;=$B171,12*$B$9,-12*$B$8*(1+$B$4)^61))*IF(BK171+IF($B$1+61&lt;=$B171,12*$B$9,-12*$B$8*(1+$B$4)^61)&gt;0,1+$B$3,1))</f>
        <v/>
      </c>
      <c r="BM171">
        <f>IF($B$1+62&gt;90,BL171,(BL171+IF($B$1+62&lt;=$B171,12*$B$9,-12*$B$8*(1+$B$4)^62))*IF(BL171+IF($B$1+62&lt;=$B171,12*$B$9,-12*$B$8*(1+$B$4)^62)&gt;0,1+$B$3,1))</f>
        <v/>
      </c>
      <c r="BN171">
        <f>IF($B$1+63&gt;90,BM171,(BM171+IF($B$1+63&lt;=$B171,12*$B$9,-12*$B$8*(1+$B$4)^63))*IF(BM171+IF($B$1+63&lt;=$B171,12*$B$9,-12*$B$8*(1+$B$4)^63)&gt;0,1+$B$3,1))</f>
        <v/>
      </c>
      <c r="BO171">
        <f>IF($B$1+64&gt;90,BN171,(BN171+IF($B$1+64&lt;=$B171,12*$B$9,-12*$B$8*(1+$B$4)^64))*IF(BN171+IF($B$1+64&lt;=$B171,12*$B$9,-12*$B$8*(1+$B$4)^64)&gt;0,1+$B$3,1))</f>
        <v/>
      </c>
      <c r="BP171">
        <f>IF($B$1+65&gt;90,BO171,(BO171+IF($B$1+65&lt;=$B171,12*$B$9,-12*$B$8*(1+$B$4)^65))*IF(BO171+IF($B$1+65&lt;=$B171,12*$B$9,-12*$B$8*(1+$B$4)^65)&gt;0,1+$B$3,1))</f>
        <v/>
      </c>
      <c r="BQ171">
        <f>IF($B$1+66&gt;90,BP171,(BP171+IF($B$1+66&lt;=$B171,12*$B$9,-12*$B$8*(1+$B$4)^66))*IF(BP171+IF($B$1+66&lt;=$B171,12*$B$9,-12*$B$8*(1+$B$4)^66)&gt;0,1+$B$3,1))</f>
        <v/>
      </c>
      <c r="BR171">
        <f>IF($B$1+67&gt;90,BQ171,(BQ171+IF($B$1+67&lt;=$B171,12*$B$9,-12*$B$8*(1+$B$4)^67))*IF(BQ171+IF($B$1+67&lt;=$B171,12*$B$9,-12*$B$8*(1+$B$4)^67)&gt;0,1+$B$3,1))</f>
        <v/>
      </c>
      <c r="BS171">
        <f>IF($B$1+68&gt;90,BR171,(BR171+IF($B$1+68&lt;=$B171,12*$B$9,-12*$B$8*(1+$B$4)^68))*IF(BR171+IF($B$1+68&lt;=$B171,12*$B$9,-12*$B$8*(1+$B$4)^68)&gt;0,1+$B$3,1))</f>
        <v/>
      </c>
      <c r="BT171">
        <f>IF($B$1+69&gt;90,BS171,(BS171+IF($B$1+69&lt;=$B171,12*$B$9,-12*$B$8*(1+$B$4)^69))*IF(BS171+IF($B$1+69&lt;=$B171,12*$B$9,-12*$B$8*(1+$B$4)^69)&gt;0,1+$B$3,1))</f>
        <v/>
      </c>
      <c r="BU171">
        <f>IF($B$1+70&gt;90,BT171,(BT171+IF($B$1+70&lt;=$B171,12*$B$9,-12*$B$8*(1+$B$4)^70))*IF(BT171+IF($B$1+70&lt;=$B171,12*$B$9,-12*$B$8*(1+$B$4)^70)&gt;0,1+$B$3,1))</f>
        <v/>
      </c>
      <c r="BV171">
        <f>BU171</f>
        <v/>
      </c>
      <c r="BW171">
        <f>IF(AND($B171&lt;=70,BV171&gt;0),$B171,999)</f>
        <v/>
      </c>
    </row>
    <row r="172">
      <c r="A172" t="n">
        <v>20</v>
      </c>
      <c r="B172">
        <f>$B$1+20</f>
        <v/>
      </c>
      <c r="C172">
        <f>$B$2</f>
        <v/>
      </c>
      <c r="D172">
        <f>IF($B$1+1&gt;90,C172,(C172+IF($B$1+1&lt;=$B172,12*$B$9,-12*$B$8*(1+$B$4)^1))*IF(C172+IF($B$1+1&lt;=$B172,12*$B$9,-12*$B$8*(1+$B$4)^1)&gt;0,1+$B$3,1))</f>
        <v/>
      </c>
      <c r="E172">
        <f>IF($B$1+2&gt;90,D172,(D172+IF($B$1+2&lt;=$B172,12*$B$9,-12*$B$8*(1+$B$4)^2))*IF(D172+IF($B$1+2&lt;=$B172,12*$B$9,-12*$B$8*(1+$B$4)^2)&gt;0,1+$B$3,1))</f>
        <v/>
      </c>
      <c r="F172">
        <f>IF($B$1+3&gt;90,E172,(E172+IF($B$1+3&lt;=$B172,12*$B$9,-12*$B$8*(1+$B$4)^3))*IF(E172+IF($B$1+3&lt;=$B172,12*$B$9,-12*$B$8*(1+$B$4)^3)&gt;0,1+$B$3,1))</f>
        <v/>
      </c>
      <c r="G172">
        <f>IF($B$1+4&gt;90,F172,(F172+IF($B$1+4&lt;=$B172,12*$B$9,-12*$B$8*(1+$B$4)^4))*IF(F172+IF($B$1+4&lt;=$B172,12*$B$9,-12*$B$8*(1+$B$4)^4)&gt;0,1+$B$3,1))</f>
        <v/>
      </c>
      <c r="H172">
        <f>IF($B$1+5&gt;90,G172,(G172+IF($B$1+5&lt;=$B172,12*$B$9,-12*$B$8*(1+$B$4)^5))*IF(G172+IF($B$1+5&lt;=$B172,12*$B$9,-12*$B$8*(1+$B$4)^5)&gt;0,1+$B$3,1))</f>
        <v/>
      </c>
      <c r="I172">
        <f>IF($B$1+6&gt;90,H172,(H172+IF($B$1+6&lt;=$B172,12*$B$9,-12*$B$8*(1+$B$4)^6))*IF(H172+IF($B$1+6&lt;=$B172,12*$B$9,-12*$B$8*(1+$B$4)^6)&gt;0,1+$B$3,1))</f>
        <v/>
      </c>
      <c r="J172">
        <f>IF($B$1+7&gt;90,I172,(I172+IF($B$1+7&lt;=$B172,12*$B$9,-12*$B$8*(1+$B$4)^7))*IF(I172+IF($B$1+7&lt;=$B172,12*$B$9,-12*$B$8*(1+$B$4)^7)&gt;0,1+$B$3,1))</f>
        <v/>
      </c>
      <c r="K172">
        <f>IF($B$1+8&gt;90,J172,(J172+IF($B$1+8&lt;=$B172,12*$B$9,-12*$B$8*(1+$B$4)^8))*IF(J172+IF($B$1+8&lt;=$B172,12*$B$9,-12*$B$8*(1+$B$4)^8)&gt;0,1+$B$3,1))</f>
        <v/>
      </c>
      <c r="L172">
        <f>IF($B$1+9&gt;90,K172,(K172+IF($B$1+9&lt;=$B172,12*$B$9,-12*$B$8*(1+$B$4)^9))*IF(K172+IF($B$1+9&lt;=$B172,12*$B$9,-12*$B$8*(1+$B$4)^9)&gt;0,1+$B$3,1))</f>
        <v/>
      </c>
      <c r="M172">
        <f>IF($B$1+10&gt;90,L172,(L172+IF($B$1+10&lt;=$B172,12*$B$9,-12*$B$8*(1+$B$4)^10))*IF(L172+IF($B$1+10&lt;=$B172,12*$B$9,-12*$B$8*(1+$B$4)^10)&gt;0,1+$B$3,1))</f>
        <v/>
      </c>
      <c r="N172">
        <f>IF($B$1+11&gt;90,M172,(M172+IF($B$1+11&lt;=$B172,12*$B$9,-12*$B$8*(1+$B$4)^11))*IF(M172+IF($B$1+11&lt;=$B172,12*$B$9,-12*$B$8*(1+$B$4)^11)&gt;0,1+$B$3,1))</f>
        <v/>
      </c>
      <c r="O172">
        <f>IF($B$1+12&gt;90,N172,(N172+IF($B$1+12&lt;=$B172,12*$B$9,-12*$B$8*(1+$B$4)^12))*IF(N172+IF($B$1+12&lt;=$B172,12*$B$9,-12*$B$8*(1+$B$4)^12)&gt;0,1+$B$3,1))</f>
        <v/>
      </c>
      <c r="P172">
        <f>IF($B$1+13&gt;90,O172,(O172+IF($B$1+13&lt;=$B172,12*$B$9,-12*$B$8*(1+$B$4)^13))*IF(O172+IF($B$1+13&lt;=$B172,12*$B$9,-12*$B$8*(1+$B$4)^13)&gt;0,1+$B$3,1))</f>
        <v/>
      </c>
      <c r="Q172">
        <f>IF($B$1+14&gt;90,P172,(P172+IF($B$1+14&lt;=$B172,12*$B$9,-12*$B$8*(1+$B$4)^14))*IF(P172+IF($B$1+14&lt;=$B172,12*$B$9,-12*$B$8*(1+$B$4)^14)&gt;0,1+$B$3,1))</f>
        <v/>
      </c>
      <c r="R172">
        <f>IF($B$1+15&gt;90,Q172,(Q172+IF($B$1+15&lt;=$B172,12*$B$9,-12*$B$8*(1+$B$4)^15))*IF(Q172+IF($B$1+15&lt;=$B172,12*$B$9,-12*$B$8*(1+$B$4)^15)&gt;0,1+$B$3,1))</f>
        <v/>
      </c>
      <c r="S172">
        <f>IF($B$1+16&gt;90,R172,(R172+IF($B$1+16&lt;=$B172,12*$B$9,-12*$B$8*(1+$B$4)^16))*IF(R172+IF($B$1+16&lt;=$B172,12*$B$9,-12*$B$8*(1+$B$4)^16)&gt;0,1+$B$3,1))</f>
        <v/>
      </c>
      <c r="T172">
        <f>IF($B$1+17&gt;90,S172,(S172+IF($B$1+17&lt;=$B172,12*$B$9,-12*$B$8*(1+$B$4)^17))*IF(S172+IF($B$1+17&lt;=$B172,12*$B$9,-12*$B$8*(1+$B$4)^17)&gt;0,1+$B$3,1))</f>
        <v/>
      </c>
      <c r="U172">
        <f>IF($B$1+18&gt;90,T172,(T172+IF($B$1+18&lt;=$B172,12*$B$9,-12*$B$8*(1+$B$4)^18))*IF(T172+IF($B$1+18&lt;=$B172,12*$B$9,-12*$B$8*(1+$B$4)^18)&gt;0,1+$B$3,1))</f>
        <v/>
      </c>
      <c r="V172">
        <f>IF($B$1+19&gt;90,U172,(U172+IF($B$1+19&lt;=$B172,12*$B$9,-12*$B$8*(1+$B$4)^19))*IF(U172+IF($B$1+19&lt;=$B172,12*$B$9,-12*$B$8*(1+$B$4)^19)&gt;0,1+$B$3,1))</f>
        <v/>
      </c>
      <c r="W172">
        <f>IF($B$1+20&gt;90,V172,(V172+IF($B$1+20&lt;=$B172,12*$B$9,-12*$B$8*(1+$B$4)^20))*IF(V172+IF($B$1+20&lt;=$B172,12*$B$9,-12*$B$8*(1+$B$4)^20)&gt;0,1+$B$3,1))</f>
        <v/>
      </c>
      <c r="X172">
        <f>IF($B$1+21&gt;90,W172,(W172+IF($B$1+21&lt;=$B172,12*$B$9,-12*$B$8*(1+$B$4)^21))*IF(W172+IF($B$1+21&lt;=$B172,12*$B$9,-12*$B$8*(1+$B$4)^21)&gt;0,1+$B$3,1))</f>
        <v/>
      </c>
      <c r="Y172">
        <f>IF($B$1+22&gt;90,X172,(X172+IF($B$1+22&lt;=$B172,12*$B$9,-12*$B$8*(1+$B$4)^22))*IF(X172+IF($B$1+22&lt;=$B172,12*$B$9,-12*$B$8*(1+$B$4)^22)&gt;0,1+$B$3,1))</f>
        <v/>
      </c>
      <c r="Z172">
        <f>IF($B$1+23&gt;90,Y172,(Y172+IF($B$1+23&lt;=$B172,12*$B$9,-12*$B$8*(1+$B$4)^23))*IF(Y172+IF($B$1+23&lt;=$B172,12*$B$9,-12*$B$8*(1+$B$4)^23)&gt;0,1+$B$3,1))</f>
        <v/>
      </c>
      <c r="AA172">
        <f>IF($B$1+24&gt;90,Z172,(Z172+IF($B$1+24&lt;=$B172,12*$B$9,-12*$B$8*(1+$B$4)^24))*IF(Z172+IF($B$1+24&lt;=$B172,12*$B$9,-12*$B$8*(1+$B$4)^24)&gt;0,1+$B$3,1))</f>
        <v/>
      </c>
      <c r="AB172">
        <f>IF($B$1+25&gt;90,AA172,(AA172+IF($B$1+25&lt;=$B172,12*$B$9,-12*$B$8*(1+$B$4)^25))*IF(AA172+IF($B$1+25&lt;=$B172,12*$B$9,-12*$B$8*(1+$B$4)^25)&gt;0,1+$B$3,1))</f>
        <v/>
      </c>
      <c r="AC172">
        <f>IF($B$1+26&gt;90,AB172,(AB172+IF($B$1+26&lt;=$B172,12*$B$9,-12*$B$8*(1+$B$4)^26))*IF(AB172+IF($B$1+26&lt;=$B172,12*$B$9,-12*$B$8*(1+$B$4)^26)&gt;0,1+$B$3,1))</f>
        <v/>
      </c>
      <c r="AD172">
        <f>IF($B$1+27&gt;90,AC172,(AC172+IF($B$1+27&lt;=$B172,12*$B$9,-12*$B$8*(1+$B$4)^27))*IF(AC172+IF($B$1+27&lt;=$B172,12*$B$9,-12*$B$8*(1+$B$4)^27)&gt;0,1+$B$3,1))</f>
        <v/>
      </c>
      <c r="AE172">
        <f>IF($B$1+28&gt;90,AD172,(AD172+IF($B$1+28&lt;=$B172,12*$B$9,-12*$B$8*(1+$B$4)^28))*IF(AD172+IF($B$1+28&lt;=$B172,12*$B$9,-12*$B$8*(1+$B$4)^28)&gt;0,1+$B$3,1))</f>
        <v/>
      </c>
      <c r="AF172">
        <f>IF($B$1+29&gt;90,AE172,(AE172+IF($B$1+29&lt;=$B172,12*$B$9,-12*$B$8*(1+$B$4)^29))*IF(AE172+IF($B$1+29&lt;=$B172,12*$B$9,-12*$B$8*(1+$B$4)^29)&gt;0,1+$B$3,1))</f>
        <v/>
      </c>
      <c r="AG172">
        <f>IF($B$1+30&gt;90,AF172,(AF172+IF($B$1+30&lt;=$B172,12*$B$9,-12*$B$8*(1+$B$4)^30))*IF(AF172+IF($B$1+30&lt;=$B172,12*$B$9,-12*$B$8*(1+$B$4)^30)&gt;0,1+$B$3,1))</f>
        <v/>
      </c>
      <c r="AH172">
        <f>IF($B$1+31&gt;90,AG172,(AG172+IF($B$1+31&lt;=$B172,12*$B$9,-12*$B$8*(1+$B$4)^31))*IF(AG172+IF($B$1+31&lt;=$B172,12*$B$9,-12*$B$8*(1+$B$4)^31)&gt;0,1+$B$3,1))</f>
        <v/>
      </c>
      <c r="AI172">
        <f>IF($B$1+32&gt;90,AH172,(AH172+IF($B$1+32&lt;=$B172,12*$B$9,-12*$B$8*(1+$B$4)^32))*IF(AH172+IF($B$1+32&lt;=$B172,12*$B$9,-12*$B$8*(1+$B$4)^32)&gt;0,1+$B$3,1))</f>
        <v/>
      </c>
      <c r="AJ172">
        <f>IF($B$1+33&gt;90,AI172,(AI172+IF($B$1+33&lt;=$B172,12*$B$9,-12*$B$8*(1+$B$4)^33))*IF(AI172+IF($B$1+33&lt;=$B172,12*$B$9,-12*$B$8*(1+$B$4)^33)&gt;0,1+$B$3,1))</f>
        <v/>
      </c>
      <c r="AK172">
        <f>IF($B$1+34&gt;90,AJ172,(AJ172+IF($B$1+34&lt;=$B172,12*$B$9,-12*$B$8*(1+$B$4)^34))*IF(AJ172+IF($B$1+34&lt;=$B172,12*$B$9,-12*$B$8*(1+$B$4)^34)&gt;0,1+$B$3,1))</f>
        <v/>
      </c>
      <c r="AL172">
        <f>IF($B$1+35&gt;90,AK172,(AK172+IF($B$1+35&lt;=$B172,12*$B$9,-12*$B$8*(1+$B$4)^35))*IF(AK172+IF($B$1+35&lt;=$B172,12*$B$9,-12*$B$8*(1+$B$4)^35)&gt;0,1+$B$3,1))</f>
        <v/>
      </c>
      <c r="AM172">
        <f>IF($B$1+36&gt;90,AL172,(AL172+IF($B$1+36&lt;=$B172,12*$B$9,-12*$B$8*(1+$B$4)^36))*IF(AL172+IF($B$1+36&lt;=$B172,12*$B$9,-12*$B$8*(1+$B$4)^36)&gt;0,1+$B$3,1))</f>
        <v/>
      </c>
      <c r="AN172">
        <f>IF($B$1+37&gt;90,AM172,(AM172+IF($B$1+37&lt;=$B172,12*$B$9,-12*$B$8*(1+$B$4)^37))*IF(AM172+IF($B$1+37&lt;=$B172,12*$B$9,-12*$B$8*(1+$B$4)^37)&gt;0,1+$B$3,1))</f>
        <v/>
      </c>
      <c r="AO172">
        <f>IF($B$1+38&gt;90,AN172,(AN172+IF($B$1+38&lt;=$B172,12*$B$9,-12*$B$8*(1+$B$4)^38))*IF(AN172+IF($B$1+38&lt;=$B172,12*$B$9,-12*$B$8*(1+$B$4)^38)&gt;0,1+$B$3,1))</f>
        <v/>
      </c>
      <c r="AP172">
        <f>IF($B$1+39&gt;90,AO172,(AO172+IF($B$1+39&lt;=$B172,12*$B$9,-12*$B$8*(1+$B$4)^39))*IF(AO172+IF($B$1+39&lt;=$B172,12*$B$9,-12*$B$8*(1+$B$4)^39)&gt;0,1+$B$3,1))</f>
        <v/>
      </c>
      <c r="AQ172">
        <f>IF($B$1+40&gt;90,AP172,(AP172+IF($B$1+40&lt;=$B172,12*$B$9,-12*$B$8*(1+$B$4)^40))*IF(AP172+IF($B$1+40&lt;=$B172,12*$B$9,-12*$B$8*(1+$B$4)^40)&gt;0,1+$B$3,1))</f>
        <v/>
      </c>
      <c r="AR172">
        <f>IF($B$1+41&gt;90,AQ172,(AQ172+IF($B$1+41&lt;=$B172,12*$B$9,-12*$B$8*(1+$B$4)^41))*IF(AQ172+IF($B$1+41&lt;=$B172,12*$B$9,-12*$B$8*(1+$B$4)^41)&gt;0,1+$B$3,1))</f>
        <v/>
      </c>
      <c r="AS172">
        <f>IF($B$1+42&gt;90,AR172,(AR172+IF($B$1+42&lt;=$B172,12*$B$9,-12*$B$8*(1+$B$4)^42))*IF(AR172+IF($B$1+42&lt;=$B172,12*$B$9,-12*$B$8*(1+$B$4)^42)&gt;0,1+$B$3,1))</f>
        <v/>
      </c>
      <c r="AT172">
        <f>IF($B$1+43&gt;90,AS172,(AS172+IF($B$1+43&lt;=$B172,12*$B$9,-12*$B$8*(1+$B$4)^43))*IF(AS172+IF($B$1+43&lt;=$B172,12*$B$9,-12*$B$8*(1+$B$4)^43)&gt;0,1+$B$3,1))</f>
        <v/>
      </c>
      <c r="AU172">
        <f>IF($B$1+44&gt;90,AT172,(AT172+IF($B$1+44&lt;=$B172,12*$B$9,-12*$B$8*(1+$B$4)^44))*IF(AT172+IF($B$1+44&lt;=$B172,12*$B$9,-12*$B$8*(1+$B$4)^44)&gt;0,1+$B$3,1))</f>
        <v/>
      </c>
      <c r="AV172">
        <f>IF($B$1+45&gt;90,AU172,(AU172+IF($B$1+45&lt;=$B172,12*$B$9,-12*$B$8*(1+$B$4)^45))*IF(AU172+IF($B$1+45&lt;=$B172,12*$B$9,-12*$B$8*(1+$B$4)^45)&gt;0,1+$B$3,1))</f>
        <v/>
      </c>
      <c r="AW172">
        <f>IF($B$1+46&gt;90,AV172,(AV172+IF($B$1+46&lt;=$B172,12*$B$9,-12*$B$8*(1+$B$4)^46))*IF(AV172+IF($B$1+46&lt;=$B172,12*$B$9,-12*$B$8*(1+$B$4)^46)&gt;0,1+$B$3,1))</f>
        <v/>
      </c>
      <c r="AX172">
        <f>IF($B$1+47&gt;90,AW172,(AW172+IF($B$1+47&lt;=$B172,12*$B$9,-12*$B$8*(1+$B$4)^47))*IF(AW172+IF($B$1+47&lt;=$B172,12*$B$9,-12*$B$8*(1+$B$4)^47)&gt;0,1+$B$3,1))</f>
        <v/>
      </c>
      <c r="AY172">
        <f>IF($B$1+48&gt;90,AX172,(AX172+IF($B$1+48&lt;=$B172,12*$B$9,-12*$B$8*(1+$B$4)^48))*IF(AX172+IF($B$1+48&lt;=$B172,12*$B$9,-12*$B$8*(1+$B$4)^48)&gt;0,1+$B$3,1))</f>
        <v/>
      </c>
      <c r="AZ172">
        <f>IF($B$1+49&gt;90,AY172,(AY172+IF($B$1+49&lt;=$B172,12*$B$9,-12*$B$8*(1+$B$4)^49))*IF(AY172+IF($B$1+49&lt;=$B172,12*$B$9,-12*$B$8*(1+$B$4)^49)&gt;0,1+$B$3,1))</f>
        <v/>
      </c>
      <c r="BA172">
        <f>IF($B$1+50&gt;90,AZ172,(AZ172+IF($B$1+50&lt;=$B172,12*$B$9,-12*$B$8*(1+$B$4)^50))*IF(AZ172+IF($B$1+50&lt;=$B172,12*$B$9,-12*$B$8*(1+$B$4)^50)&gt;0,1+$B$3,1))</f>
        <v/>
      </c>
      <c r="BB172">
        <f>IF($B$1+51&gt;90,BA172,(BA172+IF($B$1+51&lt;=$B172,12*$B$9,-12*$B$8*(1+$B$4)^51))*IF(BA172+IF($B$1+51&lt;=$B172,12*$B$9,-12*$B$8*(1+$B$4)^51)&gt;0,1+$B$3,1))</f>
        <v/>
      </c>
      <c r="BC172">
        <f>IF($B$1+52&gt;90,BB172,(BB172+IF($B$1+52&lt;=$B172,12*$B$9,-12*$B$8*(1+$B$4)^52))*IF(BB172+IF($B$1+52&lt;=$B172,12*$B$9,-12*$B$8*(1+$B$4)^52)&gt;0,1+$B$3,1))</f>
        <v/>
      </c>
      <c r="BD172">
        <f>IF($B$1+53&gt;90,BC172,(BC172+IF($B$1+53&lt;=$B172,12*$B$9,-12*$B$8*(1+$B$4)^53))*IF(BC172+IF($B$1+53&lt;=$B172,12*$B$9,-12*$B$8*(1+$B$4)^53)&gt;0,1+$B$3,1))</f>
        <v/>
      </c>
      <c r="BE172">
        <f>IF($B$1+54&gt;90,BD172,(BD172+IF($B$1+54&lt;=$B172,12*$B$9,-12*$B$8*(1+$B$4)^54))*IF(BD172+IF($B$1+54&lt;=$B172,12*$B$9,-12*$B$8*(1+$B$4)^54)&gt;0,1+$B$3,1))</f>
        <v/>
      </c>
      <c r="BF172">
        <f>IF($B$1+55&gt;90,BE172,(BE172+IF($B$1+55&lt;=$B172,12*$B$9,-12*$B$8*(1+$B$4)^55))*IF(BE172+IF($B$1+55&lt;=$B172,12*$B$9,-12*$B$8*(1+$B$4)^55)&gt;0,1+$B$3,1))</f>
        <v/>
      </c>
      <c r="BG172">
        <f>IF($B$1+56&gt;90,BF172,(BF172+IF($B$1+56&lt;=$B172,12*$B$9,-12*$B$8*(1+$B$4)^56))*IF(BF172+IF($B$1+56&lt;=$B172,12*$B$9,-12*$B$8*(1+$B$4)^56)&gt;0,1+$B$3,1))</f>
        <v/>
      </c>
      <c r="BH172">
        <f>IF($B$1+57&gt;90,BG172,(BG172+IF($B$1+57&lt;=$B172,12*$B$9,-12*$B$8*(1+$B$4)^57))*IF(BG172+IF($B$1+57&lt;=$B172,12*$B$9,-12*$B$8*(1+$B$4)^57)&gt;0,1+$B$3,1))</f>
        <v/>
      </c>
      <c r="BI172">
        <f>IF($B$1+58&gt;90,BH172,(BH172+IF($B$1+58&lt;=$B172,12*$B$9,-12*$B$8*(1+$B$4)^58))*IF(BH172+IF($B$1+58&lt;=$B172,12*$B$9,-12*$B$8*(1+$B$4)^58)&gt;0,1+$B$3,1))</f>
        <v/>
      </c>
      <c r="BJ172">
        <f>IF($B$1+59&gt;90,BI172,(BI172+IF($B$1+59&lt;=$B172,12*$B$9,-12*$B$8*(1+$B$4)^59))*IF(BI172+IF($B$1+59&lt;=$B172,12*$B$9,-12*$B$8*(1+$B$4)^59)&gt;0,1+$B$3,1))</f>
        <v/>
      </c>
      <c r="BK172">
        <f>IF($B$1+60&gt;90,BJ172,(BJ172+IF($B$1+60&lt;=$B172,12*$B$9,-12*$B$8*(1+$B$4)^60))*IF(BJ172+IF($B$1+60&lt;=$B172,12*$B$9,-12*$B$8*(1+$B$4)^60)&gt;0,1+$B$3,1))</f>
        <v/>
      </c>
      <c r="BL172">
        <f>IF($B$1+61&gt;90,BK172,(BK172+IF($B$1+61&lt;=$B172,12*$B$9,-12*$B$8*(1+$B$4)^61))*IF(BK172+IF($B$1+61&lt;=$B172,12*$B$9,-12*$B$8*(1+$B$4)^61)&gt;0,1+$B$3,1))</f>
        <v/>
      </c>
      <c r="BM172">
        <f>IF($B$1+62&gt;90,BL172,(BL172+IF($B$1+62&lt;=$B172,12*$B$9,-12*$B$8*(1+$B$4)^62))*IF(BL172+IF($B$1+62&lt;=$B172,12*$B$9,-12*$B$8*(1+$B$4)^62)&gt;0,1+$B$3,1))</f>
        <v/>
      </c>
      <c r="BN172">
        <f>IF($B$1+63&gt;90,BM172,(BM172+IF($B$1+63&lt;=$B172,12*$B$9,-12*$B$8*(1+$B$4)^63))*IF(BM172+IF($B$1+63&lt;=$B172,12*$B$9,-12*$B$8*(1+$B$4)^63)&gt;0,1+$B$3,1))</f>
        <v/>
      </c>
      <c r="BO172">
        <f>IF($B$1+64&gt;90,BN172,(BN172+IF($B$1+64&lt;=$B172,12*$B$9,-12*$B$8*(1+$B$4)^64))*IF(BN172+IF($B$1+64&lt;=$B172,12*$B$9,-12*$B$8*(1+$B$4)^64)&gt;0,1+$B$3,1))</f>
        <v/>
      </c>
      <c r="BP172">
        <f>IF($B$1+65&gt;90,BO172,(BO172+IF($B$1+65&lt;=$B172,12*$B$9,-12*$B$8*(1+$B$4)^65))*IF(BO172+IF($B$1+65&lt;=$B172,12*$B$9,-12*$B$8*(1+$B$4)^65)&gt;0,1+$B$3,1))</f>
        <v/>
      </c>
      <c r="BQ172">
        <f>IF($B$1+66&gt;90,BP172,(BP172+IF($B$1+66&lt;=$B172,12*$B$9,-12*$B$8*(1+$B$4)^66))*IF(BP172+IF($B$1+66&lt;=$B172,12*$B$9,-12*$B$8*(1+$B$4)^66)&gt;0,1+$B$3,1))</f>
        <v/>
      </c>
      <c r="BR172">
        <f>IF($B$1+67&gt;90,BQ172,(BQ172+IF($B$1+67&lt;=$B172,12*$B$9,-12*$B$8*(1+$B$4)^67))*IF(BQ172+IF($B$1+67&lt;=$B172,12*$B$9,-12*$B$8*(1+$B$4)^67)&gt;0,1+$B$3,1))</f>
        <v/>
      </c>
      <c r="BS172">
        <f>IF($B$1+68&gt;90,BR172,(BR172+IF($B$1+68&lt;=$B172,12*$B$9,-12*$B$8*(1+$B$4)^68))*IF(BR172+IF($B$1+68&lt;=$B172,12*$B$9,-12*$B$8*(1+$B$4)^68)&gt;0,1+$B$3,1))</f>
        <v/>
      </c>
      <c r="BT172">
        <f>IF($B$1+69&gt;90,BS172,(BS172+IF($B$1+69&lt;=$B172,12*$B$9,-12*$B$8*(1+$B$4)^69))*IF(BS172+IF($B$1+69&lt;=$B172,12*$B$9,-12*$B$8*(1+$B$4)^69)&gt;0,1+$B$3,1))</f>
        <v/>
      </c>
      <c r="BU172">
        <f>IF($B$1+70&gt;90,BT172,(BT172+IF($B$1+70&lt;=$B172,12*$B$9,-12*$B$8*(1+$B$4)^70))*IF(BT172+IF($B$1+70&lt;=$B172,12*$B$9,-12*$B$8*(1+$B$4)^70)&gt;0,1+$B$3,1))</f>
        <v/>
      </c>
      <c r="BV172">
        <f>BU172</f>
        <v/>
      </c>
      <c r="BW172">
        <f>IF(AND($B172&lt;=70,BV172&gt;0),$B172,999)</f>
        <v/>
      </c>
    </row>
    <row r="173">
      <c r="A173" t="n">
        <v>21</v>
      </c>
      <c r="B173">
        <f>$B$1+21</f>
        <v/>
      </c>
      <c r="C173">
        <f>$B$2</f>
        <v/>
      </c>
      <c r="D173">
        <f>IF($B$1+1&gt;90,C173,(C173+IF($B$1+1&lt;=$B173,12*$B$9,-12*$B$8*(1+$B$4)^1))*IF(C173+IF($B$1+1&lt;=$B173,12*$B$9,-12*$B$8*(1+$B$4)^1)&gt;0,1+$B$3,1))</f>
        <v/>
      </c>
      <c r="E173">
        <f>IF($B$1+2&gt;90,D173,(D173+IF($B$1+2&lt;=$B173,12*$B$9,-12*$B$8*(1+$B$4)^2))*IF(D173+IF($B$1+2&lt;=$B173,12*$B$9,-12*$B$8*(1+$B$4)^2)&gt;0,1+$B$3,1))</f>
        <v/>
      </c>
      <c r="F173">
        <f>IF($B$1+3&gt;90,E173,(E173+IF($B$1+3&lt;=$B173,12*$B$9,-12*$B$8*(1+$B$4)^3))*IF(E173+IF($B$1+3&lt;=$B173,12*$B$9,-12*$B$8*(1+$B$4)^3)&gt;0,1+$B$3,1))</f>
        <v/>
      </c>
      <c r="G173">
        <f>IF($B$1+4&gt;90,F173,(F173+IF($B$1+4&lt;=$B173,12*$B$9,-12*$B$8*(1+$B$4)^4))*IF(F173+IF($B$1+4&lt;=$B173,12*$B$9,-12*$B$8*(1+$B$4)^4)&gt;0,1+$B$3,1))</f>
        <v/>
      </c>
      <c r="H173">
        <f>IF($B$1+5&gt;90,G173,(G173+IF($B$1+5&lt;=$B173,12*$B$9,-12*$B$8*(1+$B$4)^5))*IF(G173+IF($B$1+5&lt;=$B173,12*$B$9,-12*$B$8*(1+$B$4)^5)&gt;0,1+$B$3,1))</f>
        <v/>
      </c>
      <c r="I173">
        <f>IF($B$1+6&gt;90,H173,(H173+IF($B$1+6&lt;=$B173,12*$B$9,-12*$B$8*(1+$B$4)^6))*IF(H173+IF($B$1+6&lt;=$B173,12*$B$9,-12*$B$8*(1+$B$4)^6)&gt;0,1+$B$3,1))</f>
        <v/>
      </c>
      <c r="J173">
        <f>IF($B$1+7&gt;90,I173,(I173+IF($B$1+7&lt;=$B173,12*$B$9,-12*$B$8*(1+$B$4)^7))*IF(I173+IF($B$1+7&lt;=$B173,12*$B$9,-12*$B$8*(1+$B$4)^7)&gt;0,1+$B$3,1))</f>
        <v/>
      </c>
      <c r="K173">
        <f>IF($B$1+8&gt;90,J173,(J173+IF($B$1+8&lt;=$B173,12*$B$9,-12*$B$8*(1+$B$4)^8))*IF(J173+IF($B$1+8&lt;=$B173,12*$B$9,-12*$B$8*(1+$B$4)^8)&gt;0,1+$B$3,1))</f>
        <v/>
      </c>
      <c r="L173">
        <f>IF($B$1+9&gt;90,K173,(K173+IF($B$1+9&lt;=$B173,12*$B$9,-12*$B$8*(1+$B$4)^9))*IF(K173+IF($B$1+9&lt;=$B173,12*$B$9,-12*$B$8*(1+$B$4)^9)&gt;0,1+$B$3,1))</f>
        <v/>
      </c>
      <c r="M173">
        <f>IF($B$1+10&gt;90,L173,(L173+IF($B$1+10&lt;=$B173,12*$B$9,-12*$B$8*(1+$B$4)^10))*IF(L173+IF($B$1+10&lt;=$B173,12*$B$9,-12*$B$8*(1+$B$4)^10)&gt;0,1+$B$3,1))</f>
        <v/>
      </c>
      <c r="N173">
        <f>IF($B$1+11&gt;90,M173,(M173+IF($B$1+11&lt;=$B173,12*$B$9,-12*$B$8*(1+$B$4)^11))*IF(M173+IF($B$1+11&lt;=$B173,12*$B$9,-12*$B$8*(1+$B$4)^11)&gt;0,1+$B$3,1))</f>
        <v/>
      </c>
      <c r="O173">
        <f>IF($B$1+12&gt;90,N173,(N173+IF($B$1+12&lt;=$B173,12*$B$9,-12*$B$8*(1+$B$4)^12))*IF(N173+IF($B$1+12&lt;=$B173,12*$B$9,-12*$B$8*(1+$B$4)^12)&gt;0,1+$B$3,1))</f>
        <v/>
      </c>
      <c r="P173">
        <f>IF($B$1+13&gt;90,O173,(O173+IF($B$1+13&lt;=$B173,12*$B$9,-12*$B$8*(1+$B$4)^13))*IF(O173+IF($B$1+13&lt;=$B173,12*$B$9,-12*$B$8*(1+$B$4)^13)&gt;0,1+$B$3,1))</f>
        <v/>
      </c>
      <c r="Q173">
        <f>IF($B$1+14&gt;90,P173,(P173+IF($B$1+14&lt;=$B173,12*$B$9,-12*$B$8*(1+$B$4)^14))*IF(P173+IF($B$1+14&lt;=$B173,12*$B$9,-12*$B$8*(1+$B$4)^14)&gt;0,1+$B$3,1))</f>
        <v/>
      </c>
      <c r="R173">
        <f>IF($B$1+15&gt;90,Q173,(Q173+IF($B$1+15&lt;=$B173,12*$B$9,-12*$B$8*(1+$B$4)^15))*IF(Q173+IF($B$1+15&lt;=$B173,12*$B$9,-12*$B$8*(1+$B$4)^15)&gt;0,1+$B$3,1))</f>
        <v/>
      </c>
      <c r="S173">
        <f>IF($B$1+16&gt;90,R173,(R173+IF($B$1+16&lt;=$B173,12*$B$9,-12*$B$8*(1+$B$4)^16))*IF(R173+IF($B$1+16&lt;=$B173,12*$B$9,-12*$B$8*(1+$B$4)^16)&gt;0,1+$B$3,1))</f>
        <v/>
      </c>
      <c r="T173">
        <f>IF($B$1+17&gt;90,S173,(S173+IF($B$1+17&lt;=$B173,12*$B$9,-12*$B$8*(1+$B$4)^17))*IF(S173+IF($B$1+17&lt;=$B173,12*$B$9,-12*$B$8*(1+$B$4)^17)&gt;0,1+$B$3,1))</f>
        <v/>
      </c>
      <c r="U173">
        <f>IF($B$1+18&gt;90,T173,(T173+IF($B$1+18&lt;=$B173,12*$B$9,-12*$B$8*(1+$B$4)^18))*IF(T173+IF($B$1+18&lt;=$B173,12*$B$9,-12*$B$8*(1+$B$4)^18)&gt;0,1+$B$3,1))</f>
        <v/>
      </c>
      <c r="V173">
        <f>IF($B$1+19&gt;90,U173,(U173+IF($B$1+19&lt;=$B173,12*$B$9,-12*$B$8*(1+$B$4)^19))*IF(U173+IF($B$1+19&lt;=$B173,12*$B$9,-12*$B$8*(1+$B$4)^19)&gt;0,1+$B$3,1))</f>
        <v/>
      </c>
      <c r="W173">
        <f>IF($B$1+20&gt;90,V173,(V173+IF($B$1+20&lt;=$B173,12*$B$9,-12*$B$8*(1+$B$4)^20))*IF(V173+IF($B$1+20&lt;=$B173,12*$B$9,-12*$B$8*(1+$B$4)^20)&gt;0,1+$B$3,1))</f>
        <v/>
      </c>
      <c r="X173">
        <f>IF($B$1+21&gt;90,W173,(W173+IF($B$1+21&lt;=$B173,12*$B$9,-12*$B$8*(1+$B$4)^21))*IF(W173+IF($B$1+21&lt;=$B173,12*$B$9,-12*$B$8*(1+$B$4)^21)&gt;0,1+$B$3,1))</f>
        <v/>
      </c>
      <c r="Y173">
        <f>IF($B$1+22&gt;90,X173,(X173+IF($B$1+22&lt;=$B173,12*$B$9,-12*$B$8*(1+$B$4)^22))*IF(X173+IF($B$1+22&lt;=$B173,12*$B$9,-12*$B$8*(1+$B$4)^22)&gt;0,1+$B$3,1))</f>
        <v/>
      </c>
      <c r="Z173">
        <f>IF($B$1+23&gt;90,Y173,(Y173+IF($B$1+23&lt;=$B173,12*$B$9,-12*$B$8*(1+$B$4)^23))*IF(Y173+IF($B$1+23&lt;=$B173,12*$B$9,-12*$B$8*(1+$B$4)^23)&gt;0,1+$B$3,1))</f>
        <v/>
      </c>
      <c r="AA173">
        <f>IF($B$1+24&gt;90,Z173,(Z173+IF($B$1+24&lt;=$B173,12*$B$9,-12*$B$8*(1+$B$4)^24))*IF(Z173+IF($B$1+24&lt;=$B173,12*$B$9,-12*$B$8*(1+$B$4)^24)&gt;0,1+$B$3,1))</f>
        <v/>
      </c>
      <c r="AB173">
        <f>IF($B$1+25&gt;90,AA173,(AA173+IF($B$1+25&lt;=$B173,12*$B$9,-12*$B$8*(1+$B$4)^25))*IF(AA173+IF($B$1+25&lt;=$B173,12*$B$9,-12*$B$8*(1+$B$4)^25)&gt;0,1+$B$3,1))</f>
        <v/>
      </c>
      <c r="AC173">
        <f>IF($B$1+26&gt;90,AB173,(AB173+IF($B$1+26&lt;=$B173,12*$B$9,-12*$B$8*(1+$B$4)^26))*IF(AB173+IF($B$1+26&lt;=$B173,12*$B$9,-12*$B$8*(1+$B$4)^26)&gt;0,1+$B$3,1))</f>
        <v/>
      </c>
      <c r="AD173">
        <f>IF($B$1+27&gt;90,AC173,(AC173+IF($B$1+27&lt;=$B173,12*$B$9,-12*$B$8*(1+$B$4)^27))*IF(AC173+IF($B$1+27&lt;=$B173,12*$B$9,-12*$B$8*(1+$B$4)^27)&gt;0,1+$B$3,1))</f>
        <v/>
      </c>
      <c r="AE173">
        <f>IF($B$1+28&gt;90,AD173,(AD173+IF($B$1+28&lt;=$B173,12*$B$9,-12*$B$8*(1+$B$4)^28))*IF(AD173+IF($B$1+28&lt;=$B173,12*$B$9,-12*$B$8*(1+$B$4)^28)&gt;0,1+$B$3,1))</f>
        <v/>
      </c>
      <c r="AF173">
        <f>IF($B$1+29&gt;90,AE173,(AE173+IF($B$1+29&lt;=$B173,12*$B$9,-12*$B$8*(1+$B$4)^29))*IF(AE173+IF($B$1+29&lt;=$B173,12*$B$9,-12*$B$8*(1+$B$4)^29)&gt;0,1+$B$3,1))</f>
        <v/>
      </c>
      <c r="AG173">
        <f>IF($B$1+30&gt;90,AF173,(AF173+IF($B$1+30&lt;=$B173,12*$B$9,-12*$B$8*(1+$B$4)^30))*IF(AF173+IF($B$1+30&lt;=$B173,12*$B$9,-12*$B$8*(1+$B$4)^30)&gt;0,1+$B$3,1))</f>
        <v/>
      </c>
      <c r="AH173">
        <f>IF($B$1+31&gt;90,AG173,(AG173+IF($B$1+31&lt;=$B173,12*$B$9,-12*$B$8*(1+$B$4)^31))*IF(AG173+IF($B$1+31&lt;=$B173,12*$B$9,-12*$B$8*(1+$B$4)^31)&gt;0,1+$B$3,1))</f>
        <v/>
      </c>
      <c r="AI173">
        <f>IF($B$1+32&gt;90,AH173,(AH173+IF($B$1+32&lt;=$B173,12*$B$9,-12*$B$8*(1+$B$4)^32))*IF(AH173+IF($B$1+32&lt;=$B173,12*$B$9,-12*$B$8*(1+$B$4)^32)&gt;0,1+$B$3,1))</f>
        <v/>
      </c>
      <c r="AJ173">
        <f>IF($B$1+33&gt;90,AI173,(AI173+IF($B$1+33&lt;=$B173,12*$B$9,-12*$B$8*(1+$B$4)^33))*IF(AI173+IF($B$1+33&lt;=$B173,12*$B$9,-12*$B$8*(1+$B$4)^33)&gt;0,1+$B$3,1))</f>
        <v/>
      </c>
      <c r="AK173">
        <f>IF($B$1+34&gt;90,AJ173,(AJ173+IF($B$1+34&lt;=$B173,12*$B$9,-12*$B$8*(1+$B$4)^34))*IF(AJ173+IF($B$1+34&lt;=$B173,12*$B$9,-12*$B$8*(1+$B$4)^34)&gt;0,1+$B$3,1))</f>
        <v/>
      </c>
      <c r="AL173">
        <f>IF($B$1+35&gt;90,AK173,(AK173+IF($B$1+35&lt;=$B173,12*$B$9,-12*$B$8*(1+$B$4)^35))*IF(AK173+IF($B$1+35&lt;=$B173,12*$B$9,-12*$B$8*(1+$B$4)^35)&gt;0,1+$B$3,1))</f>
        <v/>
      </c>
      <c r="AM173">
        <f>IF($B$1+36&gt;90,AL173,(AL173+IF($B$1+36&lt;=$B173,12*$B$9,-12*$B$8*(1+$B$4)^36))*IF(AL173+IF($B$1+36&lt;=$B173,12*$B$9,-12*$B$8*(1+$B$4)^36)&gt;0,1+$B$3,1))</f>
        <v/>
      </c>
      <c r="AN173">
        <f>IF($B$1+37&gt;90,AM173,(AM173+IF($B$1+37&lt;=$B173,12*$B$9,-12*$B$8*(1+$B$4)^37))*IF(AM173+IF($B$1+37&lt;=$B173,12*$B$9,-12*$B$8*(1+$B$4)^37)&gt;0,1+$B$3,1))</f>
        <v/>
      </c>
      <c r="AO173">
        <f>IF($B$1+38&gt;90,AN173,(AN173+IF($B$1+38&lt;=$B173,12*$B$9,-12*$B$8*(1+$B$4)^38))*IF(AN173+IF($B$1+38&lt;=$B173,12*$B$9,-12*$B$8*(1+$B$4)^38)&gt;0,1+$B$3,1))</f>
        <v/>
      </c>
      <c r="AP173">
        <f>IF($B$1+39&gt;90,AO173,(AO173+IF($B$1+39&lt;=$B173,12*$B$9,-12*$B$8*(1+$B$4)^39))*IF(AO173+IF($B$1+39&lt;=$B173,12*$B$9,-12*$B$8*(1+$B$4)^39)&gt;0,1+$B$3,1))</f>
        <v/>
      </c>
      <c r="AQ173">
        <f>IF($B$1+40&gt;90,AP173,(AP173+IF($B$1+40&lt;=$B173,12*$B$9,-12*$B$8*(1+$B$4)^40))*IF(AP173+IF($B$1+40&lt;=$B173,12*$B$9,-12*$B$8*(1+$B$4)^40)&gt;0,1+$B$3,1))</f>
        <v/>
      </c>
      <c r="AR173">
        <f>IF($B$1+41&gt;90,AQ173,(AQ173+IF($B$1+41&lt;=$B173,12*$B$9,-12*$B$8*(1+$B$4)^41))*IF(AQ173+IF($B$1+41&lt;=$B173,12*$B$9,-12*$B$8*(1+$B$4)^41)&gt;0,1+$B$3,1))</f>
        <v/>
      </c>
      <c r="AS173">
        <f>IF($B$1+42&gt;90,AR173,(AR173+IF($B$1+42&lt;=$B173,12*$B$9,-12*$B$8*(1+$B$4)^42))*IF(AR173+IF($B$1+42&lt;=$B173,12*$B$9,-12*$B$8*(1+$B$4)^42)&gt;0,1+$B$3,1))</f>
        <v/>
      </c>
      <c r="AT173">
        <f>IF($B$1+43&gt;90,AS173,(AS173+IF($B$1+43&lt;=$B173,12*$B$9,-12*$B$8*(1+$B$4)^43))*IF(AS173+IF($B$1+43&lt;=$B173,12*$B$9,-12*$B$8*(1+$B$4)^43)&gt;0,1+$B$3,1))</f>
        <v/>
      </c>
      <c r="AU173">
        <f>IF($B$1+44&gt;90,AT173,(AT173+IF($B$1+44&lt;=$B173,12*$B$9,-12*$B$8*(1+$B$4)^44))*IF(AT173+IF($B$1+44&lt;=$B173,12*$B$9,-12*$B$8*(1+$B$4)^44)&gt;0,1+$B$3,1))</f>
        <v/>
      </c>
      <c r="AV173">
        <f>IF($B$1+45&gt;90,AU173,(AU173+IF($B$1+45&lt;=$B173,12*$B$9,-12*$B$8*(1+$B$4)^45))*IF(AU173+IF($B$1+45&lt;=$B173,12*$B$9,-12*$B$8*(1+$B$4)^45)&gt;0,1+$B$3,1))</f>
        <v/>
      </c>
      <c r="AW173">
        <f>IF($B$1+46&gt;90,AV173,(AV173+IF($B$1+46&lt;=$B173,12*$B$9,-12*$B$8*(1+$B$4)^46))*IF(AV173+IF($B$1+46&lt;=$B173,12*$B$9,-12*$B$8*(1+$B$4)^46)&gt;0,1+$B$3,1))</f>
        <v/>
      </c>
      <c r="AX173">
        <f>IF($B$1+47&gt;90,AW173,(AW173+IF($B$1+47&lt;=$B173,12*$B$9,-12*$B$8*(1+$B$4)^47))*IF(AW173+IF($B$1+47&lt;=$B173,12*$B$9,-12*$B$8*(1+$B$4)^47)&gt;0,1+$B$3,1))</f>
        <v/>
      </c>
      <c r="AY173">
        <f>IF($B$1+48&gt;90,AX173,(AX173+IF($B$1+48&lt;=$B173,12*$B$9,-12*$B$8*(1+$B$4)^48))*IF(AX173+IF($B$1+48&lt;=$B173,12*$B$9,-12*$B$8*(1+$B$4)^48)&gt;0,1+$B$3,1))</f>
        <v/>
      </c>
      <c r="AZ173">
        <f>IF($B$1+49&gt;90,AY173,(AY173+IF($B$1+49&lt;=$B173,12*$B$9,-12*$B$8*(1+$B$4)^49))*IF(AY173+IF($B$1+49&lt;=$B173,12*$B$9,-12*$B$8*(1+$B$4)^49)&gt;0,1+$B$3,1))</f>
        <v/>
      </c>
      <c r="BA173">
        <f>IF($B$1+50&gt;90,AZ173,(AZ173+IF($B$1+50&lt;=$B173,12*$B$9,-12*$B$8*(1+$B$4)^50))*IF(AZ173+IF($B$1+50&lt;=$B173,12*$B$9,-12*$B$8*(1+$B$4)^50)&gt;0,1+$B$3,1))</f>
        <v/>
      </c>
      <c r="BB173">
        <f>IF($B$1+51&gt;90,BA173,(BA173+IF($B$1+51&lt;=$B173,12*$B$9,-12*$B$8*(1+$B$4)^51))*IF(BA173+IF($B$1+51&lt;=$B173,12*$B$9,-12*$B$8*(1+$B$4)^51)&gt;0,1+$B$3,1))</f>
        <v/>
      </c>
      <c r="BC173">
        <f>IF($B$1+52&gt;90,BB173,(BB173+IF($B$1+52&lt;=$B173,12*$B$9,-12*$B$8*(1+$B$4)^52))*IF(BB173+IF($B$1+52&lt;=$B173,12*$B$9,-12*$B$8*(1+$B$4)^52)&gt;0,1+$B$3,1))</f>
        <v/>
      </c>
      <c r="BD173">
        <f>IF($B$1+53&gt;90,BC173,(BC173+IF($B$1+53&lt;=$B173,12*$B$9,-12*$B$8*(1+$B$4)^53))*IF(BC173+IF($B$1+53&lt;=$B173,12*$B$9,-12*$B$8*(1+$B$4)^53)&gt;0,1+$B$3,1))</f>
        <v/>
      </c>
      <c r="BE173">
        <f>IF($B$1+54&gt;90,BD173,(BD173+IF($B$1+54&lt;=$B173,12*$B$9,-12*$B$8*(1+$B$4)^54))*IF(BD173+IF($B$1+54&lt;=$B173,12*$B$9,-12*$B$8*(1+$B$4)^54)&gt;0,1+$B$3,1))</f>
        <v/>
      </c>
      <c r="BF173">
        <f>IF($B$1+55&gt;90,BE173,(BE173+IF($B$1+55&lt;=$B173,12*$B$9,-12*$B$8*(1+$B$4)^55))*IF(BE173+IF($B$1+55&lt;=$B173,12*$B$9,-12*$B$8*(1+$B$4)^55)&gt;0,1+$B$3,1))</f>
        <v/>
      </c>
      <c r="BG173">
        <f>IF($B$1+56&gt;90,BF173,(BF173+IF($B$1+56&lt;=$B173,12*$B$9,-12*$B$8*(1+$B$4)^56))*IF(BF173+IF($B$1+56&lt;=$B173,12*$B$9,-12*$B$8*(1+$B$4)^56)&gt;0,1+$B$3,1))</f>
        <v/>
      </c>
      <c r="BH173">
        <f>IF($B$1+57&gt;90,BG173,(BG173+IF($B$1+57&lt;=$B173,12*$B$9,-12*$B$8*(1+$B$4)^57))*IF(BG173+IF($B$1+57&lt;=$B173,12*$B$9,-12*$B$8*(1+$B$4)^57)&gt;0,1+$B$3,1))</f>
        <v/>
      </c>
      <c r="BI173">
        <f>IF($B$1+58&gt;90,BH173,(BH173+IF($B$1+58&lt;=$B173,12*$B$9,-12*$B$8*(1+$B$4)^58))*IF(BH173+IF($B$1+58&lt;=$B173,12*$B$9,-12*$B$8*(1+$B$4)^58)&gt;0,1+$B$3,1))</f>
        <v/>
      </c>
      <c r="BJ173">
        <f>IF($B$1+59&gt;90,BI173,(BI173+IF($B$1+59&lt;=$B173,12*$B$9,-12*$B$8*(1+$B$4)^59))*IF(BI173+IF($B$1+59&lt;=$B173,12*$B$9,-12*$B$8*(1+$B$4)^59)&gt;0,1+$B$3,1))</f>
        <v/>
      </c>
      <c r="BK173">
        <f>IF($B$1+60&gt;90,BJ173,(BJ173+IF($B$1+60&lt;=$B173,12*$B$9,-12*$B$8*(1+$B$4)^60))*IF(BJ173+IF($B$1+60&lt;=$B173,12*$B$9,-12*$B$8*(1+$B$4)^60)&gt;0,1+$B$3,1))</f>
        <v/>
      </c>
      <c r="BL173">
        <f>IF($B$1+61&gt;90,BK173,(BK173+IF($B$1+61&lt;=$B173,12*$B$9,-12*$B$8*(1+$B$4)^61))*IF(BK173+IF($B$1+61&lt;=$B173,12*$B$9,-12*$B$8*(1+$B$4)^61)&gt;0,1+$B$3,1))</f>
        <v/>
      </c>
      <c r="BM173">
        <f>IF($B$1+62&gt;90,BL173,(BL173+IF($B$1+62&lt;=$B173,12*$B$9,-12*$B$8*(1+$B$4)^62))*IF(BL173+IF($B$1+62&lt;=$B173,12*$B$9,-12*$B$8*(1+$B$4)^62)&gt;0,1+$B$3,1))</f>
        <v/>
      </c>
      <c r="BN173">
        <f>IF($B$1+63&gt;90,BM173,(BM173+IF($B$1+63&lt;=$B173,12*$B$9,-12*$B$8*(1+$B$4)^63))*IF(BM173+IF($B$1+63&lt;=$B173,12*$B$9,-12*$B$8*(1+$B$4)^63)&gt;0,1+$B$3,1))</f>
        <v/>
      </c>
      <c r="BO173">
        <f>IF($B$1+64&gt;90,BN173,(BN173+IF($B$1+64&lt;=$B173,12*$B$9,-12*$B$8*(1+$B$4)^64))*IF(BN173+IF($B$1+64&lt;=$B173,12*$B$9,-12*$B$8*(1+$B$4)^64)&gt;0,1+$B$3,1))</f>
        <v/>
      </c>
      <c r="BP173">
        <f>IF($B$1+65&gt;90,BO173,(BO173+IF($B$1+65&lt;=$B173,12*$B$9,-12*$B$8*(1+$B$4)^65))*IF(BO173+IF($B$1+65&lt;=$B173,12*$B$9,-12*$B$8*(1+$B$4)^65)&gt;0,1+$B$3,1))</f>
        <v/>
      </c>
      <c r="BQ173">
        <f>IF($B$1+66&gt;90,BP173,(BP173+IF($B$1+66&lt;=$B173,12*$B$9,-12*$B$8*(1+$B$4)^66))*IF(BP173+IF($B$1+66&lt;=$B173,12*$B$9,-12*$B$8*(1+$B$4)^66)&gt;0,1+$B$3,1))</f>
        <v/>
      </c>
      <c r="BR173">
        <f>IF($B$1+67&gt;90,BQ173,(BQ173+IF($B$1+67&lt;=$B173,12*$B$9,-12*$B$8*(1+$B$4)^67))*IF(BQ173+IF($B$1+67&lt;=$B173,12*$B$9,-12*$B$8*(1+$B$4)^67)&gt;0,1+$B$3,1))</f>
        <v/>
      </c>
      <c r="BS173">
        <f>IF($B$1+68&gt;90,BR173,(BR173+IF($B$1+68&lt;=$B173,12*$B$9,-12*$B$8*(1+$B$4)^68))*IF(BR173+IF($B$1+68&lt;=$B173,12*$B$9,-12*$B$8*(1+$B$4)^68)&gt;0,1+$B$3,1))</f>
        <v/>
      </c>
      <c r="BT173">
        <f>IF($B$1+69&gt;90,BS173,(BS173+IF($B$1+69&lt;=$B173,12*$B$9,-12*$B$8*(1+$B$4)^69))*IF(BS173+IF($B$1+69&lt;=$B173,12*$B$9,-12*$B$8*(1+$B$4)^69)&gt;0,1+$B$3,1))</f>
        <v/>
      </c>
      <c r="BU173">
        <f>IF($B$1+70&gt;90,BT173,(BT173+IF($B$1+70&lt;=$B173,12*$B$9,-12*$B$8*(1+$B$4)^70))*IF(BT173+IF($B$1+70&lt;=$B173,12*$B$9,-12*$B$8*(1+$B$4)^70)&gt;0,1+$B$3,1))</f>
        <v/>
      </c>
      <c r="BV173">
        <f>BU173</f>
        <v/>
      </c>
      <c r="BW173">
        <f>IF(AND($B173&lt;=70,BV173&gt;0),$B173,999)</f>
        <v/>
      </c>
    </row>
    <row r="174">
      <c r="A174" t="n">
        <v>22</v>
      </c>
      <c r="B174">
        <f>$B$1+22</f>
        <v/>
      </c>
      <c r="C174">
        <f>$B$2</f>
        <v/>
      </c>
      <c r="D174">
        <f>IF($B$1+1&gt;90,C174,(C174+IF($B$1+1&lt;=$B174,12*$B$9,-12*$B$8*(1+$B$4)^1))*IF(C174+IF($B$1+1&lt;=$B174,12*$B$9,-12*$B$8*(1+$B$4)^1)&gt;0,1+$B$3,1))</f>
        <v/>
      </c>
      <c r="E174">
        <f>IF($B$1+2&gt;90,D174,(D174+IF($B$1+2&lt;=$B174,12*$B$9,-12*$B$8*(1+$B$4)^2))*IF(D174+IF($B$1+2&lt;=$B174,12*$B$9,-12*$B$8*(1+$B$4)^2)&gt;0,1+$B$3,1))</f>
        <v/>
      </c>
      <c r="F174">
        <f>IF($B$1+3&gt;90,E174,(E174+IF($B$1+3&lt;=$B174,12*$B$9,-12*$B$8*(1+$B$4)^3))*IF(E174+IF($B$1+3&lt;=$B174,12*$B$9,-12*$B$8*(1+$B$4)^3)&gt;0,1+$B$3,1))</f>
        <v/>
      </c>
      <c r="G174">
        <f>IF($B$1+4&gt;90,F174,(F174+IF($B$1+4&lt;=$B174,12*$B$9,-12*$B$8*(1+$B$4)^4))*IF(F174+IF($B$1+4&lt;=$B174,12*$B$9,-12*$B$8*(1+$B$4)^4)&gt;0,1+$B$3,1))</f>
        <v/>
      </c>
      <c r="H174">
        <f>IF($B$1+5&gt;90,G174,(G174+IF($B$1+5&lt;=$B174,12*$B$9,-12*$B$8*(1+$B$4)^5))*IF(G174+IF($B$1+5&lt;=$B174,12*$B$9,-12*$B$8*(1+$B$4)^5)&gt;0,1+$B$3,1))</f>
        <v/>
      </c>
      <c r="I174">
        <f>IF($B$1+6&gt;90,H174,(H174+IF($B$1+6&lt;=$B174,12*$B$9,-12*$B$8*(1+$B$4)^6))*IF(H174+IF($B$1+6&lt;=$B174,12*$B$9,-12*$B$8*(1+$B$4)^6)&gt;0,1+$B$3,1))</f>
        <v/>
      </c>
      <c r="J174">
        <f>IF($B$1+7&gt;90,I174,(I174+IF($B$1+7&lt;=$B174,12*$B$9,-12*$B$8*(1+$B$4)^7))*IF(I174+IF($B$1+7&lt;=$B174,12*$B$9,-12*$B$8*(1+$B$4)^7)&gt;0,1+$B$3,1))</f>
        <v/>
      </c>
      <c r="K174">
        <f>IF($B$1+8&gt;90,J174,(J174+IF($B$1+8&lt;=$B174,12*$B$9,-12*$B$8*(1+$B$4)^8))*IF(J174+IF($B$1+8&lt;=$B174,12*$B$9,-12*$B$8*(1+$B$4)^8)&gt;0,1+$B$3,1))</f>
        <v/>
      </c>
      <c r="L174">
        <f>IF($B$1+9&gt;90,K174,(K174+IF($B$1+9&lt;=$B174,12*$B$9,-12*$B$8*(1+$B$4)^9))*IF(K174+IF($B$1+9&lt;=$B174,12*$B$9,-12*$B$8*(1+$B$4)^9)&gt;0,1+$B$3,1))</f>
        <v/>
      </c>
      <c r="M174">
        <f>IF($B$1+10&gt;90,L174,(L174+IF($B$1+10&lt;=$B174,12*$B$9,-12*$B$8*(1+$B$4)^10))*IF(L174+IF($B$1+10&lt;=$B174,12*$B$9,-12*$B$8*(1+$B$4)^10)&gt;0,1+$B$3,1))</f>
        <v/>
      </c>
      <c r="N174">
        <f>IF($B$1+11&gt;90,M174,(M174+IF($B$1+11&lt;=$B174,12*$B$9,-12*$B$8*(1+$B$4)^11))*IF(M174+IF($B$1+11&lt;=$B174,12*$B$9,-12*$B$8*(1+$B$4)^11)&gt;0,1+$B$3,1))</f>
        <v/>
      </c>
      <c r="O174">
        <f>IF($B$1+12&gt;90,N174,(N174+IF($B$1+12&lt;=$B174,12*$B$9,-12*$B$8*(1+$B$4)^12))*IF(N174+IF($B$1+12&lt;=$B174,12*$B$9,-12*$B$8*(1+$B$4)^12)&gt;0,1+$B$3,1))</f>
        <v/>
      </c>
      <c r="P174">
        <f>IF($B$1+13&gt;90,O174,(O174+IF($B$1+13&lt;=$B174,12*$B$9,-12*$B$8*(1+$B$4)^13))*IF(O174+IF($B$1+13&lt;=$B174,12*$B$9,-12*$B$8*(1+$B$4)^13)&gt;0,1+$B$3,1))</f>
        <v/>
      </c>
      <c r="Q174">
        <f>IF($B$1+14&gt;90,P174,(P174+IF($B$1+14&lt;=$B174,12*$B$9,-12*$B$8*(1+$B$4)^14))*IF(P174+IF($B$1+14&lt;=$B174,12*$B$9,-12*$B$8*(1+$B$4)^14)&gt;0,1+$B$3,1))</f>
        <v/>
      </c>
      <c r="R174">
        <f>IF($B$1+15&gt;90,Q174,(Q174+IF($B$1+15&lt;=$B174,12*$B$9,-12*$B$8*(1+$B$4)^15))*IF(Q174+IF($B$1+15&lt;=$B174,12*$B$9,-12*$B$8*(1+$B$4)^15)&gt;0,1+$B$3,1))</f>
        <v/>
      </c>
      <c r="S174">
        <f>IF($B$1+16&gt;90,R174,(R174+IF($B$1+16&lt;=$B174,12*$B$9,-12*$B$8*(1+$B$4)^16))*IF(R174+IF($B$1+16&lt;=$B174,12*$B$9,-12*$B$8*(1+$B$4)^16)&gt;0,1+$B$3,1))</f>
        <v/>
      </c>
      <c r="T174">
        <f>IF($B$1+17&gt;90,S174,(S174+IF($B$1+17&lt;=$B174,12*$B$9,-12*$B$8*(1+$B$4)^17))*IF(S174+IF($B$1+17&lt;=$B174,12*$B$9,-12*$B$8*(1+$B$4)^17)&gt;0,1+$B$3,1))</f>
        <v/>
      </c>
      <c r="U174">
        <f>IF($B$1+18&gt;90,T174,(T174+IF($B$1+18&lt;=$B174,12*$B$9,-12*$B$8*(1+$B$4)^18))*IF(T174+IF($B$1+18&lt;=$B174,12*$B$9,-12*$B$8*(1+$B$4)^18)&gt;0,1+$B$3,1))</f>
        <v/>
      </c>
      <c r="V174">
        <f>IF($B$1+19&gt;90,U174,(U174+IF($B$1+19&lt;=$B174,12*$B$9,-12*$B$8*(1+$B$4)^19))*IF(U174+IF($B$1+19&lt;=$B174,12*$B$9,-12*$B$8*(1+$B$4)^19)&gt;0,1+$B$3,1))</f>
        <v/>
      </c>
      <c r="W174">
        <f>IF($B$1+20&gt;90,V174,(V174+IF($B$1+20&lt;=$B174,12*$B$9,-12*$B$8*(1+$B$4)^20))*IF(V174+IF($B$1+20&lt;=$B174,12*$B$9,-12*$B$8*(1+$B$4)^20)&gt;0,1+$B$3,1))</f>
        <v/>
      </c>
      <c r="X174">
        <f>IF($B$1+21&gt;90,W174,(W174+IF($B$1+21&lt;=$B174,12*$B$9,-12*$B$8*(1+$B$4)^21))*IF(W174+IF($B$1+21&lt;=$B174,12*$B$9,-12*$B$8*(1+$B$4)^21)&gt;0,1+$B$3,1))</f>
        <v/>
      </c>
      <c r="Y174">
        <f>IF($B$1+22&gt;90,X174,(X174+IF($B$1+22&lt;=$B174,12*$B$9,-12*$B$8*(1+$B$4)^22))*IF(X174+IF($B$1+22&lt;=$B174,12*$B$9,-12*$B$8*(1+$B$4)^22)&gt;0,1+$B$3,1))</f>
        <v/>
      </c>
      <c r="Z174">
        <f>IF($B$1+23&gt;90,Y174,(Y174+IF($B$1+23&lt;=$B174,12*$B$9,-12*$B$8*(1+$B$4)^23))*IF(Y174+IF($B$1+23&lt;=$B174,12*$B$9,-12*$B$8*(1+$B$4)^23)&gt;0,1+$B$3,1))</f>
        <v/>
      </c>
      <c r="AA174">
        <f>IF($B$1+24&gt;90,Z174,(Z174+IF($B$1+24&lt;=$B174,12*$B$9,-12*$B$8*(1+$B$4)^24))*IF(Z174+IF($B$1+24&lt;=$B174,12*$B$9,-12*$B$8*(1+$B$4)^24)&gt;0,1+$B$3,1))</f>
        <v/>
      </c>
      <c r="AB174">
        <f>IF($B$1+25&gt;90,AA174,(AA174+IF($B$1+25&lt;=$B174,12*$B$9,-12*$B$8*(1+$B$4)^25))*IF(AA174+IF($B$1+25&lt;=$B174,12*$B$9,-12*$B$8*(1+$B$4)^25)&gt;0,1+$B$3,1))</f>
        <v/>
      </c>
      <c r="AC174">
        <f>IF($B$1+26&gt;90,AB174,(AB174+IF($B$1+26&lt;=$B174,12*$B$9,-12*$B$8*(1+$B$4)^26))*IF(AB174+IF($B$1+26&lt;=$B174,12*$B$9,-12*$B$8*(1+$B$4)^26)&gt;0,1+$B$3,1))</f>
        <v/>
      </c>
      <c r="AD174">
        <f>IF($B$1+27&gt;90,AC174,(AC174+IF($B$1+27&lt;=$B174,12*$B$9,-12*$B$8*(1+$B$4)^27))*IF(AC174+IF($B$1+27&lt;=$B174,12*$B$9,-12*$B$8*(1+$B$4)^27)&gt;0,1+$B$3,1))</f>
        <v/>
      </c>
      <c r="AE174">
        <f>IF($B$1+28&gt;90,AD174,(AD174+IF($B$1+28&lt;=$B174,12*$B$9,-12*$B$8*(1+$B$4)^28))*IF(AD174+IF($B$1+28&lt;=$B174,12*$B$9,-12*$B$8*(1+$B$4)^28)&gt;0,1+$B$3,1))</f>
        <v/>
      </c>
      <c r="AF174">
        <f>IF($B$1+29&gt;90,AE174,(AE174+IF($B$1+29&lt;=$B174,12*$B$9,-12*$B$8*(1+$B$4)^29))*IF(AE174+IF($B$1+29&lt;=$B174,12*$B$9,-12*$B$8*(1+$B$4)^29)&gt;0,1+$B$3,1))</f>
        <v/>
      </c>
      <c r="AG174">
        <f>IF($B$1+30&gt;90,AF174,(AF174+IF($B$1+30&lt;=$B174,12*$B$9,-12*$B$8*(1+$B$4)^30))*IF(AF174+IF($B$1+30&lt;=$B174,12*$B$9,-12*$B$8*(1+$B$4)^30)&gt;0,1+$B$3,1))</f>
        <v/>
      </c>
      <c r="AH174">
        <f>IF($B$1+31&gt;90,AG174,(AG174+IF($B$1+31&lt;=$B174,12*$B$9,-12*$B$8*(1+$B$4)^31))*IF(AG174+IF($B$1+31&lt;=$B174,12*$B$9,-12*$B$8*(1+$B$4)^31)&gt;0,1+$B$3,1))</f>
        <v/>
      </c>
      <c r="AI174">
        <f>IF($B$1+32&gt;90,AH174,(AH174+IF($B$1+32&lt;=$B174,12*$B$9,-12*$B$8*(1+$B$4)^32))*IF(AH174+IF($B$1+32&lt;=$B174,12*$B$9,-12*$B$8*(1+$B$4)^32)&gt;0,1+$B$3,1))</f>
        <v/>
      </c>
      <c r="AJ174">
        <f>IF($B$1+33&gt;90,AI174,(AI174+IF($B$1+33&lt;=$B174,12*$B$9,-12*$B$8*(1+$B$4)^33))*IF(AI174+IF($B$1+33&lt;=$B174,12*$B$9,-12*$B$8*(1+$B$4)^33)&gt;0,1+$B$3,1))</f>
        <v/>
      </c>
      <c r="AK174">
        <f>IF($B$1+34&gt;90,AJ174,(AJ174+IF($B$1+34&lt;=$B174,12*$B$9,-12*$B$8*(1+$B$4)^34))*IF(AJ174+IF($B$1+34&lt;=$B174,12*$B$9,-12*$B$8*(1+$B$4)^34)&gt;0,1+$B$3,1))</f>
        <v/>
      </c>
      <c r="AL174">
        <f>IF($B$1+35&gt;90,AK174,(AK174+IF($B$1+35&lt;=$B174,12*$B$9,-12*$B$8*(1+$B$4)^35))*IF(AK174+IF($B$1+35&lt;=$B174,12*$B$9,-12*$B$8*(1+$B$4)^35)&gt;0,1+$B$3,1))</f>
        <v/>
      </c>
      <c r="AM174">
        <f>IF($B$1+36&gt;90,AL174,(AL174+IF($B$1+36&lt;=$B174,12*$B$9,-12*$B$8*(1+$B$4)^36))*IF(AL174+IF($B$1+36&lt;=$B174,12*$B$9,-12*$B$8*(1+$B$4)^36)&gt;0,1+$B$3,1))</f>
        <v/>
      </c>
      <c r="AN174">
        <f>IF($B$1+37&gt;90,AM174,(AM174+IF($B$1+37&lt;=$B174,12*$B$9,-12*$B$8*(1+$B$4)^37))*IF(AM174+IF($B$1+37&lt;=$B174,12*$B$9,-12*$B$8*(1+$B$4)^37)&gt;0,1+$B$3,1))</f>
        <v/>
      </c>
      <c r="AO174">
        <f>IF($B$1+38&gt;90,AN174,(AN174+IF($B$1+38&lt;=$B174,12*$B$9,-12*$B$8*(1+$B$4)^38))*IF(AN174+IF($B$1+38&lt;=$B174,12*$B$9,-12*$B$8*(1+$B$4)^38)&gt;0,1+$B$3,1))</f>
        <v/>
      </c>
      <c r="AP174">
        <f>IF($B$1+39&gt;90,AO174,(AO174+IF($B$1+39&lt;=$B174,12*$B$9,-12*$B$8*(1+$B$4)^39))*IF(AO174+IF($B$1+39&lt;=$B174,12*$B$9,-12*$B$8*(1+$B$4)^39)&gt;0,1+$B$3,1))</f>
        <v/>
      </c>
      <c r="AQ174">
        <f>IF($B$1+40&gt;90,AP174,(AP174+IF($B$1+40&lt;=$B174,12*$B$9,-12*$B$8*(1+$B$4)^40))*IF(AP174+IF($B$1+40&lt;=$B174,12*$B$9,-12*$B$8*(1+$B$4)^40)&gt;0,1+$B$3,1))</f>
        <v/>
      </c>
      <c r="AR174">
        <f>IF($B$1+41&gt;90,AQ174,(AQ174+IF($B$1+41&lt;=$B174,12*$B$9,-12*$B$8*(1+$B$4)^41))*IF(AQ174+IF($B$1+41&lt;=$B174,12*$B$9,-12*$B$8*(1+$B$4)^41)&gt;0,1+$B$3,1))</f>
        <v/>
      </c>
      <c r="AS174">
        <f>IF($B$1+42&gt;90,AR174,(AR174+IF($B$1+42&lt;=$B174,12*$B$9,-12*$B$8*(1+$B$4)^42))*IF(AR174+IF($B$1+42&lt;=$B174,12*$B$9,-12*$B$8*(1+$B$4)^42)&gt;0,1+$B$3,1))</f>
        <v/>
      </c>
      <c r="AT174">
        <f>IF($B$1+43&gt;90,AS174,(AS174+IF($B$1+43&lt;=$B174,12*$B$9,-12*$B$8*(1+$B$4)^43))*IF(AS174+IF($B$1+43&lt;=$B174,12*$B$9,-12*$B$8*(1+$B$4)^43)&gt;0,1+$B$3,1))</f>
        <v/>
      </c>
      <c r="AU174">
        <f>IF($B$1+44&gt;90,AT174,(AT174+IF($B$1+44&lt;=$B174,12*$B$9,-12*$B$8*(1+$B$4)^44))*IF(AT174+IF($B$1+44&lt;=$B174,12*$B$9,-12*$B$8*(1+$B$4)^44)&gt;0,1+$B$3,1))</f>
        <v/>
      </c>
      <c r="AV174">
        <f>IF($B$1+45&gt;90,AU174,(AU174+IF($B$1+45&lt;=$B174,12*$B$9,-12*$B$8*(1+$B$4)^45))*IF(AU174+IF($B$1+45&lt;=$B174,12*$B$9,-12*$B$8*(1+$B$4)^45)&gt;0,1+$B$3,1))</f>
        <v/>
      </c>
      <c r="AW174">
        <f>IF($B$1+46&gt;90,AV174,(AV174+IF($B$1+46&lt;=$B174,12*$B$9,-12*$B$8*(1+$B$4)^46))*IF(AV174+IF($B$1+46&lt;=$B174,12*$B$9,-12*$B$8*(1+$B$4)^46)&gt;0,1+$B$3,1))</f>
        <v/>
      </c>
      <c r="AX174">
        <f>IF($B$1+47&gt;90,AW174,(AW174+IF($B$1+47&lt;=$B174,12*$B$9,-12*$B$8*(1+$B$4)^47))*IF(AW174+IF($B$1+47&lt;=$B174,12*$B$9,-12*$B$8*(1+$B$4)^47)&gt;0,1+$B$3,1))</f>
        <v/>
      </c>
      <c r="AY174">
        <f>IF($B$1+48&gt;90,AX174,(AX174+IF($B$1+48&lt;=$B174,12*$B$9,-12*$B$8*(1+$B$4)^48))*IF(AX174+IF($B$1+48&lt;=$B174,12*$B$9,-12*$B$8*(1+$B$4)^48)&gt;0,1+$B$3,1))</f>
        <v/>
      </c>
      <c r="AZ174">
        <f>IF($B$1+49&gt;90,AY174,(AY174+IF($B$1+49&lt;=$B174,12*$B$9,-12*$B$8*(1+$B$4)^49))*IF(AY174+IF($B$1+49&lt;=$B174,12*$B$9,-12*$B$8*(1+$B$4)^49)&gt;0,1+$B$3,1))</f>
        <v/>
      </c>
      <c r="BA174">
        <f>IF($B$1+50&gt;90,AZ174,(AZ174+IF($B$1+50&lt;=$B174,12*$B$9,-12*$B$8*(1+$B$4)^50))*IF(AZ174+IF($B$1+50&lt;=$B174,12*$B$9,-12*$B$8*(1+$B$4)^50)&gt;0,1+$B$3,1))</f>
        <v/>
      </c>
      <c r="BB174">
        <f>IF($B$1+51&gt;90,BA174,(BA174+IF($B$1+51&lt;=$B174,12*$B$9,-12*$B$8*(1+$B$4)^51))*IF(BA174+IF($B$1+51&lt;=$B174,12*$B$9,-12*$B$8*(1+$B$4)^51)&gt;0,1+$B$3,1))</f>
        <v/>
      </c>
      <c r="BC174">
        <f>IF($B$1+52&gt;90,BB174,(BB174+IF($B$1+52&lt;=$B174,12*$B$9,-12*$B$8*(1+$B$4)^52))*IF(BB174+IF($B$1+52&lt;=$B174,12*$B$9,-12*$B$8*(1+$B$4)^52)&gt;0,1+$B$3,1))</f>
        <v/>
      </c>
      <c r="BD174">
        <f>IF($B$1+53&gt;90,BC174,(BC174+IF($B$1+53&lt;=$B174,12*$B$9,-12*$B$8*(1+$B$4)^53))*IF(BC174+IF($B$1+53&lt;=$B174,12*$B$9,-12*$B$8*(1+$B$4)^53)&gt;0,1+$B$3,1))</f>
        <v/>
      </c>
      <c r="BE174">
        <f>IF($B$1+54&gt;90,BD174,(BD174+IF($B$1+54&lt;=$B174,12*$B$9,-12*$B$8*(1+$B$4)^54))*IF(BD174+IF($B$1+54&lt;=$B174,12*$B$9,-12*$B$8*(1+$B$4)^54)&gt;0,1+$B$3,1))</f>
        <v/>
      </c>
      <c r="BF174">
        <f>IF($B$1+55&gt;90,BE174,(BE174+IF($B$1+55&lt;=$B174,12*$B$9,-12*$B$8*(1+$B$4)^55))*IF(BE174+IF($B$1+55&lt;=$B174,12*$B$9,-12*$B$8*(1+$B$4)^55)&gt;0,1+$B$3,1))</f>
        <v/>
      </c>
      <c r="BG174">
        <f>IF($B$1+56&gt;90,BF174,(BF174+IF($B$1+56&lt;=$B174,12*$B$9,-12*$B$8*(1+$B$4)^56))*IF(BF174+IF($B$1+56&lt;=$B174,12*$B$9,-12*$B$8*(1+$B$4)^56)&gt;0,1+$B$3,1))</f>
        <v/>
      </c>
      <c r="BH174">
        <f>IF($B$1+57&gt;90,BG174,(BG174+IF($B$1+57&lt;=$B174,12*$B$9,-12*$B$8*(1+$B$4)^57))*IF(BG174+IF($B$1+57&lt;=$B174,12*$B$9,-12*$B$8*(1+$B$4)^57)&gt;0,1+$B$3,1))</f>
        <v/>
      </c>
      <c r="BI174">
        <f>IF($B$1+58&gt;90,BH174,(BH174+IF($B$1+58&lt;=$B174,12*$B$9,-12*$B$8*(1+$B$4)^58))*IF(BH174+IF($B$1+58&lt;=$B174,12*$B$9,-12*$B$8*(1+$B$4)^58)&gt;0,1+$B$3,1))</f>
        <v/>
      </c>
      <c r="BJ174">
        <f>IF($B$1+59&gt;90,BI174,(BI174+IF($B$1+59&lt;=$B174,12*$B$9,-12*$B$8*(1+$B$4)^59))*IF(BI174+IF($B$1+59&lt;=$B174,12*$B$9,-12*$B$8*(1+$B$4)^59)&gt;0,1+$B$3,1))</f>
        <v/>
      </c>
      <c r="BK174">
        <f>IF($B$1+60&gt;90,BJ174,(BJ174+IF($B$1+60&lt;=$B174,12*$B$9,-12*$B$8*(1+$B$4)^60))*IF(BJ174+IF($B$1+60&lt;=$B174,12*$B$9,-12*$B$8*(1+$B$4)^60)&gt;0,1+$B$3,1))</f>
        <v/>
      </c>
      <c r="BL174">
        <f>IF($B$1+61&gt;90,BK174,(BK174+IF($B$1+61&lt;=$B174,12*$B$9,-12*$B$8*(1+$B$4)^61))*IF(BK174+IF($B$1+61&lt;=$B174,12*$B$9,-12*$B$8*(1+$B$4)^61)&gt;0,1+$B$3,1))</f>
        <v/>
      </c>
      <c r="BM174">
        <f>IF($B$1+62&gt;90,BL174,(BL174+IF($B$1+62&lt;=$B174,12*$B$9,-12*$B$8*(1+$B$4)^62))*IF(BL174+IF($B$1+62&lt;=$B174,12*$B$9,-12*$B$8*(1+$B$4)^62)&gt;0,1+$B$3,1))</f>
        <v/>
      </c>
      <c r="BN174">
        <f>IF($B$1+63&gt;90,BM174,(BM174+IF($B$1+63&lt;=$B174,12*$B$9,-12*$B$8*(1+$B$4)^63))*IF(BM174+IF($B$1+63&lt;=$B174,12*$B$9,-12*$B$8*(1+$B$4)^63)&gt;0,1+$B$3,1))</f>
        <v/>
      </c>
      <c r="BO174">
        <f>IF($B$1+64&gt;90,BN174,(BN174+IF($B$1+64&lt;=$B174,12*$B$9,-12*$B$8*(1+$B$4)^64))*IF(BN174+IF($B$1+64&lt;=$B174,12*$B$9,-12*$B$8*(1+$B$4)^64)&gt;0,1+$B$3,1))</f>
        <v/>
      </c>
      <c r="BP174">
        <f>IF($B$1+65&gt;90,BO174,(BO174+IF($B$1+65&lt;=$B174,12*$B$9,-12*$B$8*(1+$B$4)^65))*IF(BO174+IF($B$1+65&lt;=$B174,12*$B$9,-12*$B$8*(1+$B$4)^65)&gt;0,1+$B$3,1))</f>
        <v/>
      </c>
      <c r="BQ174">
        <f>IF($B$1+66&gt;90,BP174,(BP174+IF($B$1+66&lt;=$B174,12*$B$9,-12*$B$8*(1+$B$4)^66))*IF(BP174+IF($B$1+66&lt;=$B174,12*$B$9,-12*$B$8*(1+$B$4)^66)&gt;0,1+$B$3,1))</f>
        <v/>
      </c>
      <c r="BR174">
        <f>IF($B$1+67&gt;90,BQ174,(BQ174+IF($B$1+67&lt;=$B174,12*$B$9,-12*$B$8*(1+$B$4)^67))*IF(BQ174+IF($B$1+67&lt;=$B174,12*$B$9,-12*$B$8*(1+$B$4)^67)&gt;0,1+$B$3,1))</f>
        <v/>
      </c>
      <c r="BS174">
        <f>IF($B$1+68&gt;90,BR174,(BR174+IF($B$1+68&lt;=$B174,12*$B$9,-12*$B$8*(1+$B$4)^68))*IF(BR174+IF($B$1+68&lt;=$B174,12*$B$9,-12*$B$8*(1+$B$4)^68)&gt;0,1+$B$3,1))</f>
        <v/>
      </c>
      <c r="BT174">
        <f>IF($B$1+69&gt;90,BS174,(BS174+IF($B$1+69&lt;=$B174,12*$B$9,-12*$B$8*(1+$B$4)^69))*IF(BS174+IF($B$1+69&lt;=$B174,12*$B$9,-12*$B$8*(1+$B$4)^69)&gt;0,1+$B$3,1))</f>
        <v/>
      </c>
      <c r="BU174">
        <f>IF($B$1+70&gt;90,BT174,(BT174+IF($B$1+70&lt;=$B174,12*$B$9,-12*$B$8*(1+$B$4)^70))*IF(BT174+IF($B$1+70&lt;=$B174,12*$B$9,-12*$B$8*(1+$B$4)^70)&gt;0,1+$B$3,1))</f>
        <v/>
      </c>
      <c r="BV174">
        <f>BU174</f>
        <v/>
      </c>
      <c r="BW174">
        <f>IF(AND($B174&lt;=70,BV174&gt;0),$B174,999)</f>
        <v/>
      </c>
    </row>
    <row r="175">
      <c r="A175" t="n">
        <v>23</v>
      </c>
      <c r="B175">
        <f>$B$1+23</f>
        <v/>
      </c>
      <c r="C175">
        <f>$B$2</f>
        <v/>
      </c>
      <c r="D175">
        <f>IF($B$1+1&gt;90,C175,(C175+IF($B$1+1&lt;=$B175,12*$B$9,-12*$B$8*(1+$B$4)^1))*IF(C175+IF($B$1+1&lt;=$B175,12*$B$9,-12*$B$8*(1+$B$4)^1)&gt;0,1+$B$3,1))</f>
        <v/>
      </c>
      <c r="E175">
        <f>IF($B$1+2&gt;90,D175,(D175+IF($B$1+2&lt;=$B175,12*$B$9,-12*$B$8*(1+$B$4)^2))*IF(D175+IF($B$1+2&lt;=$B175,12*$B$9,-12*$B$8*(1+$B$4)^2)&gt;0,1+$B$3,1))</f>
        <v/>
      </c>
      <c r="F175">
        <f>IF($B$1+3&gt;90,E175,(E175+IF($B$1+3&lt;=$B175,12*$B$9,-12*$B$8*(1+$B$4)^3))*IF(E175+IF($B$1+3&lt;=$B175,12*$B$9,-12*$B$8*(1+$B$4)^3)&gt;0,1+$B$3,1))</f>
        <v/>
      </c>
      <c r="G175">
        <f>IF($B$1+4&gt;90,F175,(F175+IF($B$1+4&lt;=$B175,12*$B$9,-12*$B$8*(1+$B$4)^4))*IF(F175+IF($B$1+4&lt;=$B175,12*$B$9,-12*$B$8*(1+$B$4)^4)&gt;0,1+$B$3,1))</f>
        <v/>
      </c>
      <c r="H175">
        <f>IF($B$1+5&gt;90,G175,(G175+IF($B$1+5&lt;=$B175,12*$B$9,-12*$B$8*(1+$B$4)^5))*IF(G175+IF($B$1+5&lt;=$B175,12*$B$9,-12*$B$8*(1+$B$4)^5)&gt;0,1+$B$3,1))</f>
        <v/>
      </c>
      <c r="I175">
        <f>IF($B$1+6&gt;90,H175,(H175+IF($B$1+6&lt;=$B175,12*$B$9,-12*$B$8*(1+$B$4)^6))*IF(H175+IF($B$1+6&lt;=$B175,12*$B$9,-12*$B$8*(1+$B$4)^6)&gt;0,1+$B$3,1))</f>
        <v/>
      </c>
      <c r="J175">
        <f>IF($B$1+7&gt;90,I175,(I175+IF($B$1+7&lt;=$B175,12*$B$9,-12*$B$8*(1+$B$4)^7))*IF(I175+IF($B$1+7&lt;=$B175,12*$B$9,-12*$B$8*(1+$B$4)^7)&gt;0,1+$B$3,1))</f>
        <v/>
      </c>
      <c r="K175">
        <f>IF($B$1+8&gt;90,J175,(J175+IF($B$1+8&lt;=$B175,12*$B$9,-12*$B$8*(1+$B$4)^8))*IF(J175+IF($B$1+8&lt;=$B175,12*$B$9,-12*$B$8*(1+$B$4)^8)&gt;0,1+$B$3,1))</f>
        <v/>
      </c>
      <c r="L175">
        <f>IF($B$1+9&gt;90,K175,(K175+IF($B$1+9&lt;=$B175,12*$B$9,-12*$B$8*(1+$B$4)^9))*IF(K175+IF($B$1+9&lt;=$B175,12*$B$9,-12*$B$8*(1+$B$4)^9)&gt;0,1+$B$3,1))</f>
        <v/>
      </c>
      <c r="M175">
        <f>IF($B$1+10&gt;90,L175,(L175+IF($B$1+10&lt;=$B175,12*$B$9,-12*$B$8*(1+$B$4)^10))*IF(L175+IF($B$1+10&lt;=$B175,12*$B$9,-12*$B$8*(1+$B$4)^10)&gt;0,1+$B$3,1))</f>
        <v/>
      </c>
      <c r="N175">
        <f>IF($B$1+11&gt;90,M175,(M175+IF($B$1+11&lt;=$B175,12*$B$9,-12*$B$8*(1+$B$4)^11))*IF(M175+IF($B$1+11&lt;=$B175,12*$B$9,-12*$B$8*(1+$B$4)^11)&gt;0,1+$B$3,1))</f>
        <v/>
      </c>
      <c r="O175">
        <f>IF($B$1+12&gt;90,N175,(N175+IF($B$1+12&lt;=$B175,12*$B$9,-12*$B$8*(1+$B$4)^12))*IF(N175+IF($B$1+12&lt;=$B175,12*$B$9,-12*$B$8*(1+$B$4)^12)&gt;0,1+$B$3,1))</f>
        <v/>
      </c>
      <c r="P175">
        <f>IF($B$1+13&gt;90,O175,(O175+IF($B$1+13&lt;=$B175,12*$B$9,-12*$B$8*(1+$B$4)^13))*IF(O175+IF($B$1+13&lt;=$B175,12*$B$9,-12*$B$8*(1+$B$4)^13)&gt;0,1+$B$3,1))</f>
        <v/>
      </c>
      <c r="Q175">
        <f>IF($B$1+14&gt;90,P175,(P175+IF($B$1+14&lt;=$B175,12*$B$9,-12*$B$8*(1+$B$4)^14))*IF(P175+IF($B$1+14&lt;=$B175,12*$B$9,-12*$B$8*(1+$B$4)^14)&gt;0,1+$B$3,1))</f>
        <v/>
      </c>
      <c r="R175">
        <f>IF($B$1+15&gt;90,Q175,(Q175+IF($B$1+15&lt;=$B175,12*$B$9,-12*$B$8*(1+$B$4)^15))*IF(Q175+IF($B$1+15&lt;=$B175,12*$B$9,-12*$B$8*(1+$B$4)^15)&gt;0,1+$B$3,1))</f>
        <v/>
      </c>
      <c r="S175">
        <f>IF($B$1+16&gt;90,R175,(R175+IF($B$1+16&lt;=$B175,12*$B$9,-12*$B$8*(1+$B$4)^16))*IF(R175+IF($B$1+16&lt;=$B175,12*$B$9,-12*$B$8*(1+$B$4)^16)&gt;0,1+$B$3,1))</f>
        <v/>
      </c>
      <c r="T175">
        <f>IF($B$1+17&gt;90,S175,(S175+IF($B$1+17&lt;=$B175,12*$B$9,-12*$B$8*(1+$B$4)^17))*IF(S175+IF($B$1+17&lt;=$B175,12*$B$9,-12*$B$8*(1+$B$4)^17)&gt;0,1+$B$3,1))</f>
        <v/>
      </c>
      <c r="U175">
        <f>IF($B$1+18&gt;90,T175,(T175+IF($B$1+18&lt;=$B175,12*$B$9,-12*$B$8*(1+$B$4)^18))*IF(T175+IF($B$1+18&lt;=$B175,12*$B$9,-12*$B$8*(1+$B$4)^18)&gt;0,1+$B$3,1))</f>
        <v/>
      </c>
      <c r="V175">
        <f>IF($B$1+19&gt;90,U175,(U175+IF($B$1+19&lt;=$B175,12*$B$9,-12*$B$8*(1+$B$4)^19))*IF(U175+IF($B$1+19&lt;=$B175,12*$B$9,-12*$B$8*(1+$B$4)^19)&gt;0,1+$B$3,1))</f>
        <v/>
      </c>
      <c r="W175">
        <f>IF($B$1+20&gt;90,V175,(V175+IF($B$1+20&lt;=$B175,12*$B$9,-12*$B$8*(1+$B$4)^20))*IF(V175+IF($B$1+20&lt;=$B175,12*$B$9,-12*$B$8*(1+$B$4)^20)&gt;0,1+$B$3,1))</f>
        <v/>
      </c>
      <c r="X175">
        <f>IF($B$1+21&gt;90,W175,(W175+IF($B$1+21&lt;=$B175,12*$B$9,-12*$B$8*(1+$B$4)^21))*IF(W175+IF($B$1+21&lt;=$B175,12*$B$9,-12*$B$8*(1+$B$4)^21)&gt;0,1+$B$3,1))</f>
        <v/>
      </c>
      <c r="Y175">
        <f>IF($B$1+22&gt;90,X175,(X175+IF($B$1+22&lt;=$B175,12*$B$9,-12*$B$8*(1+$B$4)^22))*IF(X175+IF($B$1+22&lt;=$B175,12*$B$9,-12*$B$8*(1+$B$4)^22)&gt;0,1+$B$3,1))</f>
        <v/>
      </c>
      <c r="Z175">
        <f>IF($B$1+23&gt;90,Y175,(Y175+IF($B$1+23&lt;=$B175,12*$B$9,-12*$B$8*(1+$B$4)^23))*IF(Y175+IF($B$1+23&lt;=$B175,12*$B$9,-12*$B$8*(1+$B$4)^23)&gt;0,1+$B$3,1))</f>
        <v/>
      </c>
      <c r="AA175">
        <f>IF($B$1+24&gt;90,Z175,(Z175+IF($B$1+24&lt;=$B175,12*$B$9,-12*$B$8*(1+$B$4)^24))*IF(Z175+IF($B$1+24&lt;=$B175,12*$B$9,-12*$B$8*(1+$B$4)^24)&gt;0,1+$B$3,1))</f>
        <v/>
      </c>
      <c r="AB175">
        <f>IF($B$1+25&gt;90,AA175,(AA175+IF($B$1+25&lt;=$B175,12*$B$9,-12*$B$8*(1+$B$4)^25))*IF(AA175+IF($B$1+25&lt;=$B175,12*$B$9,-12*$B$8*(1+$B$4)^25)&gt;0,1+$B$3,1))</f>
        <v/>
      </c>
      <c r="AC175">
        <f>IF($B$1+26&gt;90,AB175,(AB175+IF($B$1+26&lt;=$B175,12*$B$9,-12*$B$8*(1+$B$4)^26))*IF(AB175+IF($B$1+26&lt;=$B175,12*$B$9,-12*$B$8*(1+$B$4)^26)&gt;0,1+$B$3,1))</f>
        <v/>
      </c>
      <c r="AD175">
        <f>IF($B$1+27&gt;90,AC175,(AC175+IF($B$1+27&lt;=$B175,12*$B$9,-12*$B$8*(1+$B$4)^27))*IF(AC175+IF($B$1+27&lt;=$B175,12*$B$9,-12*$B$8*(1+$B$4)^27)&gt;0,1+$B$3,1))</f>
        <v/>
      </c>
      <c r="AE175">
        <f>IF($B$1+28&gt;90,AD175,(AD175+IF($B$1+28&lt;=$B175,12*$B$9,-12*$B$8*(1+$B$4)^28))*IF(AD175+IF($B$1+28&lt;=$B175,12*$B$9,-12*$B$8*(1+$B$4)^28)&gt;0,1+$B$3,1))</f>
        <v/>
      </c>
      <c r="AF175">
        <f>IF($B$1+29&gt;90,AE175,(AE175+IF($B$1+29&lt;=$B175,12*$B$9,-12*$B$8*(1+$B$4)^29))*IF(AE175+IF($B$1+29&lt;=$B175,12*$B$9,-12*$B$8*(1+$B$4)^29)&gt;0,1+$B$3,1))</f>
        <v/>
      </c>
      <c r="AG175">
        <f>IF($B$1+30&gt;90,AF175,(AF175+IF($B$1+30&lt;=$B175,12*$B$9,-12*$B$8*(1+$B$4)^30))*IF(AF175+IF($B$1+30&lt;=$B175,12*$B$9,-12*$B$8*(1+$B$4)^30)&gt;0,1+$B$3,1))</f>
        <v/>
      </c>
      <c r="AH175">
        <f>IF($B$1+31&gt;90,AG175,(AG175+IF($B$1+31&lt;=$B175,12*$B$9,-12*$B$8*(1+$B$4)^31))*IF(AG175+IF($B$1+31&lt;=$B175,12*$B$9,-12*$B$8*(1+$B$4)^31)&gt;0,1+$B$3,1))</f>
        <v/>
      </c>
      <c r="AI175">
        <f>IF($B$1+32&gt;90,AH175,(AH175+IF($B$1+32&lt;=$B175,12*$B$9,-12*$B$8*(1+$B$4)^32))*IF(AH175+IF($B$1+32&lt;=$B175,12*$B$9,-12*$B$8*(1+$B$4)^32)&gt;0,1+$B$3,1))</f>
        <v/>
      </c>
      <c r="AJ175">
        <f>IF($B$1+33&gt;90,AI175,(AI175+IF($B$1+33&lt;=$B175,12*$B$9,-12*$B$8*(1+$B$4)^33))*IF(AI175+IF($B$1+33&lt;=$B175,12*$B$9,-12*$B$8*(1+$B$4)^33)&gt;0,1+$B$3,1))</f>
        <v/>
      </c>
      <c r="AK175">
        <f>IF($B$1+34&gt;90,AJ175,(AJ175+IF($B$1+34&lt;=$B175,12*$B$9,-12*$B$8*(1+$B$4)^34))*IF(AJ175+IF($B$1+34&lt;=$B175,12*$B$9,-12*$B$8*(1+$B$4)^34)&gt;0,1+$B$3,1))</f>
        <v/>
      </c>
      <c r="AL175">
        <f>IF($B$1+35&gt;90,AK175,(AK175+IF($B$1+35&lt;=$B175,12*$B$9,-12*$B$8*(1+$B$4)^35))*IF(AK175+IF($B$1+35&lt;=$B175,12*$B$9,-12*$B$8*(1+$B$4)^35)&gt;0,1+$B$3,1))</f>
        <v/>
      </c>
      <c r="AM175">
        <f>IF($B$1+36&gt;90,AL175,(AL175+IF($B$1+36&lt;=$B175,12*$B$9,-12*$B$8*(1+$B$4)^36))*IF(AL175+IF($B$1+36&lt;=$B175,12*$B$9,-12*$B$8*(1+$B$4)^36)&gt;0,1+$B$3,1))</f>
        <v/>
      </c>
      <c r="AN175">
        <f>IF($B$1+37&gt;90,AM175,(AM175+IF($B$1+37&lt;=$B175,12*$B$9,-12*$B$8*(1+$B$4)^37))*IF(AM175+IF($B$1+37&lt;=$B175,12*$B$9,-12*$B$8*(1+$B$4)^37)&gt;0,1+$B$3,1))</f>
        <v/>
      </c>
      <c r="AO175">
        <f>IF($B$1+38&gt;90,AN175,(AN175+IF($B$1+38&lt;=$B175,12*$B$9,-12*$B$8*(1+$B$4)^38))*IF(AN175+IF($B$1+38&lt;=$B175,12*$B$9,-12*$B$8*(1+$B$4)^38)&gt;0,1+$B$3,1))</f>
        <v/>
      </c>
      <c r="AP175">
        <f>IF($B$1+39&gt;90,AO175,(AO175+IF($B$1+39&lt;=$B175,12*$B$9,-12*$B$8*(1+$B$4)^39))*IF(AO175+IF($B$1+39&lt;=$B175,12*$B$9,-12*$B$8*(1+$B$4)^39)&gt;0,1+$B$3,1))</f>
        <v/>
      </c>
      <c r="AQ175">
        <f>IF($B$1+40&gt;90,AP175,(AP175+IF($B$1+40&lt;=$B175,12*$B$9,-12*$B$8*(1+$B$4)^40))*IF(AP175+IF($B$1+40&lt;=$B175,12*$B$9,-12*$B$8*(1+$B$4)^40)&gt;0,1+$B$3,1))</f>
        <v/>
      </c>
      <c r="AR175">
        <f>IF($B$1+41&gt;90,AQ175,(AQ175+IF($B$1+41&lt;=$B175,12*$B$9,-12*$B$8*(1+$B$4)^41))*IF(AQ175+IF($B$1+41&lt;=$B175,12*$B$9,-12*$B$8*(1+$B$4)^41)&gt;0,1+$B$3,1))</f>
        <v/>
      </c>
      <c r="AS175">
        <f>IF($B$1+42&gt;90,AR175,(AR175+IF($B$1+42&lt;=$B175,12*$B$9,-12*$B$8*(1+$B$4)^42))*IF(AR175+IF($B$1+42&lt;=$B175,12*$B$9,-12*$B$8*(1+$B$4)^42)&gt;0,1+$B$3,1))</f>
        <v/>
      </c>
      <c r="AT175">
        <f>IF($B$1+43&gt;90,AS175,(AS175+IF($B$1+43&lt;=$B175,12*$B$9,-12*$B$8*(1+$B$4)^43))*IF(AS175+IF($B$1+43&lt;=$B175,12*$B$9,-12*$B$8*(1+$B$4)^43)&gt;0,1+$B$3,1))</f>
        <v/>
      </c>
      <c r="AU175">
        <f>IF($B$1+44&gt;90,AT175,(AT175+IF($B$1+44&lt;=$B175,12*$B$9,-12*$B$8*(1+$B$4)^44))*IF(AT175+IF($B$1+44&lt;=$B175,12*$B$9,-12*$B$8*(1+$B$4)^44)&gt;0,1+$B$3,1))</f>
        <v/>
      </c>
      <c r="AV175">
        <f>IF($B$1+45&gt;90,AU175,(AU175+IF($B$1+45&lt;=$B175,12*$B$9,-12*$B$8*(1+$B$4)^45))*IF(AU175+IF($B$1+45&lt;=$B175,12*$B$9,-12*$B$8*(1+$B$4)^45)&gt;0,1+$B$3,1))</f>
        <v/>
      </c>
      <c r="AW175">
        <f>IF($B$1+46&gt;90,AV175,(AV175+IF($B$1+46&lt;=$B175,12*$B$9,-12*$B$8*(1+$B$4)^46))*IF(AV175+IF($B$1+46&lt;=$B175,12*$B$9,-12*$B$8*(1+$B$4)^46)&gt;0,1+$B$3,1))</f>
        <v/>
      </c>
      <c r="AX175">
        <f>IF($B$1+47&gt;90,AW175,(AW175+IF($B$1+47&lt;=$B175,12*$B$9,-12*$B$8*(1+$B$4)^47))*IF(AW175+IF($B$1+47&lt;=$B175,12*$B$9,-12*$B$8*(1+$B$4)^47)&gt;0,1+$B$3,1))</f>
        <v/>
      </c>
      <c r="AY175">
        <f>IF($B$1+48&gt;90,AX175,(AX175+IF($B$1+48&lt;=$B175,12*$B$9,-12*$B$8*(1+$B$4)^48))*IF(AX175+IF($B$1+48&lt;=$B175,12*$B$9,-12*$B$8*(1+$B$4)^48)&gt;0,1+$B$3,1))</f>
        <v/>
      </c>
      <c r="AZ175">
        <f>IF($B$1+49&gt;90,AY175,(AY175+IF($B$1+49&lt;=$B175,12*$B$9,-12*$B$8*(1+$B$4)^49))*IF(AY175+IF($B$1+49&lt;=$B175,12*$B$9,-12*$B$8*(1+$B$4)^49)&gt;0,1+$B$3,1))</f>
        <v/>
      </c>
      <c r="BA175">
        <f>IF($B$1+50&gt;90,AZ175,(AZ175+IF($B$1+50&lt;=$B175,12*$B$9,-12*$B$8*(1+$B$4)^50))*IF(AZ175+IF($B$1+50&lt;=$B175,12*$B$9,-12*$B$8*(1+$B$4)^50)&gt;0,1+$B$3,1))</f>
        <v/>
      </c>
      <c r="BB175">
        <f>IF($B$1+51&gt;90,BA175,(BA175+IF($B$1+51&lt;=$B175,12*$B$9,-12*$B$8*(1+$B$4)^51))*IF(BA175+IF($B$1+51&lt;=$B175,12*$B$9,-12*$B$8*(1+$B$4)^51)&gt;0,1+$B$3,1))</f>
        <v/>
      </c>
      <c r="BC175">
        <f>IF($B$1+52&gt;90,BB175,(BB175+IF($B$1+52&lt;=$B175,12*$B$9,-12*$B$8*(1+$B$4)^52))*IF(BB175+IF($B$1+52&lt;=$B175,12*$B$9,-12*$B$8*(1+$B$4)^52)&gt;0,1+$B$3,1))</f>
        <v/>
      </c>
      <c r="BD175">
        <f>IF($B$1+53&gt;90,BC175,(BC175+IF($B$1+53&lt;=$B175,12*$B$9,-12*$B$8*(1+$B$4)^53))*IF(BC175+IF($B$1+53&lt;=$B175,12*$B$9,-12*$B$8*(1+$B$4)^53)&gt;0,1+$B$3,1))</f>
        <v/>
      </c>
      <c r="BE175">
        <f>IF($B$1+54&gt;90,BD175,(BD175+IF($B$1+54&lt;=$B175,12*$B$9,-12*$B$8*(1+$B$4)^54))*IF(BD175+IF($B$1+54&lt;=$B175,12*$B$9,-12*$B$8*(1+$B$4)^54)&gt;0,1+$B$3,1))</f>
        <v/>
      </c>
      <c r="BF175">
        <f>IF($B$1+55&gt;90,BE175,(BE175+IF($B$1+55&lt;=$B175,12*$B$9,-12*$B$8*(1+$B$4)^55))*IF(BE175+IF($B$1+55&lt;=$B175,12*$B$9,-12*$B$8*(1+$B$4)^55)&gt;0,1+$B$3,1))</f>
        <v/>
      </c>
      <c r="BG175">
        <f>IF($B$1+56&gt;90,BF175,(BF175+IF($B$1+56&lt;=$B175,12*$B$9,-12*$B$8*(1+$B$4)^56))*IF(BF175+IF($B$1+56&lt;=$B175,12*$B$9,-12*$B$8*(1+$B$4)^56)&gt;0,1+$B$3,1))</f>
        <v/>
      </c>
      <c r="BH175">
        <f>IF($B$1+57&gt;90,BG175,(BG175+IF($B$1+57&lt;=$B175,12*$B$9,-12*$B$8*(1+$B$4)^57))*IF(BG175+IF($B$1+57&lt;=$B175,12*$B$9,-12*$B$8*(1+$B$4)^57)&gt;0,1+$B$3,1))</f>
        <v/>
      </c>
      <c r="BI175">
        <f>IF($B$1+58&gt;90,BH175,(BH175+IF($B$1+58&lt;=$B175,12*$B$9,-12*$B$8*(1+$B$4)^58))*IF(BH175+IF($B$1+58&lt;=$B175,12*$B$9,-12*$B$8*(1+$B$4)^58)&gt;0,1+$B$3,1))</f>
        <v/>
      </c>
      <c r="BJ175">
        <f>IF($B$1+59&gt;90,BI175,(BI175+IF($B$1+59&lt;=$B175,12*$B$9,-12*$B$8*(1+$B$4)^59))*IF(BI175+IF($B$1+59&lt;=$B175,12*$B$9,-12*$B$8*(1+$B$4)^59)&gt;0,1+$B$3,1))</f>
        <v/>
      </c>
      <c r="BK175">
        <f>IF($B$1+60&gt;90,BJ175,(BJ175+IF($B$1+60&lt;=$B175,12*$B$9,-12*$B$8*(1+$B$4)^60))*IF(BJ175+IF($B$1+60&lt;=$B175,12*$B$9,-12*$B$8*(1+$B$4)^60)&gt;0,1+$B$3,1))</f>
        <v/>
      </c>
      <c r="BL175">
        <f>IF($B$1+61&gt;90,BK175,(BK175+IF($B$1+61&lt;=$B175,12*$B$9,-12*$B$8*(1+$B$4)^61))*IF(BK175+IF($B$1+61&lt;=$B175,12*$B$9,-12*$B$8*(1+$B$4)^61)&gt;0,1+$B$3,1))</f>
        <v/>
      </c>
      <c r="BM175">
        <f>IF($B$1+62&gt;90,BL175,(BL175+IF($B$1+62&lt;=$B175,12*$B$9,-12*$B$8*(1+$B$4)^62))*IF(BL175+IF($B$1+62&lt;=$B175,12*$B$9,-12*$B$8*(1+$B$4)^62)&gt;0,1+$B$3,1))</f>
        <v/>
      </c>
      <c r="BN175">
        <f>IF($B$1+63&gt;90,BM175,(BM175+IF($B$1+63&lt;=$B175,12*$B$9,-12*$B$8*(1+$B$4)^63))*IF(BM175+IF($B$1+63&lt;=$B175,12*$B$9,-12*$B$8*(1+$B$4)^63)&gt;0,1+$B$3,1))</f>
        <v/>
      </c>
      <c r="BO175">
        <f>IF($B$1+64&gt;90,BN175,(BN175+IF($B$1+64&lt;=$B175,12*$B$9,-12*$B$8*(1+$B$4)^64))*IF(BN175+IF($B$1+64&lt;=$B175,12*$B$9,-12*$B$8*(1+$B$4)^64)&gt;0,1+$B$3,1))</f>
        <v/>
      </c>
      <c r="BP175">
        <f>IF($B$1+65&gt;90,BO175,(BO175+IF($B$1+65&lt;=$B175,12*$B$9,-12*$B$8*(1+$B$4)^65))*IF(BO175+IF($B$1+65&lt;=$B175,12*$B$9,-12*$B$8*(1+$B$4)^65)&gt;0,1+$B$3,1))</f>
        <v/>
      </c>
      <c r="BQ175">
        <f>IF($B$1+66&gt;90,BP175,(BP175+IF($B$1+66&lt;=$B175,12*$B$9,-12*$B$8*(1+$B$4)^66))*IF(BP175+IF($B$1+66&lt;=$B175,12*$B$9,-12*$B$8*(1+$B$4)^66)&gt;0,1+$B$3,1))</f>
        <v/>
      </c>
      <c r="BR175">
        <f>IF($B$1+67&gt;90,BQ175,(BQ175+IF($B$1+67&lt;=$B175,12*$B$9,-12*$B$8*(1+$B$4)^67))*IF(BQ175+IF($B$1+67&lt;=$B175,12*$B$9,-12*$B$8*(1+$B$4)^67)&gt;0,1+$B$3,1))</f>
        <v/>
      </c>
      <c r="BS175">
        <f>IF($B$1+68&gt;90,BR175,(BR175+IF($B$1+68&lt;=$B175,12*$B$9,-12*$B$8*(1+$B$4)^68))*IF(BR175+IF($B$1+68&lt;=$B175,12*$B$9,-12*$B$8*(1+$B$4)^68)&gt;0,1+$B$3,1))</f>
        <v/>
      </c>
      <c r="BT175">
        <f>IF($B$1+69&gt;90,BS175,(BS175+IF($B$1+69&lt;=$B175,12*$B$9,-12*$B$8*(1+$B$4)^69))*IF(BS175+IF($B$1+69&lt;=$B175,12*$B$9,-12*$B$8*(1+$B$4)^69)&gt;0,1+$B$3,1))</f>
        <v/>
      </c>
      <c r="BU175">
        <f>IF($B$1+70&gt;90,BT175,(BT175+IF($B$1+70&lt;=$B175,12*$B$9,-12*$B$8*(1+$B$4)^70))*IF(BT175+IF($B$1+70&lt;=$B175,12*$B$9,-12*$B$8*(1+$B$4)^70)&gt;0,1+$B$3,1))</f>
        <v/>
      </c>
      <c r="BV175">
        <f>BU175</f>
        <v/>
      </c>
      <c r="BW175">
        <f>IF(AND($B175&lt;=70,BV175&gt;0),$B175,999)</f>
        <v/>
      </c>
    </row>
    <row r="176">
      <c r="A176" t="n">
        <v>24</v>
      </c>
      <c r="B176">
        <f>$B$1+24</f>
        <v/>
      </c>
      <c r="C176">
        <f>$B$2</f>
        <v/>
      </c>
      <c r="D176">
        <f>IF($B$1+1&gt;90,C176,(C176+IF($B$1+1&lt;=$B176,12*$B$9,-12*$B$8*(1+$B$4)^1))*IF(C176+IF($B$1+1&lt;=$B176,12*$B$9,-12*$B$8*(1+$B$4)^1)&gt;0,1+$B$3,1))</f>
        <v/>
      </c>
      <c r="E176">
        <f>IF($B$1+2&gt;90,D176,(D176+IF($B$1+2&lt;=$B176,12*$B$9,-12*$B$8*(1+$B$4)^2))*IF(D176+IF($B$1+2&lt;=$B176,12*$B$9,-12*$B$8*(1+$B$4)^2)&gt;0,1+$B$3,1))</f>
        <v/>
      </c>
      <c r="F176">
        <f>IF($B$1+3&gt;90,E176,(E176+IF($B$1+3&lt;=$B176,12*$B$9,-12*$B$8*(1+$B$4)^3))*IF(E176+IF($B$1+3&lt;=$B176,12*$B$9,-12*$B$8*(1+$B$4)^3)&gt;0,1+$B$3,1))</f>
        <v/>
      </c>
      <c r="G176">
        <f>IF($B$1+4&gt;90,F176,(F176+IF($B$1+4&lt;=$B176,12*$B$9,-12*$B$8*(1+$B$4)^4))*IF(F176+IF($B$1+4&lt;=$B176,12*$B$9,-12*$B$8*(1+$B$4)^4)&gt;0,1+$B$3,1))</f>
        <v/>
      </c>
      <c r="H176">
        <f>IF($B$1+5&gt;90,G176,(G176+IF($B$1+5&lt;=$B176,12*$B$9,-12*$B$8*(1+$B$4)^5))*IF(G176+IF($B$1+5&lt;=$B176,12*$B$9,-12*$B$8*(1+$B$4)^5)&gt;0,1+$B$3,1))</f>
        <v/>
      </c>
      <c r="I176">
        <f>IF($B$1+6&gt;90,H176,(H176+IF($B$1+6&lt;=$B176,12*$B$9,-12*$B$8*(1+$B$4)^6))*IF(H176+IF($B$1+6&lt;=$B176,12*$B$9,-12*$B$8*(1+$B$4)^6)&gt;0,1+$B$3,1))</f>
        <v/>
      </c>
      <c r="J176">
        <f>IF($B$1+7&gt;90,I176,(I176+IF($B$1+7&lt;=$B176,12*$B$9,-12*$B$8*(1+$B$4)^7))*IF(I176+IF($B$1+7&lt;=$B176,12*$B$9,-12*$B$8*(1+$B$4)^7)&gt;0,1+$B$3,1))</f>
        <v/>
      </c>
      <c r="K176">
        <f>IF($B$1+8&gt;90,J176,(J176+IF($B$1+8&lt;=$B176,12*$B$9,-12*$B$8*(1+$B$4)^8))*IF(J176+IF($B$1+8&lt;=$B176,12*$B$9,-12*$B$8*(1+$B$4)^8)&gt;0,1+$B$3,1))</f>
        <v/>
      </c>
      <c r="L176">
        <f>IF($B$1+9&gt;90,K176,(K176+IF($B$1+9&lt;=$B176,12*$B$9,-12*$B$8*(1+$B$4)^9))*IF(K176+IF($B$1+9&lt;=$B176,12*$B$9,-12*$B$8*(1+$B$4)^9)&gt;0,1+$B$3,1))</f>
        <v/>
      </c>
      <c r="M176">
        <f>IF($B$1+10&gt;90,L176,(L176+IF($B$1+10&lt;=$B176,12*$B$9,-12*$B$8*(1+$B$4)^10))*IF(L176+IF($B$1+10&lt;=$B176,12*$B$9,-12*$B$8*(1+$B$4)^10)&gt;0,1+$B$3,1))</f>
        <v/>
      </c>
      <c r="N176">
        <f>IF($B$1+11&gt;90,M176,(M176+IF($B$1+11&lt;=$B176,12*$B$9,-12*$B$8*(1+$B$4)^11))*IF(M176+IF($B$1+11&lt;=$B176,12*$B$9,-12*$B$8*(1+$B$4)^11)&gt;0,1+$B$3,1))</f>
        <v/>
      </c>
      <c r="O176">
        <f>IF($B$1+12&gt;90,N176,(N176+IF($B$1+12&lt;=$B176,12*$B$9,-12*$B$8*(1+$B$4)^12))*IF(N176+IF($B$1+12&lt;=$B176,12*$B$9,-12*$B$8*(1+$B$4)^12)&gt;0,1+$B$3,1))</f>
        <v/>
      </c>
      <c r="P176">
        <f>IF($B$1+13&gt;90,O176,(O176+IF($B$1+13&lt;=$B176,12*$B$9,-12*$B$8*(1+$B$4)^13))*IF(O176+IF($B$1+13&lt;=$B176,12*$B$9,-12*$B$8*(1+$B$4)^13)&gt;0,1+$B$3,1))</f>
        <v/>
      </c>
      <c r="Q176">
        <f>IF($B$1+14&gt;90,P176,(P176+IF($B$1+14&lt;=$B176,12*$B$9,-12*$B$8*(1+$B$4)^14))*IF(P176+IF($B$1+14&lt;=$B176,12*$B$9,-12*$B$8*(1+$B$4)^14)&gt;0,1+$B$3,1))</f>
        <v/>
      </c>
      <c r="R176">
        <f>IF($B$1+15&gt;90,Q176,(Q176+IF($B$1+15&lt;=$B176,12*$B$9,-12*$B$8*(1+$B$4)^15))*IF(Q176+IF($B$1+15&lt;=$B176,12*$B$9,-12*$B$8*(1+$B$4)^15)&gt;0,1+$B$3,1))</f>
        <v/>
      </c>
      <c r="S176">
        <f>IF($B$1+16&gt;90,R176,(R176+IF($B$1+16&lt;=$B176,12*$B$9,-12*$B$8*(1+$B$4)^16))*IF(R176+IF($B$1+16&lt;=$B176,12*$B$9,-12*$B$8*(1+$B$4)^16)&gt;0,1+$B$3,1))</f>
        <v/>
      </c>
      <c r="T176">
        <f>IF($B$1+17&gt;90,S176,(S176+IF($B$1+17&lt;=$B176,12*$B$9,-12*$B$8*(1+$B$4)^17))*IF(S176+IF($B$1+17&lt;=$B176,12*$B$9,-12*$B$8*(1+$B$4)^17)&gt;0,1+$B$3,1))</f>
        <v/>
      </c>
      <c r="U176">
        <f>IF($B$1+18&gt;90,T176,(T176+IF($B$1+18&lt;=$B176,12*$B$9,-12*$B$8*(1+$B$4)^18))*IF(T176+IF($B$1+18&lt;=$B176,12*$B$9,-12*$B$8*(1+$B$4)^18)&gt;0,1+$B$3,1))</f>
        <v/>
      </c>
      <c r="V176">
        <f>IF($B$1+19&gt;90,U176,(U176+IF($B$1+19&lt;=$B176,12*$B$9,-12*$B$8*(1+$B$4)^19))*IF(U176+IF($B$1+19&lt;=$B176,12*$B$9,-12*$B$8*(1+$B$4)^19)&gt;0,1+$B$3,1))</f>
        <v/>
      </c>
      <c r="W176">
        <f>IF($B$1+20&gt;90,V176,(V176+IF($B$1+20&lt;=$B176,12*$B$9,-12*$B$8*(1+$B$4)^20))*IF(V176+IF($B$1+20&lt;=$B176,12*$B$9,-12*$B$8*(1+$B$4)^20)&gt;0,1+$B$3,1))</f>
        <v/>
      </c>
      <c r="X176">
        <f>IF($B$1+21&gt;90,W176,(W176+IF($B$1+21&lt;=$B176,12*$B$9,-12*$B$8*(1+$B$4)^21))*IF(W176+IF($B$1+21&lt;=$B176,12*$B$9,-12*$B$8*(1+$B$4)^21)&gt;0,1+$B$3,1))</f>
        <v/>
      </c>
      <c r="Y176">
        <f>IF($B$1+22&gt;90,X176,(X176+IF($B$1+22&lt;=$B176,12*$B$9,-12*$B$8*(1+$B$4)^22))*IF(X176+IF($B$1+22&lt;=$B176,12*$B$9,-12*$B$8*(1+$B$4)^22)&gt;0,1+$B$3,1))</f>
        <v/>
      </c>
      <c r="Z176">
        <f>IF($B$1+23&gt;90,Y176,(Y176+IF($B$1+23&lt;=$B176,12*$B$9,-12*$B$8*(1+$B$4)^23))*IF(Y176+IF($B$1+23&lt;=$B176,12*$B$9,-12*$B$8*(1+$B$4)^23)&gt;0,1+$B$3,1))</f>
        <v/>
      </c>
      <c r="AA176">
        <f>IF($B$1+24&gt;90,Z176,(Z176+IF($B$1+24&lt;=$B176,12*$B$9,-12*$B$8*(1+$B$4)^24))*IF(Z176+IF($B$1+24&lt;=$B176,12*$B$9,-12*$B$8*(1+$B$4)^24)&gt;0,1+$B$3,1))</f>
        <v/>
      </c>
      <c r="AB176">
        <f>IF($B$1+25&gt;90,AA176,(AA176+IF($B$1+25&lt;=$B176,12*$B$9,-12*$B$8*(1+$B$4)^25))*IF(AA176+IF($B$1+25&lt;=$B176,12*$B$9,-12*$B$8*(1+$B$4)^25)&gt;0,1+$B$3,1))</f>
        <v/>
      </c>
      <c r="AC176">
        <f>IF($B$1+26&gt;90,AB176,(AB176+IF($B$1+26&lt;=$B176,12*$B$9,-12*$B$8*(1+$B$4)^26))*IF(AB176+IF($B$1+26&lt;=$B176,12*$B$9,-12*$B$8*(1+$B$4)^26)&gt;0,1+$B$3,1))</f>
        <v/>
      </c>
      <c r="AD176">
        <f>IF($B$1+27&gt;90,AC176,(AC176+IF($B$1+27&lt;=$B176,12*$B$9,-12*$B$8*(1+$B$4)^27))*IF(AC176+IF($B$1+27&lt;=$B176,12*$B$9,-12*$B$8*(1+$B$4)^27)&gt;0,1+$B$3,1))</f>
        <v/>
      </c>
      <c r="AE176">
        <f>IF($B$1+28&gt;90,AD176,(AD176+IF($B$1+28&lt;=$B176,12*$B$9,-12*$B$8*(1+$B$4)^28))*IF(AD176+IF($B$1+28&lt;=$B176,12*$B$9,-12*$B$8*(1+$B$4)^28)&gt;0,1+$B$3,1))</f>
        <v/>
      </c>
      <c r="AF176">
        <f>IF($B$1+29&gt;90,AE176,(AE176+IF($B$1+29&lt;=$B176,12*$B$9,-12*$B$8*(1+$B$4)^29))*IF(AE176+IF($B$1+29&lt;=$B176,12*$B$9,-12*$B$8*(1+$B$4)^29)&gt;0,1+$B$3,1))</f>
        <v/>
      </c>
      <c r="AG176">
        <f>IF($B$1+30&gt;90,AF176,(AF176+IF($B$1+30&lt;=$B176,12*$B$9,-12*$B$8*(1+$B$4)^30))*IF(AF176+IF($B$1+30&lt;=$B176,12*$B$9,-12*$B$8*(1+$B$4)^30)&gt;0,1+$B$3,1))</f>
        <v/>
      </c>
      <c r="AH176">
        <f>IF($B$1+31&gt;90,AG176,(AG176+IF($B$1+31&lt;=$B176,12*$B$9,-12*$B$8*(1+$B$4)^31))*IF(AG176+IF($B$1+31&lt;=$B176,12*$B$9,-12*$B$8*(1+$B$4)^31)&gt;0,1+$B$3,1))</f>
        <v/>
      </c>
      <c r="AI176">
        <f>IF($B$1+32&gt;90,AH176,(AH176+IF($B$1+32&lt;=$B176,12*$B$9,-12*$B$8*(1+$B$4)^32))*IF(AH176+IF($B$1+32&lt;=$B176,12*$B$9,-12*$B$8*(1+$B$4)^32)&gt;0,1+$B$3,1))</f>
        <v/>
      </c>
      <c r="AJ176">
        <f>IF($B$1+33&gt;90,AI176,(AI176+IF($B$1+33&lt;=$B176,12*$B$9,-12*$B$8*(1+$B$4)^33))*IF(AI176+IF($B$1+33&lt;=$B176,12*$B$9,-12*$B$8*(1+$B$4)^33)&gt;0,1+$B$3,1))</f>
        <v/>
      </c>
      <c r="AK176">
        <f>IF($B$1+34&gt;90,AJ176,(AJ176+IF($B$1+34&lt;=$B176,12*$B$9,-12*$B$8*(1+$B$4)^34))*IF(AJ176+IF($B$1+34&lt;=$B176,12*$B$9,-12*$B$8*(1+$B$4)^34)&gt;0,1+$B$3,1))</f>
        <v/>
      </c>
      <c r="AL176">
        <f>IF($B$1+35&gt;90,AK176,(AK176+IF($B$1+35&lt;=$B176,12*$B$9,-12*$B$8*(1+$B$4)^35))*IF(AK176+IF($B$1+35&lt;=$B176,12*$B$9,-12*$B$8*(1+$B$4)^35)&gt;0,1+$B$3,1))</f>
        <v/>
      </c>
      <c r="AM176">
        <f>IF($B$1+36&gt;90,AL176,(AL176+IF($B$1+36&lt;=$B176,12*$B$9,-12*$B$8*(1+$B$4)^36))*IF(AL176+IF($B$1+36&lt;=$B176,12*$B$9,-12*$B$8*(1+$B$4)^36)&gt;0,1+$B$3,1))</f>
        <v/>
      </c>
      <c r="AN176">
        <f>IF($B$1+37&gt;90,AM176,(AM176+IF($B$1+37&lt;=$B176,12*$B$9,-12*$B$8*(1+$B$4)^37))*IF(AM176+IF($B$1+37&lt;=$B176,12*$B$9,-12*$B$8*(1+$B$4)^37)&gt;0,1+$B$3,1))</f>
        <v/>
      </c>
      <c r="AO176">
        <f>IF($B$1+38&gt;90,AN176,(AN176+IF($B$1+38&lt;=$B176,12*$B$9,-12*$B$8*(1+$B$4)^38))*IF(AN176+IF($B$1+38&lt;=$B176,12*$B$9,-12*$B$8*(1+$B$4)^38)&gt;0,1+$B$3,1))</f>
        <v/>
      </c>
      <c r="AP176">
        <f>IF($B$1+39&gt;90,AO176,(AO176+IF($B$1+39&lt;=$B176,12*$B$9,-12*$B$8*(1+$B$4)^39))*IF(AO176+IF($B$1+39&lt;=$B176,12*$B$9,-12*$B$8*(1+$B$4)^39)&gt;0,1+$B$3,1))</f>
        <v/>
      </c>
      <c r="AQ176">
        <f>IF($B$1+40&gt;90,AP176,(AP176+IF($B$1+40&lt;=$B176,12*$B$9,-12*$B$8*(1+$B$4)^40))*IF(AP176+IF($B$1+40&lt;=$B176,12*$B$9,-12*$B$8*(1+$B$4)^40)&gt;0,1+$B$3,1))</f>
        <v/>
      </c>
      <c r="AR176">
        <f>IF($B$1+41&gt;90,AQ176,(AQ176+IF($B$1+41&lt;=$B176,12*$B$9,-12*$B$8*(1+$B$4)^41))*IF(AQ176+IF($B$1+41&lt;=$B176,12*$B$9,-12*$B$8*(1+$B$4)^41)&gt;0,1+$B$3,1))</f>
        <v/>
      </c>
      <c r="AS176">
        <f>IF($B$1+42&gt;90,AR176,(AR176+IF($B$1+42&lt;=$B176,12*$B$9,-12*$B$8*(1+$B$4)^42))*IF(AR176+IF($B$1+42&lt;=$B176,12*$B$9,-12*$B$8*(1+$B$4)^42)&gt;0,1+$B$3,1))</f>
        <v/>
      </c>
      <c r="AT176">
        <f>IF($B$1+43&gt;90,AS176,(AS176+IF($B$1+43&lt;=$B176,12*$B$9,-12*$B$8*(1+$B$4)^43))*IF(AS176+IF($B$1+43&lt;=$B176,12*$B$9,-12*$B$8*(1+$B$4)^43)&gt;0,1+$B$3,1))</f>
        <v/>
      </c>
      <c r="AU176">
        <f>IF($B$1+44&gt;90,AT176,(AT176+IF($B$1+44&lt;=$B176,12*$B$9,-12*$B$8*(1+$B$4)^44))*IF(AT176+IF($B$1+44&lt;=$B176,12*$B$9,-12*$B$8*(1+$B$4)^44)&gt;0,1+$B$3,1))</f>
        <v/>
      </c>
      <c r="AV176">
        <f>IF($B$1+45&gt;90,AU176,(AU176+IF($B$1+45&lt;=$B176,12*$B$9,-12*$B$8*(1+$B$4)^45))*IF(AU176+IF($B$1+45&lt;=$B176,12*$B$9,-12*$B$8*(1+$B$4)^45)&gt;0,1+$B$3,1))</f>
        <v/>
      </c>
      <c r="AW176">
        <f>IF($B$1+46&gt;90,AV176,(AV176+IF($B$1+46&lt;=$B176,12*$B$9,-12*$B$8*(1+$B$4)^46))*IF(AV176+IF($B$1+46&lt;=$B176,12*$B$9,-12*$B$8*(1+$B$4)^46)&gt;0,1+$B$3,1))</f>
        <v/>
      </c>
      <c r="AX176">
        <f>IF($B$1+47&gt;90,AW176,(AW176+IF($B$1+47&lt;=$B176,12*$B$9,-12*$B$8*(1+$B$4)^47))*IF(AW176+IF($B$1+47&lt;=$B176,12*$B$9,-12*$B$8*(1+$B$4)^47)&gt;0,1+$B$3,1))</f>
        <v/>
      </c>
      <c r="AY176">
        <f>IF($B$1+48&gt;90,AX176,(AX176+IF($B$1+48&lt;=$B176,12*$B$9,-12*$B$8*(1+$B$4)^48))*IF(AX176+IF($B$1+48&lt;=$B176,12*$B$9,-12*$B$8*(1+$B$4)^48)&gt;0,1+$B$3,1))</f>
        <v/>
      </c>
      <c r="AZ176">
        <f>IF($B$1+49&gt;90,AY176,(AY176+IF($B$1+49&lt;=$B176,12*$B$9,-12*$B$8*(1+$B$4)^49))*IF(AY176+IF($B$1+49&lt;=$B176,12*$B$9,-12*$B$8*(1+$B$4)^49)&gt;0,1+$B$3,1))</f>
        <v/>
      </c>
      <c r="BA176">
        <f>IF($B$1+50&gt;90,AZ176,(AZ176+IF($B$1+50&lt;=$B176,12*$B$9,-12*$B$8*(1+$B$4)^50))*IF(AZ176+IF($B$1+50&lt;=$B176,12*$B$9,-12*$B$8*(1+$B$4)^50)&gt;0,1+$B$3,1))</f>
        <v/>
      </c>
      <c r="BB176">
        <f>IF($B$1+51&gt;90,BA176,(BA176+IF($B$1+51&lt;=$B176,12*$B$9,-12*$B$8*(1+$B$4)^51))*IF(BA176+IF($B$1+51&lt;=$B176,12*$B$9,-12*$B$8*(1+$B$4)^51)&gt;0,1+$B$3,1))</f>
        <v/>
      </c>
      <c r="BC176">
        <f>IF($B$1+52&gt;90,BB176,(BB176+IF($B$1+52&lt;=$B176,12*$B$9,-12*$B$8*(1+$B$4)^52))*IF(BB176+IF($B$1+52&lt;=$B176,12*$B$9,-12*$B$8*(1+$B$4)^52)&gt;0,1+$B$3,1))</f>
        <v/>
      </c>
      <c r="BD176">
        <f>IF($B$1+53&gt;90,BC176,(BC176+IF($B$1+53&lt;=$B176,12*$B$9,-12*$B$8*(1+$B$4)^53))*IF(BC176+IF($B$1+53&lt;=$B176,12*$B$9,-12*$B$8*(1+$B$4)^53)&gt;0,1+$B$3,1))</f>
        <v/>
      </c>
      <c r="BE176">
        <f>IF($B$1+54&gt;90,BD176,(BD176+IF($B$1+54&lt;=$B176,12*$B$9,-12*$B$8*(1+$B$4)^54))*IF(BD176+IF($B$1+54&lt;=$B176,12*$B$9,-12*$B$8*(1+$B$4)^54)&gt;0,1+$B$3,1))</f>
        <v/>
      </c>
      <c r="BF176">
        <f>IF($B$1+55&gt;90,BE176,(BE176+IF($B$1+55&lt;=$B176,12*$B$9,-12*$B$8*(1+$B$4)^55))*IF(BE176+IF($B$1+55&lt;=$B176,12*$B$9,-12*$B$8*(1+$B$4)^55)&gt;0,1+$B$3,1))</f>
        <v/>
      </c>
      <c r="BG176">
        <f>IF($B$1+56&gt;90,BF176,(BF176+IF($B$1+56&lt;=$B176,12*$B$9,-12*$B$8*(1+$B$4)^56))*IF(BF176+IF($B$1+56&lt;=$B176,12*$B$9,-12*$B$8*(1+$B$4)^56)&gt;0,1+$B$3,1))</f>
        <v/>
      </c>
      <c r="BH176">
        <f>IF($B$1+57&gt;90,BG176,(BG176+IF($B$1+57&lt;=$B176,12*$B$9,-12*$B$8*(1+$B$4)^57))*IF(BG176+IF($B$1+57&lt;=$B176,12*$B$9,-12*$B$8*(1+$B$4)^57)&gt;0,1+$B$3,1))</f>
        <v/>
      </c>
      <c r="BI176">
        <f>IF($B$1+58&gt;90,BH176,(BH176+IF($B$1+58&lt;=$B176,12*$B$9,-12*$B$8*(1+$B$4)^58))*IF(BH176+IF($B$1+58&lt;=$B176,12*$B$9,-12*$B$8*(1+$B$4)^58)&gt;0,1+$B$3,1))</f>
        <v/>
      </c>
      <c r="BJ176">
        <f>IF($B$1+59&gt;90,BI176,(BI176+IF($B$1+59&lt;=$B176,12*$B$9,-12*$B$8*(1+$B$4)^59))*IF(BI176+IF($B$1+59&lt;=$B176,12*$B$9,-12*$B$8*(1+$B$4)^59)&gt;0,1+$B$3,1))</f>
        <v/>
      </c>
      <c r="BK176">
        <f>IF($B$1+60&gt;90,BJ176,(BJ176+IF($B$1+60&lt;=$B176,12*$B$9,-12*$B$8*(1+$B$4)^60))*IF(BJ176+IF($B$1+60&lt;=$B176,12*$B$9,-12*$B$8*(1+$B$4)^60)&gt;0,1+$B$3,1))</f>
        <v/>
      </c>
      <c r="BL176">
        <f>IF($B$1+61&gt;90,BK176,(BK176+IF($B$1+61&lt;=$B176,12*$B$9,-12*$B$8*(1+$B$4)^61))*IF(BK176+IF($B$1+61&lt;=$B176,12*$B$9,-12*$B$8*(1+$B$4)^61)&gt;0,1+$B$3,1))</f>
        <v/>
      </c>
      <c r="BM176">
        <f>IF($B$1+62&gt;90,BL176,(BL176+IF($B$1+62&lt;=$B176,12*$B$9,-12*$B$8*(1+$B$4)^62))*IF(BL176+IF($B$1+62&lt;=$B176,12*$B$9,-12*$B$8*(1+$B$4)^62)&gt;0,1+$B$3,1))</f>
        <v/>
      </c>
      <c r="BN176">
        <f>IF($B$1+63&gt;90,BM176,(BM176+IF($B$1+63&lt;=$B176,12*$B$9,-12*$B$8*(1+$B$4)^63))*IF(BM176+IF($B$1+63&lt;=$B176,12*$B$9,-12*$B$8*(1+$B$4)^63)&gt;0,1+$B$3,1))</f>
        <v/>
      </c>
      <c r="BO176">
        <f>IF($B$1+64&gt;90,BN176,(BN176+IF($B$1+64&lt;=$B176,12*$B$9,-12*$B$8*(1+$B$4)^64))*IF(BN176+IF($B$1+64&lt;=$B176,12*$B$9,-12*$B$8*(1+$B$4)^64)&gt;0,1+$B$3,1))</f>
        <v/>
      </c>
      <c r="BP176">
        <f>IF($B$1+65&gt;90,BO176,(BO176+IF($B$1+65&lt;=$B176,12*$B$9,-12*$B$8*(1+$B$4)^65))*IF(BO176+IF($B$1+65&lt;=$B176,12*$B$9,-12*$B$8*(1+$B$4)^65)&gt;0,1+$B$3,1))</f>
        <v/>
      </c>
      <c r="BQ176">
        <f>IF($B$1+66&gt;90,BP176,(BP176+IF($B$1+66&lt;=$B176,12*$B$9,-12*$B$8*(1+$B$4)^66))*IF(BP176+IF($B$1+66&lt;=$B176,12*$B$9,-12*$B$8*(1+$B$4)^66)&gt;0,1+$B$3,1))</f>
        <v/>
      </c>
      <c r="BR176">
        <f>IF($B$1+67&gt;90,BQ176,(BQ176+IF($B$1+67&lt;=$B176,12*$B$9,-12*$B$8*(1+$B$4)^67))*IF(BQ176+IF($B$1+67&lt;=$B176,12*$B$9,-12*$B$8*(1+$B$4)^67)&gt;0,1+$B$3,1))</f>
        <v/>
      </c>
      <c r="BS176">
        <f>IF($B$1+68&gt;90,BR176,(BR176+IF($B$1+68&lt;=$B176,12*$B$9,-12*$B$8*(1+$B$4)^68))*IF(BR176+IF($B$1+68&lt;=$B176,12*$B$9,-12*$B$8*(1+$B$4)^68)&gt;0,1+$B$3,1))</f>
        <v/>
      </c>
      <c r="BT176">
        <f>IF($B$1+69&gt;90,BS176,(BS176+IF($B$1+69&lt;=$B176,12*$B$9,-12*$B$8*(1+$B$4)^69))*IF(BS176+IF($B$1+69&lt;=$B176,12*$B$9,-12*$B$8*(1+$B$4)^69)&gt;0,1+$B$3,1))</f>
        <v/>
      </c>
      <c r="BU176">
        <f>IF($B$1+70&gt;90,BT176,(BT176+IF($B$1+70&lt;=$B176,12*$B$9,-12*$B$8*(1+$B$4)^70))*IF(BT176+IF($B$1+70&lt;=$B176,12*$B$9,-12*$B$8*(1+$B$4)^70)&gt;0,1+$B$3,1))</f>
        <v/>
      </c>
      <c r="BV176">
        <f>BU176</f>
        <v/>
      </c>
      <c r="BW176">
        <f>IF(AND($B176&lt;=70,BV176&gt;0),$B176,999)</f>
        <v/>
      </c>
    </row>
    <row r="177">
      <c r="A177" t="n">
        <v>25</v>
      </c>
      <c r="B177">
        <f>$B$1+25</f>
        <v/>
      </c>
      <c r="C177">
        <f>$B$2</f>
        <v/>
      </c>
      <c r="D177">
        <f>IF($B$1+1&gt;90,C177,(C177+IF($B$1+1&lt;=$B177,12*$B$9,-12*$B$8*(1+$B$4)^1))*IF(C177+IF($B$1+1&lt;=$B177,12*$B$9,-12*$B$8*(1+$B$4)^1)&gt;0,1+$B$3,1))</f>
        <v/>
      </c>
      <c r="E177">
        <f>IF($B$1+2&gt;90,D177,(D177+IF($B$1+2&lt;=$B177,12*$B$9,-12*$B$8*(1+$B$4)^2))*IF(D177+IF($B$1+2&lt;=$B177,12*$B$9,-12*$B$8*(1+$B$4)^2)&gt;0,1+$B$3,1))</f>
        <v/>
      </c>
      <c r="F177">
        <f>IF($B$1+3&gt;90,E177,(E177+IF($B$1+3&lt;=$B177,12*$B$9,-12*$B$8*(1+$B$4)^3))*IF(E177+IF($B$1+3&lt;=$B177,12*$B$9,-12*$B$8*(1+$B$4)^3)&gt;0,1+$B$3,1))</f>
        <v/>
      </c>
      <c r="G177">
        <f>IF($B$1+4&gt;90,F177,(F177+IF($B$1+4&lt;=$B177,12*$B$9,-12*$B$8*(1+$B$4)^4))*IF(F177+IF($B$1+4&lt;=$B177,12*$B$9,-12*$B$8*(1+$B$4)^4)&gt;0,1+$B$3,1))</f>
        <v/>
      </c>
      <c r="H177">
        <f>IF($B$1+5&gt;90,G177,(G177+IF($B$1+5&lt;=$B177,12*$B$9,-12*$B$8*(1+$B$4)^5))*IF(G177+IF($B$1+5&lt;=$B177,12*$B$9,-12*$B$8*(1+$B$4)^5)&gt;0,1+$B$3,1))</f>
        <v/>
      </c>
      <c r="I177">
        <f>IF($B$1+6&gt;90,H177,(H177+IF($B$1+6&lt;=$B177,12*$B$9,-12*$B$8*(1+$B$4)^6))*IF(H177+IF($B$1+6&lt;=$B177,12*$B$9,-12*$B$8*(1+$B$4)^6)&gt;0,1+$B$3,1))</f>
        <v/>
      </c>
      <c r="J177">
        <f>IF($B$1+7&gt;90,I177,(I177+IF($B$1+7&lt;=$B177,12*$B$9,-12*$B$8*(1+$B$4)^7))*IF(I177+IF($B$1+7&lt;=$B177,12*$B$9,-12*$B$8*(1+$B$4)^7)&gt;0,1+$B$3,1))</f>
        <v/>
      </c>
      <c r="K177">
        <f>IF($B$1+8&gt;90,J177,(J177+IF($B$1+8&lt;=$B177,12*$B$9,-12*$B$8*(1+$B$4)^8))*IF(J177+IF($B$1+8&lt;=$B177,12*$B$9,-12*$B$8*(1+$B$4)^8)&gt;0,1+$B$3,1))</f>
        <v/>
      </c>
      <c r="L177">
        <f>IF($B$1+9&gt;90,K177,(K177+IF($B$1+9&lt;=$B177,12*$B$9,-12*$B$8*(1+$B$4)^9))*IF(K177+IF($B$1+9&lt;=$B177,12*$B$9,-12*$B$8*(1+$B$4)^9)&gt;0,1+$B$3,1))</f>
        <v/>
      </c>
      <c r="M177">
        <f>IF($B$1+10&gt;90,L177,(L177+IF($B$1+10&lt;=$B177,12*$B$9,-12*$B$8*(1+$B$4)^10))*IF(L177+IF($B$1+10&lt;=$B177,12*$B$9,-12*$B$8*(1+$B$4)^10)&gt;0,1+$B$3,1))</f>
        <v/>
      </c>
      <c r="N177">
        <f>IF($B$1+11&gt;90,M177,(M177+IF($B$1+11&lt;=$B177,12*$B$9,-12*$B$8*(1+$B$4)^11))*IF(M177+IF($B$1+11&lt;=$B177,12*$B$9,-12*$B$8*(1+$B$4)^11)&gt;0,1+$B$3,1))</f>
        <v/>
      </c>
      <c r="O177">
        <f>IF($B$1+12&gt;90,N177,(N177+IF($B$1+12&lt;=$B177,12*$B$9,-12*$B$8*(1+$B$4)^12))*IF(N177+IF($B$1+12&lt;=$B177,12*$B$9,-12*$B$8*(1+$B$4)^12)&gt;0,1+$B$3,1))</f>
        <v/>
      </c>
      <c r="P177">
        <f>IF($B$1+13&gt;90,O177,(O177+IF($B$1+13&lt;=$B177,12*$B$9,-12*$B$8*(1+$B$4)^13))*IF(O177+IF($B$1+13&lt;=$B177,12*$B$9,-12*$B$8*(1+$B$4)^13)&gt;0,1+$B$3,1))</f>
        <v/>
      </c>
      <c r="Q177">
        <f>IF($B$1+14&gt;90,P177,(P177+IF($B$1+14&lt;=$B177,12*$B$9,-12*$B$8*(1+$B$4)^14))*IF(P177+IF($B$1+14&lt;=$B177,12*$B$9,-12*$B$8*(1+$B$4)^14)&gt;0,1+$B$3,1))</f>
        <v/>
      </c>
      <c r="R177">
        <f>IF($B$1+15&gt;90,Q177,(Q177+IF($B$1+15&lt;=$B177,12*$B$9,-12*$B$8*(1+$B$4)^15))*IF(Q177+IF($B$1+15&lt;=$B177,12*$B$9,-12*$B$8*(1+$B$4)^15)&gt;0,1+$B$3,1))</f>
        <v/>
      </c>
      <c r="S177">
        <f>IF($B$1+16&gt;90,R177,(R177+IF($B$1+16&lt;=$B177,12*$B$9,-12*$B$8*(1+$B$4)^16))*IF(R177+IF($B$1+16&lt;=$B177,12*$B$9,-12*$B$8*(1+$B$4)^16)&gt;0,1+$B$3,1))</f>
        <v/>
      </c>
      <c r="T177">
        <f>IF($B$1+17&gt;90,S177,(S177+IF($B$1+17&lt;=$B177,12*$B$9,-12*$B$8*(1+$B$4)^17))*IF(S177+IF($B$1+17&lt;=$B177,12*$B$9,-12*$B$8*(1+$B$4)^17)&gt;0,1+$B$3,1))</f>
        <v/>
      </c>
      <c r="U177">
        <f>IF($B$1+18&gt;90,T177,(T177+IF($B$1+18&lt;=$B177,12*$B$9,-12*$B$8*(1+$B$4)^18))*IF(T177+IF($B$1+18&lt;=$B177,12*$B$9,-12*$B$8*(1+$B$4)^18)&gt;0,1+$B$3,1))</f>
        <v/>
      </c>
      <c r="V177">
        <f>IF($B$1+19&gt;90,U177,(U177+IF($B$1+19&lt;=$B177,12*$B$9,-12*$B$8*(1+$B$4)^19))*IF(U177+IF($B$1+19&lt;=$B177,12*$B$9,-12*$B$8*(1+$B$4)^19)&gt;0,1+$B$3,1))</f>
        <v/>
      </c>
      <c r="W177">
        <f>IF($B$1+20&gt;90,V177,(V177+IF($B$1+20&lt;=$B177,12*$B$9,-12*$B$8*(1+$B$4)^20))*IF(V177+IF($B$1+20&lt;=$B177,12*$B$9,-12*$B$8*(1+$B$4)^20)&gt;0,1+$B$3,1))</f>
        <v/>
      </c>
      <c r="X177">
        <f>IF($B$1+21&gt;90,W177,(W177+IF($B$1+21&lt;=$B177,12*$B$9,-12*$B$8*(1+$B$4)^21))*IF(W177+IF($B$1+21&lt;=$B177,12*$B$9,-12*$B$8*(1+$B$4)^21)&gt;0,1+$B$3,1))</f>
        <v/>
      </c>
      <c r="Y177">
        <f>IF($B$1+22&gt;90,X177,(X177+IF($B$1+22&lt;=$B177,12*$B$9,-12*$B$8*(1+$B$4)^22))*IF(X177+IF($B$1+22&lt;=$B177,12*$B$9,-12*$B$8*(1+$B$4)^22)&gt;0,1+$B$3,1))</f>
        <v/>
      </c>
      <c r="Z177">
        <f>IF($B$1+23&gt;90,Y177,(Y177+IF($B$1+23&lt;=$B177,12*$B$9,-12*$B$8*(1+$B$4)^23))*IF(Y177+IF($B$1+23&lt;=$B177,12*$B$9,-12*$B$8*(1+$B$4)^23)&gt;0,1+$B$3,1))</f>
        <v/>
      </c>
      <c r="AA177">
        <f>IF($B$1+24&gt;90,Z177,(Z177+IF($B$1+24&lt;=$B177,12*$B$9,-12*$B$8*(1+$B$4)^24))*IF(Z177+IF($B$1+24&lt;=$B177,12*$B$9,-12*$B$8*(1+$B$4)^24)&gt;0,1+$B$3,1))</f>
        <v/>
      </c>
      <c r="AB177">
        <f>IF($B$1+25&gt;90,AA177,(AA177+IF($B$1+25&lt;=$B177,12*$B$9,-12*$B$8*(1+$B$4)^25))*IF(AA177+IF($B$1+25&lt;=$B177,12*$B$9,-12*$B$8*(1+$B$4)^25)&gt;0,1+$B$3,1))</f>
        <v/>
      </c>
      <c r="AC177">
        <f>IF($B$1+26&gt;90,AB177,(AB177+IF($B$1+26&lt;=$B177,12*$B$9,-12*$B$8*(1+$B$4)^26))*IF(AB177+IF($B$1+26&lt;=$B177,12*$B$9,-12*$B$8*(1+$B$4)^26)&gt;0,1+$B$3,1))</f>
        <v/>
      </c>
      <c r="AD177">
        <f>IF($B$1+27&gt;90,AC177,(AC177+IF($B$1+27&lt;=$B177,12*$B$9,-12*$B$8*(1+$B$4)^27))*IF(AC177+IF($B$1+27&lt;=$B177,12*$B$9,-12*$B$8*(1+$B$4)^27)&gt;0,1+$B$3,1))</f>
        <v/>
      </c>
      <c r="AE177">
        <f>IF($B$1+28&gt;90,AD177,(AD177+IF($B$1+28&lt;=$B177,12*$B$9,-12*$B$8*(1+$B$4)^28))*IF(AD177+IF($B$1+28&lt;=$B177,12*$B$9,-12*$B$8*(1+$B$4)^28)&gt;0,1+$B$3,1))</f>
        <v/>
      </c>
      <c r="AF177">
        <f>IF($B$1+29&gt;90,AE177,(AE177+IF($B$1+29&lt;=$B177,12*$B$9,-12*$B$8*(1+$B$4)^29))*IF(AE177+IF($B$1+29&lt;=$B177,12*$B$9,-12*$B$8*(1+$B$4)^29)&gt;0,1+$B$3,1))</f>
        <v/>
      </c>
      <c r="AG177">
        <f>IF($B$1+30&gt;90,AF177,(AF177+IF($B$1+30&lt;=$B177,12*$B$9,-12*$B$8*(1+$B$4)^30))*IF(AF177+IF($B$1+30&lt;=$B177,12*$B$9,-12*$B$8*(1+$B$4)^30)&gt;0,1+$B$3,1))</f>
        <v/>
      </c>
      <c r="AH177">
        <f>IF($B$1+31&gt;90,AG177,(AG177+IF($B$1+31&lt;=$B177,12*$B$9,-12*$B$8*(1+$B$4)^31))*IF(AG177+IF($B$1+31&lt;=$B177,12*$B$9,-12*$B$8*(1+$B$4)^31)&gt;0,1+$B$3,1))</f>
        <v/>
      </c>
      <c r="AI177">
        <f>IF($B$1+32&gt;90,AH177,(AH177+IF($B$1+32&lt;=$B177,12*$B$9,-12*$B$8*(1+$B$4)^32))*IF(AH177+IF($B$1+32&lt;=$B177,12*$B$9,-12*$B$8*(1+$B$4)^32)&gt;0,1+$B$3,1))</f>
        <v/>
      </c>
      <c r="AJ177">
        <f>IF($B$1+33&gt;90,AI177,(AI177+IF($B$1+33&lt;=$B177,12*$B$9,-12*$B$8*(1+$B$4)^33))*IF(AI177+IF($B$1+33&lt;=$B177,12*$B$9,-12*$B$8*(1+$B$4)^33)&gt;0,1+$B$3,1))</f>
        <v/>
      </c>
      <c r="AK177">
        <f>IF($B$1+34&gt;90,AJ177,(AJ177+IF($B$1+34&lt;=$B177,12*$B$9,-12*$B$8*(1+$B$4)^34))*IF(AJ177+IF($B$1+34&lt;=$B177,12*$B$9,-12*$B$8*(1+$B$4)^34)&gt;0,1+$B$3,1))</f>
        <v/>
      </c>
      <c r="AL177">
        <f>IF($B$1+35&gt;90,AK177,(AK177+IF($B$1+35&lt;=$B177,12*$B$9,-12*$B$8*(1+$B$4)^35))*IF(AK177+IF($B$1+35&lt;=$B177,12*$B$9,-12*$B$8*(1+$B$4)^35)&gt;0,1+$B$3,1))</f>
        <v/>
      </c>
      <c r="AM177">
        <f>IF($B$1+36&gt;90,AL177,(AL177+IF($B$1+36&lt;=$B177,12*$B$9,-12*$B$8*(1+$B$4)^36))*IF(AL177+IF($B$1+36&lt;=$B177,12*$B$9,-12*$B$8*(1+$B$4)^36)&gt;0,1+$B$3,1))</f>
        <v/>
      </c>
      <c r="AN177">
        <f>IF($B$1+37&gt;90,AM177,(AM177+IF($B$1+37&lt;=$B177,12*$B$9,-12*$B$8*(1+$B$4)^37))*IF(AM177+IF($B$1+37&lt;=$B177,12*$B$9,-12*$B$8*(1+$B$4)^37)&gt;0,1+$B$3,1))</f>
        <v/>
      </c>
      <c r="AO177">
        <f>IF($B$1+38&gt;90,AN177,(AN177+IF($B$1+38&lt;=$B177,12*$B$9,-12*$B$8*(1+$B$4)^38))*IF(AN177+IF($B$1+38&lt;=$B177,12*$B$9,-12*$B$8*(1+$B$4)^38)&gt;0,1+$B$3,1))</f>
        <v/>
      </c>
      <c r="AP177">
        <f>IF($B$1+39&gt;90,AO177,(AO177+IF($B$1+39&lt;=$B177,12*$B$9,-12*$B$8*(1+$B$4)^39))*IF(AO177+IF($B$1+39&lt;=$B177,12*$B$9,-12*$B$8*(1+$B$4)^39)&gt;0,1+$B$3,1))</f>
        <v/>
      </c>
      <c r="AQ177">
        <f>IF($B$1+40&gt;90,AP177,(AP177+IF($B$1+40&lt;=$B177,12*$B$9,-12*$B$8*(1+$B$4)^40))*IF(AP177+IF($B$1+40&lt;=$B177,12*$B$9,-12*$B$8*(1+$B$4)^40)&gt;0,1+$B$3,1))</f>
        <v/>
      </c>
      <c r="AR177">
        <f>IF($B$1+41&gt;90,AQ177,(AQ177+IF($B$1+41&lt;=$B177,12*$B$9,-12*$B$8*(1+$B$4)^41))*IF(AQ177+IF($B$1+41&lt;=$B177,12*$B$9,-12*$B$8*(1+$B$4)^41)&gt;0,1+$B$3,1))</f>
        <v/>
      </c>
      <c r="AS177">
        <f>IF($B$1+42&gt;90,AR177,(AR177+IF($B$1+42&lt;=$B177,12*$B$9,-12*$B$8*(1+$B$4)^42))*IF(AR177+IF($B$1+42&lt;=$B177,12*$B$9,-12*$B$8*(1+$B$4)^42)&gt;0,1+$B$3,1))</f>
        <v/>
      </c>
      <c r="AT177">
        <f>IF($B$1+43&gt;90,AS177,(AS177+IF($B$1+43&lt;=$B177,12*$B$9,-12*$B$8*(1+$B$4)^43))*IF(AS177+IF($B$1+43&lt;=$B177,12*$B$9,-12*$B$8*(1+$B$4)^43)&gt;0,1+$B$3,1))</f>
        <v/>
      </c>
      <c r="AU177">
        <f>IF($B$1+44&gt;90,AT177,(AT177+IF($B$1+44&lt;=$B177,12*$B$9,-12*$B$8*(1+$B$4)^44))*IF(AT177+IF($B$1+44&lt;=$B177,12*$B$9,-12*$B$8*(1+$B$4)^44)&gt;0,1+$B$3,1))</f>
        <v/>
      </c>
      <c r="AV177">
        <f>IF($B$1+45&gt;90,AU177,(AU177+IF($B$1+45&lt;=$B177,12*$B$9,-12*$B$8*(1+$B$4)^45))*IF(AU177+IF($B$1+45&lt;=$B177,12*$B$9,-12*$B$8*(1+$B$4)^45)&gt;0,1+$B$3,1))</f>
        <v/>
      </c>
      <c r="AW177">
        <f>IF($B$1+46&gt;90,AV177,(AV177+IF($B$1+46&lt;=$B177,12*$B$9,-12*$B$8*(1+$B$4)^46))*IF(AV177+IF($B$1+46&lt;=$B177,12*$B$9,-12*$B$8*(1+$B$4)^46)&gt;0,1+$B$3,1))</f>
        <v/>
      </c>
      <c r="AX177">
        <f>IF($B$1+47&gt;90,AW177,(AW177+IF($B$1+47&lt;=$B177,12*$B$9,-12*$B$8*(1+$B$4)^47))*IF(AW177+IF($B$1+47&lt;=$B177,12*$B$9,-12*$B$8*(1+$B$4)^47)&gt;0,1+$B$3,1))</f>
        <v/>
      </c>
      <c r="AY177">
        <f>IF($B$1+48&gt;90,AX177,(AX177+IF($B$1+48&lt;=$B177,12*$B$9,-12*$B$8*(1+$B$4)^48))*IF(AX177+IF($B$1+48&lt;=$B177,12*$B$9,-12*$B$8*(1+$B$4)^48)&gt;0,1+$B$3,1))</f>
        <v/>
      </c>
      <c r="AZ177">
        <f>IF($B$1+49&gt;90,AY177,(AY177+IF($B$1+49&lt;=$B177,12*$B$9,-12*$B$8*(1+$B$4)^49))*IF(AY177+IF($B$1+49&lt;=$B177,12*$B$9,-12*$B$8*(1+$B$4)^49)&gt;0,1+$B$3,1))</f>
        <v/>
      </c>
      <c r="BA177">
        <f>IF($B$1+50&gt;90,AZ177,(AZ177+IF($B$1+50&lt;=$B177,12*$B$9,-12*$B$8*(1+$B$4)^50))*IF(AZ177+IF($B$1+50&lt;=$B177,12*$B$9,-12*$B$8*(1+$B$4)^50)&gt;0,1+$B$3,1))</f>
        <v/>
      </c>
      <c r="BB177">
        <f>IF($B$1+51&gt;90,BA177,(BA177+IF($B$1+51&lt;=$B177,12*$B$9,-12*$B$8*(1+$B$4)^51))*IF(BA177+IF($B$1+51&lt;=$B177,12*$B$9,-12*$B$8*(1+$B$4)^51)&gt;0,1+$B$3,1))</f>
        <v/>
      </c>
      <c r="BC177">
        <f>IF($B$1+52&gt;90,BB177,(BB177+IF($B$1+52&lt;=$B177,12*$B$9,-12*$B$8*(1+$B$4)^52))*IF(BB177+IF($B$1+52&lt;=$B177,12*$B$9,-12*$B$8*(1+$B$4)^52)&gt;0,1+$B$3,1))</f>
        <v/>
      </c>
      <c r="BD177">
        <f>IF($B$1+53&gt;90,BC177,(BC177+IF($B$1+53&lt;=$B177,12*$B$9,-12*$B$8*(1+$B$4)^53))*IF(BC177+IF($B$1+53&lt;=$B177,12*$B$9,-12*$B$8*(1+$B$4)^53)&gt;0,1+$B$3,1))</f>
        <v/>
      </c>
      <c r="BE177">
        <f>IF($B$1+54&gt;90,BD177,(BD177+IF($B$1+54&lt;=$B177,12*$B$9,-12*$B$8*(1+$B$4)^54))*IF(BD177+IF($B$1+54&lt;=$B177,12*$B$9,-12*$B$8*(1+$B$4)^54)&gt;0,1+$B$3,1))</f>
        <v/>
      </c>
      <c r="BF177">
        <f>IF($B$1+55&gt;90,BE177,(BE177+IF($B$1+55&lt;=$B177,12*$B$9,-12*$B$8*(1+$B$4)^55))*IF(BE177+IF($B$1+55&lt;=$B177,12*$B$9,-12*$B$8*(1+$B$4)^55)&gt;0,1+$B$3,1))</f>
        <v/>
      </c>
      <c r="BG177">
        <f>IF($B$1+56&gt;90,BF177,(BF177+IF($B$1+56&lt;=$B177,12*$B$9,-12*$B$8*(1+$B$4)^56))*IF(BF177+IF($B$1+56&lt;=$B177,12*$B$9,-12*$B$8*(1+$B$4)^56)&gt;0,1+$B$3,1))</f>
        <v/>
      </c>
      <c r="BH177">
        <f>IF($B$1+57&gt;90,BG177,(BG177+IF($B$1+57&lt;=$B177,12*$B$9,-12*$B$8*(1+$B$4)^57))*IF(BG177+IF($B$1+57&lt;=$B177,12*$B$9,-12*$B$8*(1+$B$4)^57)&gt;0,1+$B$3,1))</f>
        <v/>
      </c>
      <c r="BI177">
        <f>IF($B$1+58&gt;90,BH177,(BH177+IF($B$1+58&lt;=$B177,12*$B$9,-12*$B$8*(1+$B$4)^58))*IF(BH177+IF($B$1+58&lt;=$B177,12*$B$9,-12*$B$8*(1+$B$4)^58)&gt;0,1+$B$3,1))</f>
        <v/>
      </c>
      <c r="BJ177">
        <f>IF($B$1+59&gt;90,BI177,(BI177+IF($B$1+59&lt;=$B177,12*$B$9,-12*$B$8*(1+$B$4)^59))*IF(BI177+IF($B$1+59&lt;=$B177,12*$B$9,-12*$B$8*(1+$B$4)^59)&gt;0,1+$B$3,1))</f>
        <v/>
      </c>
      <c r="BK177">
        <f>IF($B$1+60&gt;90,BJ177,(BJ177+IF($B$1+60&lt;=$B177,12*$B$9,-12*$B$8*(1+$B$4)^60))*IF(BJ177+IF($B$1+60&lt;=$B177,12*$B$9,-12*$B$8*(1+$B$4)^60)&gt;0,1+$B$3,1))</f>
        <v/>
      </c>
      <c r="BL177">
        <f>IF($B$1+61&gt;90,BK177,(BK177+IF($B$1+61&lt;=$B177,12*$B$9,-12*$B$8*(1+$B$4)^61))*IF(BK177+IF($B$1+61&lt;=$B177,12*$B$9,-12*$B$8*(1+$B$4)^61)&gt;0,1+$B$3,1))</f>
        <v/>
      </c>
      <c r="BM177">
        <f>IF($B$1+62&gt;90,BL177,(BL177+IF($B$1+62&lt;=$B177,12*$B$9,-12*$B$8*(1+$B$4)^62))*IF(BL177+IF($B$1+62&lt;=$B177,12*$B$9,-12*$B$8*(1+$B$4)^62)&gt;0,1+$B$3,1))</f>
        <v/>
      </c>
      <c r="BN177">
        <f>IF($B$1+63&gt;90,BM177,(BM177+IF($B$1+63&lt;=$B177,12*$B$9,-12*$B$8*(1+$B$4)^63))*IF(BM177+IF($B$1+63&lt;=$B177,12*$B$9,-12*$B$8*(1+$B$4)^63)&gt;0,1+$B$3,1))</f>
        <v/>
      </c>
      <c r="BO177">
        <f>IF($B$1+64&gt;90,BN177,(BN177+IF($B$1+64&lt;=$B177,12*$B$9,-12*$B$8*(1+$B$4)^64))*IF(BN177+IF($B$1+64&lt;=$B177,12*$B$9,-12*$B$8*(1+$B$4)^64)&gt;0,1+$B$3,1))</f>
        <v/>
      </c>
      <c r="BP177">
        <f>IF($B$1+65&gt;90,BO177,(BO177+IF($B$1+65&lt;=$B177,12*$B$9,-12*$B$8*(1+$B$4)^65))*IF(BO177+IF($B$1+65&lt;=$B177,12*$B$9,-12*$B$8*(1+$B$4)^65)&gt;0,1+$B$3,1))</f>
        <v/>
      </c>
      <c r="BQ177">
        <f>IF($B$1+66&gt;90,BP177,(BP177+IF($B$1+66&lt;=$B177,12*$B$9,-12*$B$8*(1+$B$4)^66))*IF(BP177+IF($B$1+66&lt;=$B177,12*$B$9,-12*$B$8*(1+$B$4)^66)&gt;0,1+$B$3,1))</f>
        <v/>
      </c>
      <c r="BR177">
        <f>IF($B$1+67&gt;90,BQ177,(BQ177+IF($B$1+67&lt;=$B177,12*$B$9,-12*$B$8*(1+$B$4)^67))*IF(BQ177+IF($B$1+67&lt;=$B177,12*$B$9,-12*$B$8*(1+$B$4)^67)&gt;0,1+$B$3,1))</f>
        <v/>
      </c>
      <c r="BS177">
        <f>IF($B$1+68&gt;90,BR177,(BR177+IF($B$1+68&lt;=$B177,12*$B$9,-12*$B$8*(1+$B$4)^68))*IF(BR177+IF($B$1+68&lt;=$B177,12*$B$9,-12*$B$8*(1+$B$4)^68)&gt;0,1+$B$3,1))</f>
        <v/>
      </c>
      <c r="BT177">
        <f>IF($B$1+69&gt;90,BS177,(BS177+IF($B$1+69&lt;=$B177,12*$B$9,-12*$B$8*(1+$B$4)^69))*IF(BS177+IF($B$1+69&lt;=$B177,12*$B$9,-12*$B$8*(1+$B$4)^69)&gt;0,1+$B$3,1))</f>
        <v/>
      </c>
      <c r="BU177">
        <f>IF($B$1+70&gt;90,BT177,(BT177+IF($B$1+70&lt;=$B177,12*$B$9,-12*$B$8*(1+$B$4)^70))*IF(BT177+IF($B$1+70&lt;=$B177,12*$B$9,-12*$B$8*(1+$B$4)^70)&gt;0,1+$B$3,1))</f>
        <v/>
      </c>
      <c r="BV177">
        <f>BU177</f>
        <v/>
      </c>
      <c r="BW177">
        <f>IF(AND($B177&lt;=70,BV177&gt;0),$B177,999)</f>
        <v/>
      </c>
    </row>
    <row r="178">
      <c r="A178" t="n">
        <v>26</v>
      </c>
      <c r="B178">
        <f>$B$1+26</f>
        <v/>
      </c>
      <c r="C178">
        <f>$B$2</f>
        <v/>
      </c>
      <c r="D178">
        <f>IF($B$1+1&gt;90,C178,(C178+IF($B$1+1&lt;=$B178,12*$B$9,-12*$B$8*(1+$B$4)^1))*IF(C178+IF($B$1+1&lt;=$B178,12*$B$9,-12*$B$8*(1+$B$4)^1)&gt;0,1+$B$3,1))</f>
        <v/>
      </c>
      <c r="E178">
        <f>IF($B$1+2&gt;90,D178,(D178+IF($B$1+2&lt;=$B178,12*$B$9,-12*$B$8*(1+$B$4)^2))*IF(D178+IF($B$1+2&lt;=$B178,12*$B$9,-12*$B$8*(1+$B$4)^2)&gt;0,1+$B$3,1))</f>
        <v/>
      </c>
      <c r="F178">
        <f>IF($B$1+3&gt;90,E178,(E178+IF($B$1+3&lt;=$B178,12*$B$9,-12*$B$8*(1+$B$4)^3))*IF(E178+IF($B$1+3&lt;=$B178,12*$B$9,-12*$B$8*(1+$B$4)^3)&gt;0,1+$B$3,1))</f>
        <v/>
      </c>
      <c r="G178">
        <f>IF($B$1+4&gt;90,F178,(F178+IF($B$1+4&lt;=$B178,12*$B$9,-12*$B$8*(1+$B$4)^4))*IF(F178+IF($B$1+4&lt;=$B178,12*$B$9,-12*$B$8*(1+$B$4)^4)&gt;0,1+$B$3,1))</f>
        <v/>
      </c>
      <c r="H178">
        <f>IF($B$1+5&gt;90,G178,(G178+IF($B$1+5&lt;=$B178,12*$B$9,-12*$B$8*(1+$B$4)^5))*IF(G178+IF($B$1+5&lt;=$B178,12*$B$9,-12*$B$8*(1+$B$4)^5)&gt;0,1+$B$3,1))</f>
        <v/>
      </c>
      <c r="I178">
        <f>IF($B$1+6&gt;90,H178,(H178+IF($B$1+6&lt;=$B178,12*$B$9,-12*$B$8*(1+$B$4)^6))*IF(H178+IF($B$1+6&lt;=$B178,12*$B$9,-12*$B$8*(1+$B$4)^6)&gt;0,1+$B$3,1))</f>
        <v/>
      </c>
      <c r="J178">
        <f>IF($B$1+7&gt;90,I178,(I178+IF($B$1+7&lt;=$B178,12*$B$9,-12*$B$8*(1+$B$4)^7))*IF(I178+IF($B$1+7&lt;=$B178,12*$B$9,-12*$B$8*(1+$B$4)^7)&gt;0,1+$B$3,1))</f>
        <v/>
      </c>
      <c r="K178">
        <f>IF($B$1+8&gt;90,J178,(J178+IF($B$1+8&lt;=$B178,12*$B$9,-12*$B$8*(1+$B$4)^8))*IF(J178+IF($B$1+8&lt;=$B178,12*$B$9,-12*$B$8*(1+$B$4)^8)&gt;0,1+$B$3,1))</f>
        <v/>
      </c>
      <c r="L178">
        <f>IF($B$1+9&gt;90,K178,(K178+IF($B$1+9&lt;=$B178,12*$B$9,-12*$B$8*(1+$B$4)^9))*IF(K178+IF($B$1+9&lt;=$B178,12*$B$9,-12*$B$8*(1+$B$4)^9)&gt;0,1+$B$3,1))</f>
        <v/>
      </c>
      <c r="M178">
        <f>IF($B$1+10&gt;90,L178,(L178+IF($B$1+10&lt;=$B178,12*$B$9,-12*$B$8*(1+$B$4)^10))*IF(L178+IF($B$1+10&lt;=$B178,12*$B$9,-12*$B$8*(1+$B$4)^10)&gt;0,1+$B$3,1))</f>
        <v/>
      </c>
      <c r="N178">
        <f>IF($B$1+11&gt;90,M178,(M178+IF($B$1+11&lt;=$B178,12*$B$9,-12*$B$8*(1+$B$4)^11))*IF(M178+IF($B$1+11&lt;=$B178,12*$B$9,-12*$B$8*(1+$B$4)^11)&gt;0,1+$B$3,1))</f>
        <v/>
      </c>
      <c r="O178">
        <f>IF($B$1+12&gt;90,N178,(N178+IF($B$1+12&lt;=$B178,12*$B$9,-12*$B$8*(1+$B$4)^12))*IF(N178+IF($B$1+12&lt;=$B178,12*$B$9,-12*$B$8*(1+$B$4)^12)&gt;0,1+$B$3,1))</f>
        <v/>
      </c>
      <c r="P178">
        <f>IF($B$1+13&gt;90,O178,(O178+IF($B$1+13&lt;=$B178,12*$B$9,-12*$B$8*(1+$B$4)^13))*IF(O178+IF($B$1+13&lt;=$B178,12*$B$9,-12*$B$8*(1+$B$4)^13)&gt;0,1+$B$3,1))</f>
        <v/>
      </c>
      <c r="Q178">
        <f>IF($B$1+14&gt;90,P178,(P178+IF($B$1+14&lt;=$B178,12*$B$9,-12*$B$8*(1+$B$4)^14))*IF(P178+IF($B$1+14&lt;=$B178,12*$B$9,-12*$B$8*(1+$B$4)^14)&gt;0,1+$B$3,1))</f>
        <v/>
      </c>
      <c r="R178">
        <f>IF($B$1+15&gt;90,Q178,(Q178+IF($B$1+15&lt;=$B178,12*$B$9,-12*$B$8*(1+$B$4)^15))*IF(Q178+IF($B$1+15&lt;=$B178,12*$B$9,-12*$B$8*(1+$B$4)^15)&gt;0,1+$B$3,1))</f>
        <v/>
      </c>
      <c r="S178">
        <f>IF($B$1+16&gt;90,R178,(R178+IF($B$1+16&lt;=$B178,12*$B$9,-12*$B$8*(1+$B$4)^16))*IF(R178+IF($B$1+16&lt;=$B178,12*$B$9,-12*$B$8*(1+$B$4)^16)&gt;0,1+$B$3,1))</f>
        <v/>
      </c>
      <c r="T178">
        <f>IF($B$1+17&gt;90,S178,(S178+IF($B$1+17&lt;=$B178,12*$B$9,-12*$B$8*(1+$B$4)^17))*IF(S178+IF($B$1+17&lt;=$B178,12*$B$9,-12*$B$8*(1+$B$4)^17)&gt;0,1+$B$3,1))</f>
        <v/>
      </c>
      <c r="U178">
        <f>IF($B$1+18&gt;90,T178,(T178+IF($B$1+18&lt;=$B178,12*$B$9,-12*$B$8*(1+$B$4)^18))*IF(T178+IF($B$1+18&lt;=$B178,12*$B$9,-12*$B$8*(1+$B$4)^18)&gt;0,1+$B$3,1))</f>
        <v/>
      </c>
      <c r="V178">
        <f>IF($B$1+19&gt;90,U178,(U178+IF($B$1+19&lt;=$B178,12*$B$9,-12*$B$8*(1+$B$4)^19))*IF(U178+IF($B$1+19&lt;=$B178,12*$B$9,-12*$B$8*(1+$B$4)^19)&gt;0,1+$B$3,1))</f>
        <v/>
      </c>
      <c r="W178">
        <f>IF($B$1+20&gt;90,V178,(V178+IF($B$1+20&lt;=$B178,12*$B$9,-12*$B$8*(1+$B$4)^20))*IF(V178+IF($B$1+20&lt;=$B178,12*$B$9,-12*$B$8*(1+$B$4)^20)&gt;0,1+$B$3,1))</f>
        <v/>
      </c>
      <c r="X178">
        <f>IF($B$1+21&gt;90,W178,(W178+IF($B$1+21&lt;=$B178,12*$B$9,-12*$B$8*(1+$B$4)^21))*IF(W178+IF($B$1+21&lt;=$B178,12*$B$9,-12*$B$8*(1+$B$4)^21)&gt;0,1+$B$3,1))</f>
        <v/>
      </c>
      <c r="Y178">
        <f>IF($B$1+22&gt;90,X178,(X178+IF($B$1+22&lt;=$B178,12*$B$9,-12*$B$8*(1+$B$4)^22))*IF(X178+IF($B$1+22&lt;=$B178,12*$B$9,-12*$B$8*(1+$B$4)^22)&gt;0,1+$B$3,1))</f>
        <v/>
      </c>
      <c r="Z178">
        <f>IF($B$1+23&gt;90,Y178,(Y178+IF($B$1+23&lt;=$B178,12*$B$9,-12*$B$8*(1+$B$4)^23))*IF(Y178+IF($B$1+23&lt;=$B178,12*$B$9,-12*$B$8*(1+$B$4)^23)&gt;0,1+$B$3,1))</f>
        <v/>
      </c>
      <c r="AA178">
        <f>IF($B$1+24&gt;90,Z178,(Z178+IF($B$1+24&lt;=$B178,12*$B$9,-12*$B$8*(1+$B$4)^24))*IF(Z178+IF($B$1+24&lt;=$B178,12*$B$9,-12*$B$8*(1+$B$4)^24)&gt;0,1+$B$3,1))</f>
        <v/>
      </c>
      <c r="AB178">
        <f>IF($B$1+25&gt;90,AA178,(AA178+IF($B$1+25&lt;=$B178,12*$B$9,-12*$B$8*(1+$B$4)^25))*IF(AA178+IF($B$1+25&lt;=$B178,12*$B$9,-12*$B$8*(1+$B$4)^25)&gt;0,1+$B$3,1))</f>
        <v/>
      </c>
      <c r="AC178">
        <f>IF($B$1+26&gt;90,AB178,(AB178+IF($B$1+26&lt;=$B178,12*$B$9,-12*$B$8*(1+$B$4)^26))*IF(AB178+IF($B$1+26&lt;=$B178,12*$B$9,-12*$B$8*(1+$B$4)^26)&gt;0,1+$B$3,1))</f>
        <v/>
      </c>
      <c r="AD178">
        <f>IF($B$1+27&gt;90,AC178,(AC178+IF($B$1+27&lt;=$B178,12*$B$9,-12*$B$8*(1+$B$4)^27))*IF(AC178+IF($B$1+27&lt;=$B178,12*$B$9,-12*$B$8*(1+$B$4)^27)&gt;0,1+$B$3,1))</f>
        <v/>
      </c>
      <c r="AE178">
        <f>IF($B$1+28&gt;90,AD178,(AD178+IF($B$1+28&lt;=$B178,12*$B$9,-12*$B$8*(1+$B$4)^28))*IF(AD178+IF($B$1+28&lt;=$B178,12*$B$9,-12*$B$8*(1+$B$4)^28)&gt;0,1+$B$3,1))</f>
        <v/>
      </c>
      <c r="AF178">
        <f>IF($B$1+29&gt;90,AE178,(AE178+IF($B$1+29&lt;=$B178,12*$B$9,-12*$B$8*(1+$B$4)^29))*IF(AE178+IF($B$1+29&lt;=$B178,12*$B$9,-12*$B$8*(1+$B$4)^29)&gt;0,1+$B$3,1))</f>
        <v/>
      </c>
      <c r="AG178">
        <f>IF($B$1+30&gt;90,AF178,(AF178+IF($B$1+30&lt;=$B178,12*$B$9,-12*$B$8*(1+$B$4)^30))*IF(AF178+IF($B$1+30&lt;=$B178,12*$B$9,-12*$B$8*(1+$B$4)^30)&gt;0,1+$B$3,1))</f>
        <v/>
      </c>
      <c r="AH178">
        <f>IF($B$1+31&gt;90,AG178,(AG178+IF($B$1+31&lt;=$B178,12*$B$9,-12*$B$8*(1+$B$4)^31))*IF(AG178+IF($B$1+31&lt;=$B178,12*$B$9,-12*$B$8*(1+$B$4)^31)&gt;0,1+$B$3,1))</f>
        <v/>
      </c>
      <c r="AI178">
        <f>IF($B$1+32&gt;90,AH178,(AH178+IF($B$1+32&lt;=$B178,12*$B$9,-12*$B$8*(1+$B$4)^32))*IF(AH178+IF($B$1+32&lt;=$B178,12*$B$9,-12*$B$8*(1+$B$4)^32)&gt;0,1+$B$3,1))</f>
        <v/>
      </c>
      <c r="AJ178">
        <f>IF($B$1+33&gt;90,AI178,(AI178+IF($B$1+33&lt;=$B178,12*$B$9,-12*$B$8*(1+$B$4)^33))*IF(AI178+IF($B$1+33&lt;=$B178,12*$B$9,-12*$B$8*(1+$B$4)^33)&gt;0,1+$B$3,1))</f>
        <v/>
      </c>
      <c r="AK178">
        <f>IF($B$1+34&gt;90,AJ178,(AJ178+IF($B$1+34&lt;=$B178,12*$B$9,-12*$B$8*(1+$B$4)^34))*IF(AJ178+IF($B$1+34&lt;=$B178,12*$B$9,-12*$B$8*(1+$B$4)^34)&gt;0,1+$B$3,1))</f>
        <v/>
      </c>
      <c r="AL178">
        <f>IF($B$1+35&gt;90,AK178,(AK178+IF($B$1+35&lt;=$B178,12*$B$9,-12*$B$8*(1+$B$4)^35))*IF(AK178+IF($B$1+35&lt;=$B178,12*$B$9,-12*$B$8*(1+$B$4)^35)&gt;0,1+$B$3,1))</f>
        <v/>
      </c>
      <c r="AM178">
        <f>IF($B$1+36&gt;90,AL178,(AL178+IF($B$1+36&lt;=$B178,12*$B$9,-12*$B$8*(1+$B$4)^36))*IF(AL178+IF($B$1+36&lt;=$B178,12*$B$9,-12*$B$8*(1+$B$4)^36)&gt;0,1+$B$3,1))</f>
        <v/>
      </c>
      <c r="AN178">
        <f>IF($B$1+37&gt;90,AM178,(AM178+IF($B$1+37&lt;=$B178,12*$B$9,-12*$B$8*(1+$B$4)^37))*IF(AM178+IF($B$1+37&lt;=$B178,12*$B$9,-12*$B$8*(1+$B$4)^37)&gt;0,1+$B$3,1))</f>
        <v/>
      </c>
      <c r="AO178">
        <f>IF($B$1+38&gt;90,AN178,(AN178+IF($B$1+38&lt;=$B178,12*$B$9,-12*$B$8*(1+$B$4)^38))*IF(AN178+IF($B$1+38&lt;=$B178,12*$B$9,-12*$B$8*(1+$B$4)^38)&gt;0,1+$B$3,1))</f>
        <v/>
      </c>
      <c r="AP178">
        <f>IF($B$1+39&gt;90,AO178,(AO178+IF($B$1+39&lt;=$B178,12*$B$9,-12*$B$8*(1+$B$4)^39))*IF(AO178+IF($B$1+39&lt;=$B178,12*$B$9,-12*$B$8*(1+$B$4)^39)&gt;0,1+$B$3,1))</f>
        <v/>
      </c>
      <c r="AQ178">
        <f>IF($B$1+40&gt;90,AP178,(AP178+IF($B$1+40&lt;=$B178,12*$B$9,-12*$B$8*(1+$B$4)^40))*IF(AP178+IF($B$1+40&lt;=$B178,12*$B$9,-12*$B$8*(1+$B$4)^40)&gt;0,1+$B$3,1))</f>
        <v/>
      </c>
      <c r="AR178">
        <f>IF($B$1+41&gt;90,AQ178,(AQ178+IF($B$1+41&lt;=$B178,12*$B$9,-12*$B$8*(1+$B$4)^41))*IF(AQ178+IF($B$1+41&lt;=$B178,12*$B$9,-12*$B$8*(1+$B$4)^41)&gt;0,1+$B$3,1))</f>
        <v/>
      </c>
      <c r="AS178">
        <f>IF($B$1+42&gt;90,AR178,(AR178+IF($B$1+42&lt;=$B178,12*$B$9,-12*$B$8*(1+$B$4)^42))*IF(AR178+IF($B$1+42&lt;=$B178,12*$B$9,-12*$B$8*(1+$B$4)^42)&gt;0,1+$B$3,1))</f>
        <v/>
      </c>
      <c r="AT178">
        <f>IF($B$1+43&gt;90,AS178,(AS178+IF($B$1+43&lt;=$B178,12*$B$9,-12*$B$8*(1+$B$4)^43))*IF(AS178+IF($B$1+43&lt;=$B178,12*$B$9,-12*$B$8*(1+$B$4)^43)&gt;0,1+$B$3,1))</f>
        <v/>
      </c>
      <c r="AU178">
        <f>IF($B$1+44&gt;90,AT178,(AT178+IF($B$1+44&lt;=$B178,12*$B$9,-12*$B$8*(1+$B$4)^44))*IF(AT178+IF($B$1+44&lt;=$B178,12*$B$9,-12*$B$8*(1+$B$4)^44)&gt;0,1+$B$3,1))</f>
        <v/>
      </c>
      <c r="AV178">
        <f>IF($B$1+45&gt;90,AU178,(AU178+IF($B$1+45&lt;=$B178,12*$B$9,-12*$B$8*(1+$B$4)^45))*IF(AU178+IF($B$1+45&lt;=$B178,12*$B$9,-12*$B$8*(1+$B$4)^45)&gt;0,1+$B$3,1))</f>
        <v/>
      </c>
      <c r="AW178">
        <f>IF($B$1+46&gt;90,AV178,(AV178+IF($B$1+46&lt;=$B178,12*$B$9,-12*$B$8*(1+$B$4)^46))*IF(AV178+IF($B$1+46&lt;=$B178,12*$B$9,-12*$B$8*(1+$B$4)^46)&gt;0,1+$B$3,1))</f>
        <v/>
      </c>
      <c r="AX178">
        <f>IF($B$1+47&gt;90,AW178,(AW178+IF($B$1+47&lt;=$B178,12*$B$9,-12*$B$8*(1+$B$4)^47))*IF(AW178+IF($B$1+47&lt;=$B178,12*$B$9,-12*$B$8*(1+$B$4)^47)&gt;0,1+$B$3,1))</f>
        <v/>
      </c>
      <c r="AY178">
        <f>IF($B$1+48&gt;90,AX178,(AX178+IF($B$1+48&lt;=$B178,12*$B$9,-12*$B$8*(1+$B$4)^48))*IF(AX178+IF($B$1+48&lt;=$B178,12*$B$9,-12*$B$8*(1+$B$4)^48)&gt;0,1+$B$3,1))</f>
        <v/>
      </c>
      <c r="AZ178">
        <f>IF($B$1+49&gt;90,AY178,(AY178+IF($B$1+49&lt;=$B178,12*$B$9,-12*$B$8*(1+$B$4)^49))*IF(AY178+IF($B$1+49&lt;=$B178,12*$B$9,-12*$B$8*(1+$B$4)^49)&gt;0,1+$B$3,1))</f>
        <v/>
      </c>
      <c r="BA178">
        <f>IF($B$1+50&gt;90,AZ178,(AZ178+IF($B$1+50&lt;=$B178,12*$B$9,-12*$B$8*(1+$B$4)^50))*IF(AZ178+IF($B$1+50&lt;=$B178,12*$B$9,-12*$B$8*(1+$B$4)^50)&gt;0,1+$B$3,1))</f>
        <v/>
      </c>
      <c r="BB178">
        <f>IF($B$1+51&gt;90,BA178,(BA178+IF($B$1+51&lt;=$B178,12*$B$9,-12*$B$8*(1+$B$4)^51))*IF(BA178+IF($B$1+51&lt;=$B178,12*$B$9,-12*$B$8*(1+$B$4)^51)&gt;0,1+$B$3,1))</f>
        <v/>
      </c>
      <c r="BC178">
        <f>IF($B$1+52&gt;90,BB178,(BB178+IF($B$1+52&lt;=$B178,12*$B$9,-12*$B$8*(1+$B$4)^52))*IF(BB178+IF($B$1+52&lt;=$B178,12*$B$9,-12*$B$8*(1+$B$4)^52)&gt;0,1+$B$3,1))</f>
        <v/>
      </c>
      <c r="BD178">
        <f>IF($B$1+53&gt;90,BC178,(BC178+IF($B$1+53&lt;=$B178,12*$B$9,-12*$B$8*(1+$B$4)^53))*IF(BC178+IF($B$1+53&lt;=$B178,12*$B$9,-12*$B$8*(1+$B$4)^53)&gt;0,1+$B$3,1))</f>
        <v/>
      </c>
      <c r="BE178">
        <f>IF($B$1+54&gt;90,BD178,(BD178+IF($B$1+54&lt;=$B178,12*$B$9,-12*$B$8*(1+$B$4)^54))*IF(BD178+IF($B$1+54&lt;=$B178,12*$B$9,-12*$B$8*(1+$B$4)^54)&gt;0,1+$B$3,1))</f>
        <v/>
      </c>
      <c r="BF178">
        <f>IF($B$1+55&gt;90,BE178,(BE178+IF($B$1+55&lt;=$B178,12*$B$9,-12*$B$8*(1+$B$4)^55))*IF(BE178+IF($B$1+55&lt;=$B178,12*$B$9,-12*$B$8*(1+$B$4)^55)&gt;0,1+$B$3,1))</f>
        <v/>
      </c>
      <c r="BG178">
        <f>IF($B$1+56&gt;90,BF178,(BF178+IF($B$1+56&lt;=$B178,12*$B$9,-12*$B$8*(1+$B$4)^56))*IF(BF178+IF($B$1+56&lt;=$B178,12*$B$9,-12*$B$8*(1+$B$4)^56)&gt;0,1+$B$3,1))</f>
        <v/>
      </c>
      <c r="BH178">
        <f>IF($B$1+57&gt;90,BG178,(BG178+IF($B$1+57&lt;=$B178,12*$B$9,-12*$B$8*(1+$B$4)^57))*IF(BG178+IF($B$1+57&lt;=$B178,12*$B$9,-12*$B$8*(1+$B$4)^57)&gt;0,1+$B$3,1))</f>
        <v/>
      </c>
      <c r="BI178">
        <f>IF($B$1+58&gt;90,BH178,(BH178+IF($B$1+58&lt;=$B178,12*$B$9,-12*$B$8*(1+$B$4)^58))*IF(BH178+IF($B$1+58&lt;=$B178,12*$B$9,-12*$B$8*(1+$B$4)^58)&gt;0,1+$B$3,1))</f>
        <v/>
      </c>
      <c r="BJ178">
        <f>IF($B$1+59&gt;90,BI178,(BI178+IF($B$1+59&lt;=$B178,12*$B$9,-12*$B$8*(1+$B$4)^59))*IF(BI178+IF($B$1+59&lt;=$B178,12*$B$9,-12*$B$8*(1+$B$4)^59)&gt;0,1+$B$3,1))</f>
        <v/>
      </c>
      <c r="BK178">
        <f>IF($B$1+60&gt;90,BJ178,(BJ178+IF($B$1+60&lt;=$B178,12*$B$9,-12*$B$8*(1+$B$4)^60))*IF(BJ178+IF($B$1+60&lt;=$B178,12*$B$9,-12*$B$8*(1+$B$4)^60)&gt;0,1+$B$3,1))</f>
        <v/>
      </c>
      <c r="BL178">
        <f>IF($B$1+61&gt;90,BK178,(BK178+IF($B$1+61&lt;=$B178,12*$B$9,-12*$B$8*(1+$B$4)^61))*IF(BK178+IF($B$1+61&lt;=$B178,12*$B$9,-12*$B$8*(1+$B$4)^61)&gt;0,1+$B$3,1))</f>
        <v/>
      </c>
      <c r="BM178">
        <f>IF($B$1+62&gt;90,BL178,(BL178+IF($B$1+62&lt;=$B178,12*$B$9,-12*$B$8*(1+$B$4)^62))*IF(BL178+IF($B$1+62&lt;=$B178,12*$B$9,-12*$B$8*(1+$B$4)^62)&gt;0,1+$B$3,1))</f>
        <v/>
      </c>
      <c r="BN178">
        <f>IF($B$1+63&gt;90,BM178,(BM178+IF($B$1+63&lt;=$B178,12*$B$9,-12*$B$8*(1+$B$4)^63))*IF(BM178+IF($B$1+63&lt;=$B178,12*$B$9,-12*$B$8*(1+$B$4)^63)&gt;0,1+$B$3,1))</f>
        <v/>
      </c>
      <c r="BO178">
        <f>IF($B$1+64&gt;90,BN178,(BN178+IF($B$1+64&lt;=$B178,12*$B$9,-12*$B$8*(1+$B$4)^64))*IF(BN178+IF($B$1+64&lt;=$B178,12*$B$9,-12*$B$8*(1+$B$4)^64)&gt;0,1+$B$3,1))</f>
        <v/>
      </c>
      <c r="BP178">
        <f>IF($B$1+65&gt;90,BO178,(BO178+IF($B$1+65&lt;=$B178,12*$B$9,-12*$B$8*(1+$B$4)^65))*IF(BO178+IF($B$1+65&lt;=$B178,12*$B$9,-12*$B$8*(1+$B$4)^65)&gt;0,1+$B$3,1))</f>
        <v/>
      </c>
      <c r="BQ178">
        <f>IF($B$1+66&gt;90,BP178,(BP178+IF($B$1+66&lt;=$B178,12*$B$9,-12*$B$8*(1+$B$4)^66))*IF(BP178+IF($B$1+66&lt;=$B178,12*$B$9,-12*$B$8*(1+$B$4)^66)&gt;0,1+$B$3,1))</f>
        <v/>
      </c>
      <c r="BR178">
        <f>IF($B$1+67&gt;90,BQ178,(BQ178+IF($B$1+67&lt;=$B178,12*$B$9,-12*$B$8*(1+$B$4)^67))*IF(BQ178+IF($B$1+67&lt;=$B178,12*$B$9,-12*$B$8*(1+$B$4)^67)&gt;0,1+$B$3,1))</f>
        <v/>
      </c>
      <c r="BS178">
        <f>IF($B$1+68&gt;90,BR178,(BR178+IF($B$1+68&lt;=$B178,12*$B$9,-12*$B$8*(1+$B$4)^68))*IF(BR178+IF($B$1+68&lt;=$B178,12*$B$9,-12*$B$8*(1+$B$4)^68)&gt;0,1+$B$3,1))</f>
        <v/>
      </c>
      <c r="BT178">
        <f>IF($B$1+69&gt;90,BS178,(BS178+IF($B$1+69&lt;=$B178,12*$B$9,-12*$B$8*(1+$B$4)^69))*IF(BS178+IF($B$1+69&lt;=$B178,12*$B$9,-12*$B$8*(1+$B$4)^69)&gt;0,1+$B$3,1))</f>
        <v/>
      </c>
      <c r="BU178">
        <f>IF($B$1+70&gt;90,BT178,(BT178+IF($B$1+70&lt;=$B178,12*$B$9,-12*$B$8*(1+$B$4)^70))*IF(BT178+IF($B$1+70&lt;=$B178,12*$B$9,-12*$B$8*(1+$B$4)^70)&gt;0,1+$B$3,1))</f>
        <v/>
      </c>
      <c r="BV178">
        <f>BU178</f>
        <v/>
      </c>
      <c r="BW178">
        <f>IF(AND($B178&lt;=70,BV178&gt;0),$B178,999)</f>
        <v/>
      </c>
    </row>
    <row r="179">
      <c r="A179" t="n">
        <v>27</v>
      </c>
      <c r="B179">
        <f>$B$1+27</f>
        <v/>
      </c>
      <c r="C179">
        <f>$B$2</f>
        <v/>
      </c>
      <c r="D179">
        <f>IF($B$1+1&gt;90,C179,(C179+IF($B$1+1&lt;=$B179,12*$B$9,-12*$B$8*(1+$B$4)^1))*IF(C179+IF($B$1+1&lt;=$B179,12*$B$9,-12*$B$8*(1+$B$4)^1)&gt;0,1+$B$3,1))</f>
        <v/>
      </c>
      <c r="E179">
        <f>IF($B$1+2&gt;90,D179,(D179+IF($B$1+2&lt;=$B179,12*$B$9,-12*$B$8*(1+$B$4)^2))*IF(D179+IF($B$1+2&lt;=$B179,12*$B$9,-12*$B$8*(1+$B$4)^2)&gt;0,1+$B$3,1))</f>
        <v/>
      </c>
      <c r="F179">
        <f>IF($B$1+3&gt;90,E179,(E179+IF($B$1+3&lt;=$B179,12*$B$9,-12*$B$8*(1+$B$4)^3))*IF(E179+IF($B$1+3&lt;=$B179,12*$B$9,-12*$B$8*(1+$B$4)^3)&gt;0,1+$B$3,1))</f>
        <v/>
      </c>
      <c r="G179">
        <f>IF($B$1+4&gt;90,F179,(F179+IF($B$1+4&lt;=$B179,12*$B$9,-12*$B$8*(1+$B$4)^4))*IF(F179+IF($B$1+4&lt;=$B179,12*$B$9,-12*$B$8*(1+$B$4)^4)&gt;0,1+$B$3,1))</f>
        <v/>
      </c>
      <c r="H179">
        <f>IF($B$1+5&gt;90,G179,(G179+IF($B$1+5&lt;=$B179,12*$B$9,-12*$B$8*(1+$B$4)^5))*IF(G179+IF($B$1+5&lt;=$B179,12*$B$9,-12*$B$8*(1+$B$4)^5)&gt;0,1+$B$3,1))</f>
        <v/>
      </c>
      <c r="I179">
        <f>IF($B$1+6&gt;90,H179,(H179+IF($B$1+6&lt;=$B179,12*$B$9,-12*$B$8*(1+$B$4)^6))*IF(H179+IF($B$1+6&lt;=$B179,12*$B$9,-12*$B$8*(1+$B$4)^6)&gt;0,1+$B$3,1))</f>
        <v/>
      </c>
      <c r="J179">
        <f>IF($B$1+7&gt;90,I179,(I179+IF($B$1+7&lt;=$B179,12*$B$9,-12*$B$8*(1+$B$4)^7))*IF(I179+IF($B$1+7&lt;=$B179,12*$B$9,-12*$B$8*(1+$B$4)^7)&gt;0,1+$B$3,1))</f>
        <v/>
      </c>
      <c r="K179">
        <f>IF($B$1+8&gt;90,J179,(J179+IF($B$1+8&lt;=$B179,12*$B$9,-12*$B$8*(1+$B$4)^8))*IF(J179+IF($B$1+8&lt;=$B179,12*$B$9,-12*$B$8*(1+$B$4)^8)&gt;0,1+$B$3,1))</f>
        <v/>
      </c>
      <c r="L179">
        <f>IF($B$1+9&gt;90,K179,(K179+IF($B$1+9&lt;=$B179,12*$B$9,-12*$B$8*(1+$B$4)^9))*IF(K179+IF($B$1+9&lt;=$B179,12*$B$9,-12*$B$8*(1+$B$4)^9)&gt;0,1+$B$3,1))</f>
        <v/>
      </c>
      <c r="M179">
        <f>IF($B$1+10&gt;90,L179,(L179+IF($B$1+10&lt;=$B179,12*$B$9,-12*$B$8*(1+$B$4)^10))*IF(L179+IF($B$1+10&lt;=$B179,12*$B$9,-12*$B$8*(1+$B$4)^10)&gt;0,1+$B$3,1))</f>
        <v/>
      </c>
      <c r="N179">
        <f>IF($B$1+11&gt;90,M179,(M179+IF($B$1+11&lt;=$B179,12*$B$9,-12*$B$8*(1+$B$4)^11))*IF(M179+IF($B$1+11&lt;=$B179,12*$B$9,-12*$B$8*(1+$B$4)^11)&gt;0,1+$B$3,1))</f>
        <v/>
      </c>
      <c r="O179">
        <f>IF($B$1+12&gt;90,N179,(N179+IF($B$1+12&lt;=$B179,12*$B$9,-12*$B$8*(1+$B$4)^12))*IF(N179+IF($B$1+12&lt;=$B179,12*$B$9,-12*$B$8*(1+$B$4)^12)&gt;0,1+$B$3,1))</f>
        <v/>
      </c>
      <c r="P179">
        <f>IF($B$1+13&gt;90,O179,(O179+IF($B$1+13&lt;=$B179,12*$B$9,-12*$B$8*(1+$B$4)^13))*IF(O179+IF($B$1+13&lt;=$B179,12*$B$9,-12*$B$8*(1+$B$4)^13)&gt;0,1+$B$3,1))</f>
        <v/>
      </c>
      <c r="Q179">
        <f>IF($B$1+14&gt;90,P179,(P179+IF($B$1+14&lt;=$B179,12*$B$9,-12*$B$8*(1+$B$4)^14))*IF(P179+IF($B$1+14&lt;=$B179,12*$B$9,-12*$B$8*(1+$B$4)^14)&gt;0,1+$B$3,1))</f>
        <v/>
      </c>
      <c r="R179">
        <f>IF($B$1+15&gt;90,Q179,(Q179+IF($B$1+15&lt;=$B179,12*$B$9,-12*$B$8*(1+$B$4)^15))*IF(Q179+IF($B$1+15&lt;=$B179,12*$B$9,-12*$B$8*(1+$B$4)^15)&gt;0,1+$B$3,1))</f>
        <v/>
      </c>
      <c r="S179">
        <f>IF($B$1+16&gt;90,R179,(R179+IF($B$1+16&lt;=$B179,12*$B$9,-12*$B$8*(1+$B$4)^16))*IF(R179+IF($B$1+16&lt;=$B179,12*$B$9,-12*$B$8*(1+$B$4)^16)&gt;0,1+$B$3,1))</f>
        <v/>
      </c>
      <c r="T179">
        <f>IF($B$1+17&gt;90,S179,(S179+IF($B$1+17&lt;=$B179,12*$B$9,-12*$B$8*(1+$B$4)^17))*IF(S179+IF($B$1+17&lt;=$B179,12*$B$9,-12*$B$8*(1+$B$4)^17)&gt;0,1+$B$3,1))</f>
        <v/>
      </c>
      <c r="U179">
        <f>IF($B$1+18&gt;90,T179,(T179+IF($B$1+18&lt;=$B179,12*$B$9,-12*$B$8*(1+$B$4)^18))*IF(T179+IF($B$1+18&lt;=$B179,12*$B$9,-12*$B$8*(1+$B$4)^18)&gt;0,1+$B$3,1))</f>
        <v/>
      </c>
      <c r="V179">
        <f>IF($B$1+19&gt;90,U179,(U179+IF($B$1+19&lt;=$B179,12*$B$9,-12*$B$8*(1+$B$4)^19))*IF(U179+IF($B$1+19&lt;=$B179,12*$B$9,-12*$B$8*(1+$B$4)^19)&gt;0,1+$B$3,1))</f>
        <v/>
      </c>
      <c r="W179">
        <f>IF($B$1+20&gt;90,V179,(V179+IF($B$1+20&lt;=$B179,12*$B$9,-12*$B$8*(1+$B$4)^20))*IF(V179+IF($B$1+20&lt;=$B179,12*$B$9,-12*$B$8*(1+$B$4)^20)&gt;0,1+$B$3,1))</f>
        <v/>
      </c>
      <c r="X179">
        <f>IF($B$1+21&gt;90,W179,(W179+IF($B$1+21&lt;=$B179,12*$B$9,-12*$B$8*(1+$B$4)^21))*IF(W179+IF($B$1+21&lt;=$B179,12*$B$9,-12*$B$8*(1+$B$4)^21)&gt;0,1+$B$3,1))</f>
        <v/>
      </c>
      <c r="Y179">
        <f>IF($B$1+22&gt;90,X179,(X179+IF($B$1+22&lt;=$B179,12*$B$9,-12*$B$8*(1+$B$4)^22))*IF(X179+IF($B$1+22&lt;=$B179,12*$B$9,-12*$B$8*(1+$B$4)^22)&gt;0,1+$B$3,1))</f>
        <v/>
      </c>
      <c r="Z179">
        <f>IF($B$1+23&gt;90,Y179,(Y179+IF($B$1+23&lt;=$B179,12*$B$9,-12*$B$8*(1+$B$4)^23))*IF(Y179+IF($B$1+23&lt;=$B179,12*$B$9,-12*$B$8*(1+$B$4)^23)&gt;0,1+$B$3,1))</f>
        <v/>
      </c>
      <c r="AA179">
        <f>IF($B$1+24&gt;90,Z179,(Z179+IF($B$1+24&lt;=$B179,12*$B$9,-12*$B$8*(1+$B$4)^24))*IF(Z179+IF($B$1+24&lt;=$B179,12*$B$9,-12*$B$8*(1+$B$4)^24)&gt;0,1+$B$3,1))</f>
        <v/>
      </c>
      <c r="AB179">
        <f>IF($B$1+25&gt;90,AA179,(AA179+IF($B$1+25&lt;=$B179,12*$B$9,-12*$B$8*(1+$B$4)^25))*IF(AA179+IF($B$1+25&lt;=$B179,12*$B$9,-12*$B$8*(1+$B$4)^25)&gt;0,1+$B$3,1))</f>
        <v/>
      </c>
      <c r="AC179">
        <f>IF($B$1+26&gt;90,AB179,(AB179+IF($B$1+26&lt;=$B179,12*$B$9,-12*$B$8*(1+$B$4)^26))*IF(AB179+IF($B$1+26&lt;=$B179,12*$B$9,-12*$B$8*(1+$B$4)^26)&gt;0,1+$B$3,1))</f>
        <v/>
      </c>
      <c r="AD179">
        <f>IF($B$1+27&gt;90,AC179,(AC179+IF($B$1+27&lt;=$B179,12*$B$9,-12*$B$8*(1+$B$4)^27))*IF(AC179+IF($B$1+27&lt;=$B179,12*$B$9,-12*$B$8*(1+$B$4)^27)&gt;0,1+$B$3,1))</f>
        <v/>
      </c>
      <c r="AE179">
        <f>IF($B$1+28&gt;90,AD179,(AD179+IF($B$1+28&lt;=$B179,12*$B$9,-12*$B$8*(1+$B$4)^28))*IF(AD179+IF($B$1+28&lt;=$B179,12*$B$9,-12*$B$8*(1+$B$4)^28)&gt;0,1+$B$3,1))</f>
        <v/>
      </c>
      <c r="AF179">
        <f>IF($B$1+29&gt;90,AE179,(AE179+IF($B$1+29&lt;=$B179,12*$B$9,-12*$B$8*(1+$B$4)^29))*IF(AE179+IF($B$1+29&lt;=$B179,12*$B$9,-12*$B$8*(1+$B$4)^29)&gt;0,1+$B$3,1))</f>
        <v/>
      </c>
      <c r="AG179">
        <f>IF($B$1+30&gt;90,AF179,(AF179+IF($B$1+30&lt;=$B179,12*$B$9,-12*$B$8*(1+$B$4)^30))*IF(AF179+IF($B$1+30&lt;=$B179,12*$B$9,-12*$B$8*(1+$B$4)^30)&gt;0,1+$B$3,1))</f>
        <v/>
      </c>
      <c r="AH179">
        <f>IF($B$1+31&gt;90,AG179,(AG179+IF($B$1+31&lt;=$B179,12*$B$9,-12*$B$8*(1+$B$4)^31))*IF(AG179+IF($B$1+31&lt;=$B179,12*$B$9,-12*$B$8*(1+$B$4)^31)&gt;0,1+$B$3,1))</f>
        <v/>
      </c>
      <c r="AI179">
        <f>IF($B$1+32&gt;90,AH179,(AH179+IF($B$1+32&lt;=$B179,12*$B$9,-12*$B$8*(1+$B$4)^32))*IF(AH179+IF($B$1+32&lt;=$B179,12*$B$9,-12*$B$8*(1+$B$4)^32)&gt;0,1+$B$3,1))</f>
        <v/>
      </c>
      <c r="AJ179">
        <f>IF($B$1+33&gt;90,AI179,(AI179+IF($B$1+33&lt;=$B179,12*$B$9,-12*$B$8*(1+$B$4)^33))*IF(AI179+IF($B$1+33&lt;=$B179,12*$B$9,-12*$B$8*(1+$B$4)^33)&gt;0,1+$B$3,1))</f>
        <v/>
      </c>
      <c r="AK179">
        <f>IF($B$1+34&gt;90,AJ179,(AJ179+IF($B$1+34&lt;=$B179,12*$B$9,-12*$B$8*(1+$B$4)^34))*IF(AJ179+IF($B$1+34&lt;=$B179,12*$B$9,-12*$B$8*(1+$B$4)^34)&gt;0,1+$B$3,1))</f>
        <v/>
      </c>
      <c r="AL179">
        <f>IF($B$1+35&gt;90,AK179,(AK179+IF($B$1+35&lt;=$B179,12*$B$9,-12*$B$8*(1+$B$4)^35))*IF(AK179+IF($B$1+35&lt;=$B179,12*$B$9,-12*$B$8*(1+$B$4)^35)&gt;0,1+$B$3,1))</f>
        <v/>
      </c>
      <c r="AM179">
        <f>IF($B$1+36&gt;90,AL179,(AL179+IF($B$1+36&lt;=$B179,12*$B$9,-12*$B$8*(1+$B$4)^36))*IF(AL179+IF($B$1+36&lt;=$B179,12*$B$9,-12*$B$8*(1+$B$4)^36)&gt;0,1+$B$3,1))</f>
        <v/>
      </c>
      <c r="AN179">
        <f>IF($B$1+37&gt;90,AM179,(AM179+IF($B$1+37&lt;=$B179,12*$B$9,-12*$B$8*(1+$B$4)^37))*IF(AM179+IF($B$1+37&lt;=$B179,12*$B$9,-12*$B$8*(1+$B$4)^37)&gt;0,1+$B$3,1))</f>
        <v/>
      </c>
      <c r="AO179">
        <f>IF($B$1+38&gt;90,AN179,(AN179+IF($B$1+38&lt;=$B179,12*$B$9,-12*$B$8*(1+$B$4)^38))*IF(AN179+IF($B$1+38&lt;=$B179,12*$B$9,-12*$B$8*(1+$B$4)^38)&gt;0,1+$B$3,1))</f>
        <v/>
      </c>
      <c r="AP179">
        <f>IF($B$1+39&gt;90,AO179,(AO179+IF($B$1+39&lt;=$B179,12*$B$9,-12*$B$8*(1+$B$4)^39))*IF(AO179+IF($B$1+39&lt;=$B179,12*$B$9,-12*$B$8*(1+$B$4)^39)&gt;0,1+$B$3,1))</f>
        <v/>
      </c>
      <c r="AQ179">
        <f>IF($B$1+40&gt;90,AP179,(AP179+IF($B$1+40&lt;=$B179,12*$B$9,-12*$B$8*(1+$B$4)^40))*IF(AP179+IF($B$1+40&lt;=$B179,12*$B$9,-12*$B$8*(1+$B$4)^40)&gt;0,1+$B$3,1))</f>
        <v/>
      </c>
      <c r="AR179">
        <f>IF($B$1+41&gt;90,AQ179,(AQ179+IF($B$1+41&lt;=$B179,12*$B$9,-12*$B$8*(1+$B$4)^41))*IF(AQ179+IF($B$1+41&lt;=$B179,12*$B$9,-12*$B$8*(1+$B$4)^41)&gt;0,1+$B$3,1))</f>
        <v/>
      </c>
      <c r="AS179">
        <f>IF($B$1+42&gt;90,AR179,(AR179+IF($B$1+42&lt;=$B179,12*$B$9,-12*$B$8*(1+$B$4)^42))*IF(AR179+IF($B$1+42&lt;=$B179,12*$B$9,-12*$B$8*(1+$B$4)^42)&gt;0,1+$B$3,1))</f>
        <v/>
      </c>
      <c r="AT179">
        <f>IF($B$1+43&gt;90,AS179,(AS179+IF($B$1+43&lt;=$B179,12*$B$9,-12*$B$8*(1+$B$4)^43))*IF(AS179+IF($B$1+43&lt;=$B179,12*$B$9,-12*$B$8*(1+$B$4)^43)&gt;0,1+$B$3,1))</f>
        <v/>
      </c>
      <c r="AU179">
        <f>IF($B$1+44&gt;90,AT179,(AT179+IF($B$1+44&lt;=$B179,12*$B$9,-12*$B$8*(1+$B$4)^44))*IF(AT179+IF($B$1+44&lt;=$B179,12*$B$9,-12*$B$8*(1+$B$4)^44)&gt;0,1+$B$3,1))</f>
        <v/>
      </c>
      <c r="AV179">
        <f>IF($B$1+45&gt;90,AU179,(AU179+IF($B$1+45&lt;=$B179,12*$B$9,-12*$B$8*(1+$B$4)^45))*IF(AU179+IF($B$1+45&lt;=$B179,12*$B$9,-12*$B$8*(1+$B$4)^45)&gt;0,1+$B$3,1))</f>
        <v/>
      </c>
      <c r="AW179">
        <f>IF($B$1+46&gt;90,AV179,(AV179+IF($B$1+46&lt;=$B179,12*$B$9,-12*$B$8*(1+$B$4)^46))*IF(AV179+IF($B$1+46&lt;=$B179,12*$B$9,-12*$B$8*(1+$B$4)^46)&gt;0,1+$B$3,1))</f>
        <v/>
      </c>
      <c r="AX179">
        <f>IF($B$1+47&gt;90,AW179,(AW179+IF($B$1+47&lt;=$B179,12*$B$9,-12*$B$8*(1+$B$4)^47))*IF(AW179+IF($B$1+47&lt;=$B179,12*$B$9,-12*$B$8*(1+$B$4)^47)&gt;0,1+$B$3,1))</f>
        <v/>
      </c>
      <c r="AY179">
        <f>IF($B$1+48&gt;90,AX179,(AX179+IF($B$1+48&lt;=$B179,12*$B$9,-12*$B$8*(1+$B$4)^48))*IF(AX179+IF($B$1+48&lt;=$B179,12*$B$9,-12*$B$8*(1+$B$4)^48)&gt;0,1+$B$3,1))</f>
        <v/>
      </c>
      <c r="AZ179">
        <f>IF($B$1+49&gt;90,AY179,(AY179+IF($B$1+49&lt;=$B179,12*$B$9,-12*$B$8*(1+$B$4)^49))*IF(AY179+IF($B$1+49&lt;=$B179,12*$B$9,-12*$B$8*(1+$B$4)^49)&gt;0,1+$B$3,1))</f>
        <v/>
      </c>
      <c r="BA179">
        <f>IF($B$1+50&gt;90,AZ179,(AZ179+IF($B$1+50&lt;=$B179,12*$B$9,-12*$B$8*(1+$B$4)^50))*IF(AZ179+IF($B$1+50&lt;=$B179,12*$B$9,-12*$B$8*(1+$B$4)^50)&gt;0,1+$B$3,1))</f>
        <v/>
      </c>
      <c r="BB179">
        <f>IF($B$1+51&gt;90,BA179,(BA179+IF($B$1+51&lt;=$B179,12*$B$9,-12*$B$8*(1+$B$4)^51))*IF(BA179+IF($B$1+51&lt;=$B179,12*$B$9,-12*$B$8*(1+$B$4)^51)&gt;0,1+$B$3,1))</f>
        <v/>
      </c>
      <c r="BC179">
        <f>IF($B$1+52&gt;90,BB179,(BB179+IF($B$1+52&lt;=$B179,12*$B$9,-12*$B$8*(1+$B$4)^52))*IF(BB179+IF($B$1+52&lt;=$B179,12*$B$9,-12*$B$8*(1+$B$4)^52)&gt;0,1+$B$3,1))</f>
        <v/>
      </c>
      <c r="BD179">
        <f>IF($B$1+53&gt;90,BC179,(BC179+IF($B$1+53&lt;=$B179,12*$B$9,-12*$B$8*(1+$B$4)^53))*IF(BC179+IF($B$1+53&lt;=$B179,12*$B$9,-12*$B$8*(1+$B$4)^53)&gt;0,1+$B$3,1))</f>
        <v/>
      </c>
      <c r="BE179">
        <f>IF($B$1+54&gt;90,BD179,(BD179+IF($B$1+54&lt;=$B179,12*$B$9,-12*$B$8*(1+$B$4)^54))*IF(BD179+IF($B$1+54&lt;=$B179,12*$B$9,-12*$B$8*(1+$B$4)^54)&gt;0,1+$B$3,1))</f>
        <v/>
      </c>
      <c r="BF179">
        <f>IF($B$1+55&gt;90,BE179,(BE179+IF($B$1+55&lt;=$B179,12*$B$9,-12*$B$8*(1+$B$4)^55))*IF(BE179+IF($B$1+55&lt;=$B179,12*$B$9,-12*$B$8*(1+$B$4)^55)&gt;0,1+$B$3,1))</f>
        <v/>
      </c>
      <c r="BG179">
        <f>IF($B$1+56&gt;90,BF179,(BF179+IF($B$1+56&lt;=$B179,12*$B$9,-12*$B$8*(1+$B$4)^56))*IF(BF179+IF($B$1+56&lt;=$B179,12*$B$9,-12*$B$8*(1+$B$4)^56)&gt;0,1+$B$3,1))</f>
        <v/>
      </c>
      <c r="BH179">
        <f>IF($B$1+57&gt;90,BG179,(BG179+IF($B$1+57&lt;=$B179,12*$B$9,-12*$B$8*(1+$B$4)^57))*IF(BG179+IF($B$1+57&lt;=$B179,12*$B$9,-12*$B$8*(1+$B$4)^57)&gt;0,1+$B$3,1))</f>
        <v/>
      </c>
      <c r="BI179">
        <f>IF($B$1+58&gt;90,BH179,(BH179+IF($B$1+58&lt;=$B179,12*$B$9,-12*$B$8*(1+$B$4)^58))*IF(BH179+IF($B$1+58&lt;=$B179,12*$B$9,-12*$B$8*(1+$B$4)^58)&gt;0,1+$B$3,1))</f>
        <v/>
      </c>
      <c r="BJ179">
        <f>IF($B$1+59&gt;90,BI179,(BI179+IF($B$1+59&lt;=$B179,12*$B$9,-12*$B$8*(1+$B$4)^59))*IF(BI179+IF($B$1+59&lt;=$B179,12*$B$9,-12*$B$8*(1+$B$4)^59)&gt;0,1+$B$3,1))</f>
        <v/>
      </c>
      <c r="BK179">
        <f>IF($B$1+60&gt;90,BJ179,(BJ179+IF($B$1+60&lt;=$B179,12*$B$9,-12*$B$8*(1+$B$4)^60))*IF(BJ179+IF($B$1+60&lt;=$B179,12*$B$9,-12*$B$8*(1+$B$4)^60)&gt;0,1+$B$3,1))</f>
        <v/>
      </c>
      <c r="BL179">
        <f>IF($B$1+61&gt;90,BK179,(BK179+IF($B$1+61&lt;=$B179,12*$B$9,-12*$B$8*(1+$B$4)^61))*IF(BK179+IF($B$1+61&lt;=$B179,12*$B$9,-12*$B$8*(1+$B$4)^61)&gt;0,1+$B$3,1))</f>
        <v/>
      </c>
      <c r="BM179">
        <f>IF($B$1+62&gt;90,BL179,(BL179+IF($B$1+62&lt;=$B179,12*$B$9,-12*$B$8*(1+$B$4)^62))*IF(BL179+IF($B$1+62&lt;=$B179,12*$B$9,-12*$B$8*(1+$B$4)^62)&gt;0,1+$B$3,1))</f>
        <v/>
      </c>
      <c r="BN179">
        <f>IF($B$1+63&gt;90,BM179,(BM179+IF($B$1+63&lt;=$B179,12*$B$9,-12*$B$8*(1+$B$4)^63))*IF(BM179+IF($B$1+63&lt;=$B179,12*$B$9,-12*$B$8*(1+$B$4)^63)&gt;0,1+$B$3,1))</f>
        <v/>
      </c>
      <c r="BO179">
        <f>IF($B$1+64&gt;90,BN179,(BN179+IF($B$1+64&lt;=$B179,12*$B$9,-12*$B$8*(1+$B$4)^64))*IF(BN179+IF($B$1+64&lt;=$B179,12*$B$9,-12*$B$8*(1+$B$4)^64)&gt;0,1+$B$3,1))</f>
        <v/>
      </c>
      <c r="BP179">
        <f>IF($B$1+65&gt;90,BO179,(BO179+IF($B$1+65&lt;=$B179,12*$B$9,-12*$B$8*(1+$B$4)^65))*IF(BO179+IF($B$1+65&lt;=$B179,12*$B$9,-12*$B$8*(1+$B$4)^65)&gt;0,1+$B$3,1))</f>
        <v/>
      </c>
      <c r="BQ179">
        <f>IF($B$1+66&gt;90,BP179,(BP179+IF($B$1+66&lt;=$B179,12*$B$9,-12*$B$8*(1+$B$4)^66))*IF(BP179+IF($B$1+66&lt;=$B179,12*$B$9,-12*$B$8*(1+$B$4)^66)&gt;0,1+$B$3,1))</f>
        <v/>
      </c>
      <c r="BR179">
        <f>IF($B$1+67&gt;90,BQ179,(BQ179+IF($B$1+67&lt;=$B179,12*$B$9,-12*$B$8*(1+$B$4)^67))*IF(BQ179+IF($B$1+67&lt;=$B179,12*$B$9,-12*$B$8*(1+$B$4)^67)&gt;0,1+$B$3,1))</f>
        <v/>
      </c>
      <c r="BS179">
        <f>IF($B$1+68&gt;90,BR179,(BR179+IF($B$1+68&lt;=$B179,12*$B$9,-12*$B$8*(1+$B$4)^68))*IF(BR179+IF($B$1+68&lt;=$B179,12*$B$9,-12*$B$8*(1+$B$4)^68)&gt;0,1+$B$3,1))</f>
        <v/>
      </c>
      <c r="BT179">
        <f>IF($B$1+69&gt;90,BS179,(BS179+IF($B$1+69&lt;=$B179,12*$B$9,-12*$B$8*(1+$B$4)^69))*IF(BS179+IF($B$1+69&lt;=$B179,12*$B$9,-12*$B$8*(1+$B$4)^69)&gt;0,1+$B$3,1))</f>
        <v/>
      </c>
      <c r="BU179">
        <f>IF($B$1+70&gt;90,BT179,(BT179+IF($B$1+70&lt;=$B179,12*$B$9,-12*$B$8*(1+$B$4)^70))*IF(BT179+IF($B$1+70&lt;=$B179,12*$B$9,-12*$B$8*(1+$B$4)^70)&gt;0,1+$B$3,1))</f>
        <v/>
      </c>
      <c r="BV179">
        <f>BU179</f>
        <v/>
      </c>
      <c r="BW179">
        <f>IF(AND($B179&lt;=70,BV179&gt;0),$B179,999)</f>
        <v/>
      </c>
    </row>
    <row r="180">
      <c r="A180" t="n">
        <v>28</v>
      </c>
      <c r="B180">
        <f>$B$1+28</f>
        <v/>
      </c>
      <c r="C180">
        <f>$B$2</f>
        <v/>
      </c>
      <c r="D180">
        <f>IF($B$1+1&gt;90,C180,(C180+IF($B$1+1&lt;=$B180,12*$B$9,-12*$B$8*(1+$B$4)^1))*IF(C180+IF($B$1+1&lt;=$B180,12*$B$9,-12*$B$8*(1+$B$4)^1)&gt;0,1+$B$3,1))</f>
        <v/>
      </c>
      <c r="E180">
        <f>IF($B$1+2&gt;90,D180,(D180+IF($B$1+2&lt;=$B180,12*$B$9,-12*$B$8*(1+$B$4)^2))*IF(D180+IF($B$1+2&lt;=$B180,12*$B$9,-12*$B$8*(1+$B$4)^2)&gt;0,1+$B$3,1))</f>
        <v/>
      </c>
      <c r="F180">
        <f>IF($B$1+3&gt;90,E180,(E180+IF($B$1+3&lt;=$B180,12*$B$9,-12*$B$8*(1+$B$4)^3))*IF(E180+IF($B$1+3&lt;=$B180,12*$B$9,-12*$B$8*(1+$B$4)^3)&gt;0,1+$B$3,1))</f>
        <v/>
      </c>
      <c r="G180">
        <f>IF($B$1+4&gt;90,F180,(F180+IF($B$1+4&lt;=$B180,12*$B$9,-12*$B$8*(1+$B$4)^4))*IF(F180+IF($B$1+4&lt;=$B180,12*$B$9,-12*$B$8*(1+$B$4)^4)&gt;0,1+$B$3,1))</f>
        <v/>
      </c>
      <c r="H180">
        <f>IF($B$1+5&gt;90,G180,(G180+IF($B$1+5&lt;=$B180,12*$B$9,-12*$B$8*(1+$B$4)^5))*IF(G180+IF($B$1+5&lt;=$B180,12*$B$9,-12*$B$8*(1+$B$4)^5)&gt;0,1+$B$3,1))</f>
        <v/>
      </c>
      <c r="I180">
        <f>IF($B$1+6&gt;90,H180,(H180+IF($B$1+6&lt;=$B180,12*$B$9,-12*$B$8*(1+$B$4)^6))*IF(H180+IF($B$1+6&lt;=$B180,12*$B$9,-12*$B$8*(1+$B$4)^6)&gt;0,1+$B$3,1))</f>
        <v/>
      </c>
      <c r="J180">
        <f>IF($B$1+7&gt;90,I180,(I180+IF($B$1+7&lt;=$B180,12*$B$9,-12*$B$8*(1+$B$4)^7))*IF(I180+IF($B$1+7&lt;=$B180,12*$B$9,-12*$B$8*(1+$B$4)^7)&gt;0,1+$B$3,1))</f>
        <v/>
      </c>
      <c r="K180">
        <f>IF($B$1+8&gt;90,J180,(J180+IF($B$1+8&lt;=$B180,12*$B$9,-12*$B$8*(1+$B$4)^8))*IF(J180+IF($B$1+8&lt;=$B180,12*$B$9,-12*$B$8*(1+$B$4)^8)&gt;0,1+$B$3,1))</f>
        <v/>
      </c>
      <c r="L180">
        <f>IF($B$1+9&gt;90,K180,(K180+IF($B$1+9&lt;=$B180,12*$B$9,-12*$B$8*(1+$B$4)^9))*IF(K180+IF($B$1+9&lt;=$B180,12*$B$9,-12*$B$8*(1+$B$4)^9)&gt;0,1+$B$3,1))</f>
        <v/>
      </c>
      <c r="M180">
        <f>IF($B$1+10&gt;90,L180,(L180+IF($B$1+10&lt;=$B180,12*$B$9,-12*$B$8*(1+$B$4)^10))*IF(L180+IF($B$1+10&lt;=$B180,12*$B$9,-12*$B$8*(1+$B$4)^10)&gt;0,1+$B$3,1))</f>
        <v/>
      </c>
      <c r="N180">
        <f>IF($B$1+11&gt;90,M180,(M180+IF($B$1+11&lt;=$B180,12*$B$9,-12*$B$8*(1+$B$4)^11))*IF(M180+IF($B$1+11&lt;=$B180,12*$B$9,-12*$B$8*(1+$B$4)^11)&gt;0,1+$B$3,1))</f>
        <v/>
      </c>
      <c r="O180">
        <f>IF($B$1+12&gt;90,N180,(N180+IF($B$1+12&lt;=$B180,12*$B$9,-12*$B$8*(1+$B$4)^12))*IF(N180+IF($B$1+12&lt;=$B180,12*$B$9,-12*$B$8*(1+$B$4)^12)&gt;0,1+$B$3,1))</f>
        <v/>
      </c>
      <c r="P180">
        <f>IF($B$1+13&gt;90,O180,(O180+IF($B$1+13&lt;=$B180,12*$B$9,-12*$B$8*(1+$B$4)^13))*IF(O180+IF($B$1+13&lt;=$B180,12*$B$9,-12*$B$8*(1+$B$4)^13)&gt;0,1+$B$3,1))</f>
        <v/>
      </c>
      <c r="Q180">
        <f>IF($B$1+14&gt;90,P180,(P180+IF($B$1+14&lt;=$B180,12*$B$9,-12*$B$8*(1+$B$4)^14))*IF(P180+IF($B$1+14&lt;=$B180,12*$B$9,-12*$B$8*(1+$B$4)^14)&gt;0,1+$B$3,1))</f>
        <v/>
      </c>
      <c r="R180">
        <f>IF($B$1+15&gt;90,Q180,(Q180+IF($B$1+15&lt;=$B180,12*$B$9,-12*$B$8*(1+$B$4)^15))*IF(Q180+IF($B$1+15&lt;=$B180,12*$B$9,-12*$B$8*(1+$B$4)^15)&gt;0,1+$B$3,1))</f>
        <v/>
      </c>
      <c r="S180">
        <f>IF($B$1+16&gt;90,R180,(R180+IF($B$1+16&lt;=$B180,12*$B$9,-12*$B$8*(1+$B$4)^16))*IF(R180+IF($B$1+16&lt;=$B180,12*$B$9,-12*$B$8*(1+$B$4)^16)&gt;0,1+$B$3,1))</f>
        <v/>
      </c>
      <c r="T180">
        <f>IF($B$1+17&gt;90,S180,(S180+IF($B$1+17&lt;=$B180,12*$B$9,-12*$B$8*(1+$B$4)^17))*IF(S180+IF($B$1+17&lt;=$B180,12*$B$9,-12*$B$8*(1+$B$4)^17)&gt;0,1+$B$3,1))</f>
        <v/>
      </c>
      <c r="U180">
        <f>IF($B$1+18&gt;90,T180,(T180+IF($B$1+18&lt;=$B180,12*$B$9,-12*$B$8*(1+$B$4)^18))*IF(T180+IF($B$1+18&lt;=$B180,12*$B$9,-12*$B$8*(1+$B$4)^18)&gt;0,1+$B$3,1))</f>
        <v/>
      </c>
      <c r="V180">
        <f>IF($B$1+19&gt;90,U180,(U180+IF($B$1+19&lt;=$B180,12*$B$9,-12*$B$8*(1+$B$4)^19))*IF(U180+IF($B$1+19&lt;=$B180,12*$B$9,-12*$B$8*(1+$B$4)^19)&gt;0,1+$B$3,1))</f>
        <v/>
      </c>
      <c r="W180">
        <f>IF($B$1+20&gt;90,V180,(V180+IF($B$1+20&lt;=$B180,12*$B$9,-12*$B$8*(1+$B$4)^20))*IF(V180+IF($B$1+20&lt;=$B180,12*$B$9,-12*$B$8*(1+$B$4)^20)&gt;0,1+$B$3,1))</f>
        <v/>
      </c>
      <c r="X180">
        <f>IF($B$1+21&gt;90,W180,(W180+IF($B$1+21&lt;=$B180,12*$B$9,-12*$B$8*(1+$B$4)^21))*IF(W180+IF($B$1+21&lt;=$B180,12*$B$9,-12*$B$8*(1+$B$4)^21)&gt;0,1+$B$3,1))</f>
        <v/>
      </c>
      <c r="Y180">
        <f>IF($B$1+22&gt;90,X180,(X180+IF($B$1+22&lt;=$B180,12*$B$9,-12*$B$8*(1+$B$4)^22))*IF(X180+IF($B$1+22&lt;=$B180,12*$B$9,-12*$B$8*(1+$B$4)^22)&gt;0,1+$B$3,1))</f>
        <v/>
      </c>
      <c r="Z180">
        <f>IF($B$1+23&gt;90,Y180,(Y180+IF($B$1+23&lt;=$B180,12*$B$9,-12*$B$8*(1+$B$4)^23))*IF(Y180+IF($B$1+23&lt;=$B180,12*$B$9,-12*$B$8*(1+$B$4)^23)&gt;0,1+$B$3,1))</f>
        <v/>
      </c>
      <c r="AA180">
        <f>IF($B$1+24&gt;90,Z180,(Z180+IF($B$1+24&lt;=$B180,12*$B$9,-12*$B$8*(1+$B$4)^24))*IF(Z180+IF($B$1+24&lt;=$B180,12*$B$9,-12*$B$8*(1+$B$4)^24)&gt;0,1+$B$3,1))</f>
        <v/>
      </c>
      <c r="AB180">
        <f>IF($B$1+25&gt;90,AA180,(AA180+IF($B$1+25&lt;=$B180,12*$B$9,-12*$B$8*(1+$B$4)^25))*IF(AA180+IF($B$1+25&lt;=$B180,12*$B$9,-12*$B$8*(1+$B$4)^25)&gt;0,1+$B$3,1))</f>
        <v/>
      </c>
      <c r="AC180">
        <f>IF($B$1+26&gt;90,AB180,(AB180+IF($B$1+26&lt;=$B180,12*$B$9,-12*$B$8*(1+$B$4)^26))*IF(AB180+IF($B$1+26&lt;=$B180,12*$B$9,-12*$B$8*(1+$B$4)^26)&gt;0,1+$B$3,1))</f>
        <v/>
      </c>
      <c r="AD180">
        <f>IF($B$1+27&gt;90,AC180,(AC180+IF($B$1+27&lt;=$B180,12*$B$9,-12*$B$8*(1+$B$4)^27))*IF(AC180+IF($B$1+27&lt;=$B180,12*$B$9,-12*$B$8*(1+$B$4)^27)&gt;0,1+$B$3,1))</f>
        <v/>
      </c>
      <c r="AE180">
        <f>IF($B$1+28&gt;90,AD180,(AD180+IF($B$1+28&lt;=$B180,12*$B$9,-12*$B$8*(1+$B$4)^28))*IF(AD180+IF($B$1+28&lt;=$B180,12*$B$9,-12*$B$8*(1+$B$4)^28)&gt;0,1+$B$3,1))</f>
        <v/>
      </c>
      <c r="AF180">
        <f>IF($B$1+29&gt;90,AE180,(AE180+IF($B$1+29&lt;=$B180,12*$B$9,-12*$B$8*(1+$B$4)^29))*IF(AE180+IF($B$1+29&lt;=$B180,12*$B$9,-12*$B$8*(1+$B$4)^29)&gt;0,1+$B$3,1))</f>
        <v/>
      </c>
      <c r="AG180">
        <f>IF($B$1+30&gt;90,AF180,(AF180+IF($B$1+30&lt;=$B180,12*$B$9,-12*$B$8*(1+$B$4)^30))*IF(AF180+IF($B$1+30&lt;=$B180,12*$B$9,-12*$B$8*(1+$B$4)^30)&gt;0,1+$B$3,1))</f>
        <v/>
      </c>
      <c r="AH180">
        <f>IF($B$1+31&gt;90,AG180,(AG180+IF($B$1+31&lt;=$B180,12*$B$9,-12*$B$8*(1+$B$4)^31))*IF(AG180+IF($B$1+31&lt;=$B180,12*$B$9,-12*$B$8*(1+$B$4)^31)&gt;0,1+$B$3,1))</f>
        <v/>
      </c>
      <c r="AI180">
        <f>IF($B$1+32&gt;90,AH180,(AH180+IF($B$1+32&lt;=$B180,12*$B$9,-12*$B$8*(1+$B$4)^32))*IF(AH180+IF($B$1+32&lt;=$B180,12*$B$9,-12*$B$8*(1+$B$4)^32)&gt;0,1+$B$3,1))</f>
        <v/>
      </c>
      <c r="AJ180">
        <f>IF($B$1+33&gt;90,AI180,(AI180+IF($B$1+33&lt;=$B180,12*$B$9,-12*$B$8*(1+$B$4)^33))*IF(AI180+IF($B$1+33&lt;=$B180,12*$B$9,-12*$B$8*(1+$B$4)^33)&gt;0,1+$B$3,1))</f>
        <v/>
      </c>
      <c r="AK180">
        <f>IF($B$1+34&gt;90,AJ180,(AJ180+IF($B$1+34&lt;=$B180,12*$B$9,-12*$B$8*(1+$B$4)^34))*IF(AJ180+IF($B$1+34&lt;=$B180,12*$B$9,-12*$B$8*(1+$B$4)^34)&gt;0,1+$B$3,1))</f>
        <v/>
      </c>
      <c r="AL180">
        <f>IF($B$1+35&gt;90,AK180,(AK180+IF($B$1+35&lt;=$B180,12*$B$9,-12*$B$8*(1+$B$4)^35))*IF(AK180+IF($B$1+35&lt;=$B180,12*$B$9,-12*$B$8*(1+$B$4)^35)&gt;0,1+$B$3,1))</f>
        <v/>
      </c>
      <c r="AM180">
        <f>IF($B$1+36&gt;90,AL180,(AL180+IF($B$1+36&lt;=$B180,12*$B$9,-12*$B$8*(1+$B$4)^36))*IF(AL180+IF($B$1+36&lt;=$B180,12*$B$9,-12*$B$8*(1+$B$4)^36)&gt;0,1+$B$3,1))</f>
        <v/>
      </c>
      <c r="AN180">
        <f>IF($B$1+37&gt;90,AM180,(AM180+IF($B$1+37&lt;=$B180,12*$B$9,-12*$B$8*(1+$B$4)^37))*IF(AM180+IF($B$1+37&lt;=$B180,12*$B$9,-12*$B$8*(1+$B$4)^37)&gt;0,1+$B$3,1))</f>
        <v/>
      </c>
      <c r="AO180">
        <f>IF($B$1+38&gt;90,AN180,(AN180+IF($B$1+38&lt;=$B180,12*$B$9,-12*$B$8*(1+$B$4)^38))*IF(AN180+IF($B$1+38&lt;=$B180,12*$B$9,-12*$B$8*(1+$B$4)^38)&gt;0,1+$B$3,1))</f>
        <v/>
      </c>
      <c r="AP180">
        <f>IF($B$1+39&gt;90,AO180,(AO180+IF($B$1+39&lt;=$B180,12*$B$9,-12*$B$8*(1+$B$4)^39))*IF(AO180+IF($B$1+39&lt;=$B180,12*$B$9,-12*$B$8*(1+$B$4)^39)&gt;0,1+$B$3,1))</f>
        <v/>
      </c>
      <c r="AQ180">
        <f>IF($B$1+40&gt;90,AP180,(AP180+IF($B$1+40&lt;=$B180,12*$B$9,-12*$B$8*(1+$B$4)^40))*IF(AP180+IF($B$1+40&lt;=$B180,12*$B$9,-12*$B$8*(1+$B$4)^40)&gt;0,1+$B$3,1))</f>
        <v/>
      </c>
      <c r="AR180">
        <f>IF($B$1+41&gt;90,AQ180,(AQ180+IF($B$1+41&lt;=$B180,12*$B$9,-12*$B$8*(1+$B$4)^41))*IF(AQ180+IF($B$1+41&lt;=$B180,12*$B$9,-12*$B$8*(1+$B$4)^41)&gt;0,1+$B$3,1))</f>
        <v/>
      </c>
      <c r="AS180">
        <f>IF($B$1+42&gt;90,AR180,(AR180+IF($B$1+42&lt;=$B180,12*$B$9,-12*$B$8*(1+$B$4)^42))*IF(AR180+IF($B$1+42&lt;=$B180,12*$B$9,-12*$B$8*(1+$B$4)^42)&gt;0,1+$B$3,1))</f>
        <v/>
      </c>
      <c r="AT180">
        <f>IF($B$1+43&gt;90,AS180,(AS180+IF($B$1+43&lt;=$B180,12*$B$9,-12*$B$8*(1+$B$4)^43))*IF(AS180+IF($B$1+43&lt;=$B180,12*$B$9,-12*$B$8*(1+$B$4)^43)&gt;0,1+$B$3,1))</f>
        <v/>
      </c>
      <c r="AU180">
        <f>IF($B$1+44&gt;90,AT180,(AT180+IF($B$1+44&lt;=$B180,12*$B$9,-12*$B$8*(1+$B$4)^44))*IF(AT180+IF($B$1+44&lt;=$B180,12*$B$9,-12*$B$8*(1+$B$4)^44)&gt;0,1+$B$3,1))</f>
        <v/>
      </c>
      <c r="AV180">
        <f>IF($B$1+45&gt;90,AU180,(AU180+IF($B$1+45&lt;=$B180,12*$B$9,-12*$B$8*(1+$B$4)^45))*IF(AU180+IF($B$1+45&lt;=$B180,12*$B$9,-12*$B$8*(1+$B$4)^45)&gt;0,1+$B$3,1))</f>
        <v/>
      </c>
      <c r="AW180">
        <f>IF($B$1+46&gt;90,AV180,(AV180+IF($B$1+46&lt;=$B180,12*$B$9,-12*$B$8*(1+$B$4)^46))*IF(AV180+IF($B$1+46&lt;=$B180,12*$B$9,-12*$B$8*(1+$B$4)^46)&gt;0,1+$B$3,1))</f>
        <v/>
      </c>
      <c r="AX180">
        <f>IF($B$1+47&gt;90,AW180,(AW180+IF($B$1+47&lt;=$B180,12*$B$9,-12*$B$8*(1+$B$4)^47))*IF(AW180+IF($B$1+47&lt;=$B180,12*$B$9,-12*$B$8*(1+$B$4)^47)&gt;0,1+$B$3,1))</f>
        <v/>
      </c>
      <c r="AY180">
        <f>IF($B$1+48&gt;90,AX180,(AX180+IF($B$1+48&lt;=$B180,12*$B$9,-12*$B$8*(1+$B$4)^48))*IF(AX180+IF($B$1+48&lt;=$B180,12*$B$9,-12*$B$8*(1+$B$4)^48)&gt;0,1+$B$3,1))</f>
        <v/>
      </c>
      <c r="AZ180">
        <f>IF($B$1+49&gt;90,AY180,(AY180+IF($B$1+49&lt;=$B180,12*$B$9,-12*$B$8*(1+$B$4)^49))*IF(AY180+IF($B$1+49&lt;=$B180,12*$B$9,-12*$B$8*(1+$B$4)^49)&gt;0,1+$B$3,1))</f>
        <v/>
      </c>
      <c r="BA180">
        <f>IF($B$1+50&gt;90,AZ180,(AZ180+IF($B$1+50&lt;=$B180,12*$B$9,-12*$B$8*(1+$B$4)^50))*IF(AZ180+IF($B$1+50&lt;=$B180,12*$B$9,-12*$B$8*(1+$B$4)^50)&gt;0,1+$B$3,1))</f>
        <v/>
      </c>
      <c r="BB180">
        <f>IF($B$1+51&gt;90,BA180,(BA180+IF($B$1+51&lt;=$B180,12*$B$9,-12*$B$8*(1+$B$4)^51))*IF(BA180+IF($B$1+51&lt;=$B180,12*$B$9,-12*$B$8*(1+$B$4)^51)&gt;0,1+$B$3,1))</f>
        <v/>
      </c>
      <c r="BC180">
        <f>IF($B$1+52&gt;90,BB180,(BB180+IF($B$1+52&lt;=$B180,12*$B$9,-12*$B$8*(1+$B$4)^52))*IF(BB180+IF($B$1+52&lt;=$B180,12*$B$9,-12*$B$8*(1+$B$4)^52)&gt;0,1+$B$3,1))</f>
        <v/>
      </c>
      <c r="BD180">
        <f>IF($B$1+53&gt;90,BC180,(BC180+IF($B$1+53&lt;=$B180,12*$B$9,-12*$B$8*(1+$B$4)^53))*IF(BC180+IF($B$1+53&lt;=$B180,12*$B$9,-12*$B$8*(1+$B$4)^53)&gt;0,1+$B$3,1))</f>
        <v/>
      </c>
      <c r="BE180">
        <f>IF($B$1+54&gt;90,BD180,(BD180+IF($B$1+54&lt;=$B180,12*$B$9,-12*$B$8*(1+$B$4)^54))*IF(BD180+IF($B$1+54&lt;=$B180,12*$B$9,-12*$B$8*(1+$B$4)^54)&gt;0,1+$B$3,1))</f>
        <v/>
      </c>
      <c r="BF180">
        <f>IF($B$1+55&gt;90,BE180,(BE180+IF($B$1+55&lt;=$B180,12*$B$9,-12*$B$8*(1+$B$4)^55))*IF(BE180+IF($B$1+55&lt;=$B180,12*$B$9,-12*$B$8*(1+$B$4)^55)&gt;0,1+$B$3,1))</f>
        <v/>
      </c>
      <c r="BG180">
        <f>IF($B$1+56&gt;90,BF180,(BF180+IF($B$1+56&lt;=$B180,12*$B$9,-12*$B$8*(1+$B$4)^56))*IF(BF180+IF($B$1+56&lt;=$B180,12*$B$9,-12*$B$8*(1+$B$4)^56)&gt;0,1+$B$3,1))</f>
        <v/>
      </c>
      <c r="BH180">
        <f>IF($B$1+57&gt;90,BG180,(BG180+IF($B$1+57&lt;=$B180,12*$B$9,-12*$B$8*(1+$B$4)^57))*IF(BG180+IF($B$1+57&lt;=$B180,12*$B$9,-12*$B$8*(1+$B$4)^57)&gt;0,1+$B$3,1))</f>
        <v/>
      </c>
      <c r="BI180">
        <f>IF($B$1+58&gt;90,BH180,(BH180+IF($B$1+58&lt;=$B180,12*$B$9,-12*$B$8*(1+$B$4)^58))*IF(BH180+IF($B$1+58&lt;=$B180,12*$B$9,-12*$B$8*(1+$B$4)^58)&gt;0,1+$B$3,1))</f>
        <v/>
      </c>
      <c r="BJ180">
        <f>IF($B$1+59&gt;90,BI180,(BI180+IF($B$1+59&lt;=$B180,12*$B$9,-12*$B$8*(1+$B$4)^59))*IF(BI180+IF($B$1+59&lt;=$B180,12*$B$9,-12*$B$8*(1+$B$4)^59)&gt;0,1+$B$3,1))</f>
        <v/>
      </c>
      <c r="BK180">
        <f>IF($B$1+60&gt;90,BJ180,(BJ180+IF($B$1+60&lt;=$B180,12*$B$9,-12*$B$8*(1+$B$4)^60))*IF(BJ180+IF($B$1+60&lt;=$B180,12*$B$9,-12*$B$8*(1+$B$4)^60)&gt;0,1+$B$3,1))</f>
        <v/>
      </c>
      <c r="BL180">
        <f>IF($B$1+61&gt;90,BK180,(BK180+IF($B$1+61&lt;=$B180,12*$B$9,-12*$B$8*(1+$B$4)^61))*IF(BK180+IF($B$1+61&lt;=$B180,12*$B$9,-12*$B$8*(1+$B$4)^61)&gt;0,1+$B$3,1))</f>
        <v/>
      </c>
      <c r="BM180">
        <f>IF($B$1+62&gt;90,BL180,(BL180+IF($B$1+62&lt;=$B180,12*$B$9,-12*$B$8*(1+$B$4)^62))*IF(BL180+IF($B$1+62&lt;=$B180,12*$B$9,-12*$B$8*(1+$B$4)^62)&gt;0,1+$B$3,1))</f>
        <v/>
      </c>
      <c r="BN180">
        <f>IF($B$1+63&gt;90,BM180,(BM180+IF($B$1+63&lt;=$B180,12*$B$9,-12*$B$8*(1+$B$4)^63))*IF(BM180+IF($B$1+63&lt;=$B180,12*$B$9,-12*$B$8*(1+$B$4)^63)&gt;0,1+$B$3,1))</f>
        <v/>
      </c>
      <c r="BO180">
        <f>IF($B$1+64&gt;90,BN180,(BN180+IF($B$1+64&lt;=$B180,12*$B$9,-12*$B$8*(1+$B$4)^64))*IF(BN180+IF($B$1+64&lt;=$B180,12*$B$9,-12*$B$8*(1+$B$4)^64)&gt;0,1+$B$3,1))</f>
        <v/>
      </c>
      <c r="BP180">
        <f>IF($B$1+65&gt;90,BO180,(BO180+IF($B$1+65&lt;=$B180,12*$B$9,-12*$B$8*(1+$B$4)^65))*IF(BO180+IF($B$1+65&lt;=$B180,12*$B$9,-12*$B$8*(1+$B$4)^65)&gt;0,1+$B$3,1))</f>
        <v/>
      </c>
      <c r="BQ180">
        <f>IF($B$1+66&gt;90,BP180,(BP180+IF($B$1+66&lt;=$B180,12*$B$9,-12*$B$8*(1+$B$4)^66))*IF(BP180+IF($B$1+66&lt;=$B180,12*$B$9,-12*$B$8*(1+$B$4)^66)&gt;0,1+$B$3,1))</f>
        <v/>
      </c>
      <c r="BR180">
        <f>IF($B$1+67&gt;90,BQ180,(BQ180+IF($B$1+67&lt;=$B180,12*$B$9,-12*$B$8*(1+$B$4)^67))*IF(BQ180+IF($B$1+67&lt;=$B180,12*$B$9,-12*$B$8*(1+$B$4)^67)&gt;0,1+$B$3,1))</f>
        <v/>
      </c>
      <c r="BS180">
        <f>IF($B$1+68&gt;90,BR180,(BR180+IF($B$1+68&lt;=$B180,12*$B$9,-12*$B$8*(1+$B$4)^68))*IF(BR180+IF($B$1+68&lt;=$B180,12*$B$9,-12*$B$8*(1+$B$4)^68)&gt;0,1+$B$3,1))</f>
        <v/>
      </c>
      <c r="BT180">
        <f>IF($B$1+69&gt;90,BS180,(BS180+IF($B$1+69&lt;=$B180,12*$B$9,-12*$B$8*(1+$B$4)^69))*IF(BS180+IF($B$1+69&lt;=$B180,12*$B$9,-12*$B$8*(1+$B$4)^69)&gt;0,1+$B$3,1))</f>
        <v/>
      </c>
      <c r="BU180">
        <f>IF($B$1+70&gt;90,BT180,(BT180+IF($B$1+70&lt;=$B180,12*$B$9,-12*$B$8*(1+$B$4)^70))*IF(BT180+IF($B$1+70&lt;=$B180,12*$B$9,-12*$B$8*(1+$B$4)^70)&gt;0,1+$B$3,1))</f>
        <v/>
      </c>
      <c r="BV180">
        <f>BU180</f>
        <v/>
      </c>
      <c r="BW180">
        <f>IF(AND($B180&lt;=70,BV180&gt;0),$B180,999)</f>
        <v/>
      </c>
    </row>
    <row r="181">
      <c r="A181" t="n">
        <v>29</v>
      </c>
      <c r="B181">
        <f>$B$1+29</f>
        <v/>
      </c>
      <c r="C181">
        <f>$B$2</f>
        <v/>
      </c>
      <c r="D181">
        <f>IF($B$1+1&gt;90,C181,(C181+IF($B$1+1&lt;=$B181,12*$B$9,-12*$B$8*(1+$B$4)^1))*IF(C181+IF($B$1+1&lt;=$B181,12*$B$9,-12*$B$8*(1+$B$4)^1)&gt;0,1+$B$3,1))</f>
        <v/>
      </c>
      <c r="E181">
        <f>IF($B$1+2&gt;90,D181,(D181+IF($B$1+2&lt;=$B181,12*$B$9,-12*$B$8*(1+$B$4)^2))*IF(D181+IF($B$1+2&lt;=$B181,12*$B$9,-12*$B$8*(1+$B$4)^2)&gt;0,1+$B$3,1))</f>
        <v/>
      </c>
      <c r="F181">
        <f>IF($B$1+3&gt;90,E181,(E181+IF($B$1+3&lt;=$B181,12*$B$9,-12*$B$8*(1+$B$4)^3))*IF(E181+IF($B$1+3&lt;=$B181,12*$B$9,-12*$B$8*(1+$B$4)^3)&gt;0,1+$B$3,1))</f>
        <v/>
      </c>
      <c r="G181">
        <f>IF($B$1+4&gt;90,F181,(F181+IF($B$1+4&lt;=$B181,12*$B$9,-12*$B$8*(1+$B$4)^4))*IF(F181+IF($B$1+4&lt;=$B181,12*$B$9,-12*$B$8*(1+$B$4)^4)&gt;0,1+$B$3,1))</f>
        <v/>
      </c>
      <c r="H181">
        <f>IF($B$1+5&gt;90,G181,(G181+IF($B$1+5&lt;=$B181,12*$B$9,-12*$B$8*(1+$B$4)^5))*IF(G181+IF($B$1+5&lt;=$B181,12*$B$9,-12*$B$8*(1+$B$4)^5)&gt;0,1+$B$3,1))</f>
        <v/>
      </c>
      <c r="I181">
        <f>IF($B$1+6&gt;90,H181,(H181+IF($B$1+6&lt;=$B181,12*$B$9,-12*$B$8*(1+$B$4)^6))*IF(H181+IF($B$1+6&lt;=$B181,12*$B$9,-12*$B$8*(1+$B$4)^6)&gt;0,1+$B$3,1))</f>
        <v/>
      </c>
      <c r="J181">
        <f>IF($B$1+7&gt;90,I181,(I181+IF($B$1+7&lt;=$B181,12*$B$9,-12*$B$8*(1+$B$4)^7))*IF(I181+IF($B$1+7&lt;=$B181,12*$B$9,-12*$B$8*(1+$B$4)^7)&gt;0,1+$B$3,1))</f>
        <v/>
      </c>
      <c r="K181">
        <f>IF($B$1+8&gt;90,J181,(J181+IF($B$1+8&lt;=$B181,12*$B$9,-12*$B$8*(1+$B$4)^8))*IF(J181+IF($B$1+8&lt;=$B181,12*$B$9,-12*$B$8*(1+$B$4)^8)&gt;0,1+$B$3,1))</f>
        <v/>
      </c>
      <c r="L181">
        <f>IF($B$1+9&gt;90,K181,(K181+IF($B$1+9&lt;=$B181,12*$B$9,-12*$B$8*(1+$B$4)^9))*IF(K181+IF($B$1+9&lt;=$B181,12*$B$9,-12*$B$8*(1+$B$4)^9)&gt;0,1+$B$3,1))</f>
        <v/>
      </c>
      <c r="M181">
        <f>IF($B$1+10&gt;90,L181,(L181+IF($B$1+10&lt;=$B181,12*$B$9,-12*$B$8*(1+$B$4)^10))*IF(L181+IF($B$1+10&lt;=$B181,12*$B$9,-12*$B$8*(1+$B$4)^10)&gt;0,1+$B$3,1))</f>
        <v/>
      </c>
      <c r="N181">
        <f>IF($B$1+11&gt;90,M181,(M181+IF($B$1+11&lt;=$B181,12*$B$9,-12*$B$8*(1+$B$4)^11))*IF(M181+IF($B$1+11&lt;=$B181,12*$B$9,-12*$B$8*(1+$B$4)^11)&gt;0,1+$B$3,1))</f>
        <v/>
      </c>
      <c r="O181">
        <f>IF($B$1+12&gt;90,N181,(N181+IF($B$1+12&lt;=$B181,12*$B$9,-12*$B$8*(1+$B$4)^12))*IF(N181+IF($B$1+12&lt;=$B181,12*$B$9,-12*$B$8*(1+$B$4)^12)&gt;0,1+$B$3,1))</f>
        <v/>
      </c>
      <c r="P181">
        <f>IF($B$1+13&gt;90,O181,(O181+IF($B$1+13&lt;=$B181,12*$B$9,-12*$B$8*(1+$B$4)^13))*IF(O181+IF($B$1+13&lt;=$B181,12*$B$9,-12*$B$8*(1+$B$4)^13)&gt;0,1+$B$3,1))</f>
        <v/>
      </c>
      <c r="Q181">
        <f>IF($B$1+14&gt;90,P181,(P181+IF($B$1+14&lt;=$B181,12*$B$9,-12*$B$8*(1+$B$4)^14))*IF(P181+IF($B$1+14&lt;=$B181,12*$B$9,-12*$B$8*(1+$B$4)^14)&gt;0,1+$B$3,1))</f>
        <v/>
      </c>
      <c r="R181">
        <f>IF($B$1+15&gt;90,Q181,(Q181+IF($B$1+15&lt;=$B181,12*$B$9,-12*$B$8*(1+$B$4)^15))*IF(Q181+IF($B$1+15&lt;=$B181,12*$B$9,-12*$B$8*(1+$B$4)^15)&gt;0,1+$B$3,1))</f>
        <v/>
      </c>
      <c r="S181">
        <f>IF($B$1+16&gt;90,R181,(R181+IF($B$1+16&lt;=$B181,12*$B$9,-12*$B$8*(1+$B$4)^16))*IF(R181+IF($B$1+16&lt;=$B181,12*$B$9,-12*$B$8*(1+$B$4)^16)&gt;0,1+$B$3,1))</f>
        <v/>
      </c>
      <c r="T181">
        <f>IF($B$1+17&gt;90,S181,(S181+IF($B$1+17&lt;=$B181,12*$B$9,-12*$B$8*(1+$B$4)^17))*IF(S181+IF($B$1+17&lt;=$B181,12*$B$9,-12*$B$8*(1+$B$4)^17)&gt;0,1+$B$3,1))</f>
        <v/>
      </c>
      <c r="U181">
        <f>IF($B$1+18&gt;90,T181,(T181+IF($B$1+18&lt;=$B181,12*$B$9,-12*$B$8*(1+$B$4)^18))*IF(T181+IF($B$1+18&lt;=$B181,12*$B$9,-12*$B$8*(1+$B$4)^18)&gt;0,1+$B$3,1))</f>
        <v/>
      </c>
      <c r="V181">
        <f>IF($B$1+19&gt;90,U181,(U181+IF($B$1+19&lt;=$B181,12*$B$9,-12*$B$8*(1+$B$4)^19))*IF(U181+IF($B$1+19&lt;=$B181,12*$B$9,-12*$B$8*(1+$B$4)^19)&gt;0,1+$B$3,1))</f>
        <v/>
      </c>
      <c r="W181">
        <f>IF($B$1+20&gt;90,V181,(V181+IF($B$1+20&lt;=$B181,12*$B$9,-12*$B$8*(1+$B$4)^20))*IF(V181+IF($B$1+20&lt;=$B181,12*$B$9,-12*$B$8*(1+$B$4)^20)&gt;0,1+$B$3,1))</f>
        <v/>
      </c>
      <c r="X181">
        <f>IF($B$1+21&gt;90,W181,(W181+IF($B$1+21&lt;=$B181,12*$B$9,-12*$B$8*(1+$B$4)^21))*IF(W181+IF($B$1+21&lt;=$B181,12*$B$9,-12*$B$8*(1+$B$4)^21)&gt;0,1+$B$3,1))</f>
        <v/>
      </c>
      <c r="Y181">
        <f>IF($B$1+22&gt;90,X181,(X181+IF($B$1+22&lt;=$B181,12*$B$9,-12*$B$8*(1+$B$4)^22))*IF(X181+IF($B$1+22&lt;=$B181,12*$B$9,-12*$B$8*(1+$B$4)^22)&gt;0,1+$B$3,1))</f>
        <v/>
      </c>
      <c r="Z181">
        <f>IF($B$1+23&gt;90,Y181,(Y181+IF($B$1+23&lt;=$B181,12*$B$9,-12*$B$8*(1+$B$4)^23))*IF(Y181+IF($B$1+23&lt;=$B181,12*$B$9,-12*$B$8*(1+$B$4)^23)&gt;0,1+$B$3,1))</f>
        <v/>
      </c>
      <c r="AA181">
        <f>IF($B$1+24&gt;90,Z181,(Z181+IF($B$1+24&lt;=$B181,12*$B$9,-12*$B$8*(1+$B$4)^24))*IF(Z181+IF($B$1+24&lt;=$B181,12*$B$9,-12*$B$8*(1+$B$4)^24)&gt;0,1+$B$3,1))</f>
        <v/>
      </c>
      <c r="AB181">
        <f>IF($B$1+25&gt;90,AA181,(AA181+IF($B$1+25&lt;=$B181,12*$B$9,-12*$B$8*(1+$B$4)^25))*IF(AA181+IF($B$1+25&lt;=$B181,12*$B$9,-12*$B$8*(1+$B$4)^25)&gt;0,1+$B$3,1))</f>
        <v/>
      </c>
      <c r="AC181">
        <f>IF($B$1+26&gt;90,AB181,(AB181+IF($B$1+26&lt;=$B181,12*$B$9,-12*$B$8*(1+$B$4)^26))*IF(AB181+IF($B$1+26&lt;=$B181,12*$B$9,-12*$B$8*(1+$B$4)^26)&gt;0,1+$B$3,1))</f>
        <v/>
      </c>
      <c r="AD181">
        <f>IF($B$1+27&gt;90,AC181,(AC181+IF($B$1+27&lt;=$B181,12*$B$9,-12*$B$8*(1+$B$4)^27))*IF(AC181+IF($B$1+27&lt;=$B181,12*$B$9,-12*$B$8*(1+$B$4)^27)&gt;0,1+$B$3,1))</f>
        <v/>
      </c>
      <c r="AE181">
        <f>IF($B$1+28&gt;90,AD181,(AD181+IF($B$1+28&lt;=$B181,12*$B$9,-12*$B$8*(1+$B$4)^28))*IF(AD181+IF($B$1+28&lt;=$B181,12*$B$9,-12*$B$8*(1+$B$4)^28)&gt;0,1+$B$3,1))</f>
        <v/>
      </c>
      <c r="AF181">
        <f>IF($B$1+29&gt;90,AE181,(AE181+IF($B$1+29&lt;=$B181,12*$B$9,-12*$B$8*(1+$B$4)^29))*IF(AE181+IF($B$1+29&lt;=$B181,12*$B$9,-12*$B$8*(1+$B$4)^29)&gt;0,1+$B$3,1))</f>
        <v/>
      </c>
      <c r="AG181">
        <f>IF($B$1+30&gt;90,AF181,(AF181+IF($B$1+30&lt;=$B181,12*$B$9,-12*$B$8*(1+$B$4)^30))*IF(AF181+IF($B$1+30&lt;=$B181,12*$B$9,-12*$B$8*(1+$B$4)^30)&gt;0,1+$B$3,1))</f>
        <v/>
      </c>
      <c r="AH181">
        <f>IF($B$1+31&gt;90,AG181,(AG181+IF($B$1+31&lt;=$B181,12*$B$9,-12*$B$8*(1+$B$4)^31))*IF(AG181+IF($B$1+31&lt;=$B181,12*$B$9,-12*$B$8*(1+$B$4)^31)&gt;0,1+$B$3,1))</f>
        <v/>
      </c>
      <c r="AI181">
        <f>IF($B$1+32&gt;90,AH181,(AH181+IF($B$1+32&lt;=$B181,12*$B$9,-12*$B$8*(1+$B$4)^32))*IF(AH181+IF($B$1+32&lt;=$B181,12*$B$9,-12*$B$8*(1+$B$4)^32)&gt;0,1+$B$3,1))</f>
        <v/>
      </c>
      <c r="AJ181">
        <f>IF($B$1+33&gt;90,AI181,(AI181+IF($B$1+33&lt;=$B181,12*$B$9,-12*$B$8*(1+$B$4)^33))*IF(AI181+IF($B$1+33&lt;=$B181,12*$B$9,-12*$B$8*(1+$B$4)^33)&gt;0,1+$B$3,1))</f>
        <v/>
      </c>
      <c r="AK181">
        <f>IF($B$1+34&gt;90,AJ181,(AJ181+IF($B$1+34&lt;=$B181,12*$B$9,-12*$B$8*(1+$B$4)^34))*IF(AJ181+IF($B$1+34&lt;=$B181,12*$B$9,-12*$B$8*(1+$B$4)^34)&gt;0,1+$B$3,1))</f>
        <v/>
      </c>
      <c r="AL181">
        <f>IF($B$1+35&gt;90,AK181,(AK181+IF($B$1+35&lt;=$B181,12*$B$9,-12*$B$8*(1+$B$4)^35))*IF(AK181+IF($B$1+35&lt;=$B181,12*$B$9,-12*$B$8*(1+$B$4)^35)&gt;0,1+$B$3,1))</f>
        <v/>
      </c>
      <c r="AM181">
        <f>IF($B$1+36&gt;90,AL181,(AL181+IF($B$1+36&lt;=$B181,12*$B$9,-12*$B$8*(1+$B$4)^36))*IF(AL181+IF($B$1+36&lt;=$B181,12*$B$9,-12*$B$8*(1+$B$4)^36)&gt;0,1+$B$3,1))</f>
        <v/>
      </c>
      <c r="AN181">
        <f>IF($B$1+37&gt;90,AM181,(AM181+IF($B$1+37&lt;=$B181,12*$B$9,-12*$B$8*(1+$B$4)^37))*IF(AM181+IF($B$1+37&lt;=$B181,12*$B$9,-12*$B$8*(1+$B$4)^37)&gt;0,1+$B$3,1))</f>
        <v/>
      </c>
      <c r="AO181">
        <f>IF($B$1+38&gt;90,AN181,(AN181+IF($B$1+38&lt;=$B181,12*$B$9,-12*$B$8*(1+$B$4)^38))*IF(AN181+IF($B$1+38&lt;=$B181,12*$B$9,-12*$B$8*(1+$B$4)^38)&gt;0,1+$B$3,1))</f>
        <v/>
      </c>
      <c r="AP181">
        <f>IF($B$1+39&gt;90,AO181,(AO181+IF($B$1+39&lt;=$B181,12*$B$9,-12*$B$8*(1+$B$4)^39))*IF(AO181+IF($B$1+39&lt;=$B181,12*$B$9,-12*$B$8*(1+$B$4)^39)&gt;0,1+$B$3,1))</f>
        <v/>
      </c>
      <c r="AQ181">
        <f>IF($B$1+40&gt;90,AP181,(AP181+IF($B$1+40&lt;=$B181,12*$B$9,-12*$B$8*(1+$B$4)^40))*IF(AP181+IF($B$1+40&lt;=$B181,12*$B$9,-12*$B$8*(1+$B$4)^40)&gt;0,1+$B$3,1))</f>
        <v/>
      </c>
      <c r="AR181">
        <f>IF($B$1+41&gt;90,AQ181,(AQ181+IF($B$1+41&lt;=$B181,12*$B$9,-12*$B$8*(1+$B$4)^41))*IF(AQ181+IF($B$1+41&lt;=$B181,12*$B$9,-12*$B$8*(1+$B$4)^41)&gt;0,1+$B$3,1))</f>
        <v/>
      </c>
      <c r="AS181">
        <f>IF($B$1+42&gt;90,AR181,(AR181+IF($B$1+42&lt;=$B181,12*$B$9,-12*$B$8*(1+$B$4)^42))*IF(AR181+IF($B$1+42&lt;=$B181,12*$B$9,-12*$B$8*(1+$B$4)^42)&gt;0,1+$B$3,1))</f>
        <v/>
      </c>
      <c r="AT181">
        <f>IF($B$1+43&gt;90,AS181,(AS181+IF($B$1+43&lt;=$B181,12*$B$9,-12*$B$8*(1+$B$4)^43))*IF(AS181+IF($B$1+43&lt;=$B181,12*$B$9,-12*$B$8*(1+$B$4)^43)&gt;0,1+$B$3,1))</f>
        <v/>
      </c>
      <c r="AU181">
        <f>IF($B$1+44&gt;90,AT181,(AT181+IF($B$1+44&lt;=$B181,12*$B$9,-12*$B$8*(1+$B$4)^44))*IF(AT181+IF($B$1+44&lt;=$B181,12*$B$9,-12*$B$8*(1+$B$4)^44)&gt;0,1+$B$3,1))</f>
        <v/>
      </c>
      <c r="AV181">
        <f>IF($B$1+45&gt;90,AU181,(AU181+IF($B$1+45&lt;=$B181,12*$B$9,-12*$B$8*(1+$B$4)^45))*IF(AU181+IF($B$1+45&lt;=$B181,12*$B$9,-12*$B$8*(1+$B$4)^45)&gt;0,1+$B$3,1))</f>
        <v/>
      </c>
      <c r="AW181">
        <f>IF($B$1+46&gt;90,AV181,(AV181+IF($B$1+46&lt;=$B181,12*$B$9,-12*$B$8*(1+$B$4)^46))*IF(AV181+IF($B$1+46&lt;=$B181,12*$B$9,-12*$B$8*(1+$B$4)^46)&gt;0,1+$B$3,1))</f>
        <v/>
      </c>
      <c r="AX181">
        <f>IF($B$1+47&gt;90,AW181,(AW181+IF($B$1+47&lt;=$B181,12*$B$9,-12*$B$8*(1+$B$4)^47))*IF(AW181+IF($B$1+47&lt;=$B181,12*$B$9,-12*$B$8*(1+$B$4)^47)&gt;0,1+$B$3,1))</f>
        <v/>
      </c>
      <c r="AY181">
        <f>IF($B$1+48&gt;90,AX181,(AX181+IF($B$1+48&lt;=$B181,12*$B$9,-12*$B$8*(1+$B$4)^48))*IF(AX181+IF($B$1+48&lt;=$B181,12*$B$9,-12*$B$8*(1+$B$4)^48)&gt;0,1+$B$3,1))</f>
        <v/>
      </c>
      <c r="AZ181">
        <f>IF($B$1+49&gt;90,AY181,(AY181+IF($B$1+49&lt;=$B181,12*$B$9,-12*$B$8*(1+$B$4)^49))*IF(AY181+IF($B$1+49&lt;=$B181,12*$B$9,-12*$B$8*(1+$B$4)^49)&gt;0,1+$B$3,1))</f>
        <v/>
      </c>
      <c r="BA181">
        <f>IF($B$1+50&gt;90,AZ181,(AZ181+IF($B$1+50&lt;=$B181,12*$B$9,-12*$B$8*(1+$B$4)^50))*IF(AZ181+IF($B$1+50&lt;=$B181,12*$B$9,-12*$B$8*(1+$B$4)^50)&gt;0,1+$B$3,1))</f>
        <v/>
      </c>
      <c r="BB181">
        <f>IF($B$1+51&gt;90,BA181,(BA181+IF($B$1+51&lt;=$B181,12*$B$9,-12*$B$8*(1+$B$4)^51))*IF(BA181+IF($B$1+51&lt;=$B181,12*$B$9,-12*$B$8*(1+$B$4)^51)&gt;0,1+$B$3,1))</f>
        <v/>
      </c>
      <c r="BC181">
        <f>IF($B$1+52&gt;90,BB181,(BB181+IF($B$1+52&lt;=$B181,12*$B$9,-12*$B$8*(1+$B$4)^52))*IF(BB181+IF($B$1+52&lt;=$B181,12*$B$9,-12*$B$8*(1+$B$4)^52)&gt;0,1+$B$3,1))</f>
        <v/>
      </c>
      <c r="BD181">
        <f>IF($B$1+53&gt;90,BC181,(BC181+IF($B$1+53&lt;=$B181,12*$B$9,-12*$B$8*(1+$B$4)^53))*IF(BC181+IF($B$1+53&lt;=$B181,12*$B$9,-12*$B$8*(1+$B$4)^53)&gt;0,1+$B$3,1))</f>
        <v/>
      </c>
      <c r="BE181">
        <f>IF($B$1+54&gt;90,BD181,(BD181+IF($B$1+54&lt;=$B181,12*$B$9,-12*$B$8*(1+$B$4)^54))*IF(BD181+IF($B$1+54&lt;=$B181,12*$B$9,-12*$B$8*(1+$B$4)^54)&gt;0,1+$B$3,1))</f>
        <v/>
      </c>
      <c r="BF181">
        <f>IF($B$1+55&gt;90,BE181,(BE181+IF($B$1+55&lt;=$B181,12*$B$9,-12*$B$8*(1+$B$4)^55))*IF(BE181+IF($B$1+55&lt;=$B181,12*$B$9,-12*$B$8*(1+$B$4)^55)&gt;0,1+$B$3,1))</f>
        <v/>
      </c>
      <c r="BG181">
        <f>IF($B$1+56&gt;90,BF181,(BF181+IF($B$1+56&lt;=$B181,12*$B$9,-12*$B$8*(1+$B$4)^56))*IF(BF181+IF($B$1+56&lt;=$B181,12*$B$9,-12*$B$8*(1+$B$4)^56)&gt;0,1+$B$3,1))</f>
        <v/>
      </c>
      <c r="BH181">
        <f>IF($B$1+57&gt;90,BG181,(BG181+IF($B$1+57&lt;=$B181,12*$B$9,-12*$B$8*(1+$B$4)^57))*IF(BG181+IF($B$1+57&lt;=$B181,12*$B$9,-12*$B$8*(1+$B$4)^57)&gt;0,1+$B$3,1))</f>
        <v/>
      </c>
      <c r="BI181">
        <f>IF($B$1+58&gt;90,BH181,(BH181+IF($B$1+58&lt;=$B181,12*$B$9,-12*$B$8*(1+$B$4)^58))*IF(BH181+IF($B$1+58&lt;=$B181,12*$B$9,-12*$B$8*(1+$B$4)^58)&gt;0,1+$B$3,1))</f>
        <v/>
      </c>
      <c r="BJ181">
        <f>IF($B$1+59&gt;90,BI181,(BI181+IF($B$1+59&lt;=$B181,12*$B$9,-12*$B$8*(1+$B$4)^59))*IF(BI181+IF($B$1+59&lt;=$B181,12*$B$9,-12*$B$8*(1+$B$4)^59)&gt;0,1+$B$3,1))</f>
        <v/>
      </c>
      <c r="BK181">
        <f>IF($B$1+60&gt;90,BJ181,(BJ181+IF($B$1+60&lt;=$B181,12*$B$9,-12*$B$8*(1+$B$4)^60))*IF(BJ181+IF($B$1+60&lt;=$B181,12*$B$9,-12*$B$8*(1+$B$4)^60)&gt;0,1+$B$3,1))</f>
        <v/>
      </c>
      <c r="BL181">
        <f>IF($B$1+61&gt;90,BK181,(BK181+IF($B$1+61&lt;=$B181,12*$B$9,-12*$B$8*(1+$B$4)^61))*IF(BK181+IF($B$1+61&lt;=$B181,12*$B$9,-12*$B$8*(1+$B$4)^61)&gt;0,1+$B$3,1))</f>
        <v/>
      </c>
      <c r="BM181">
        <f>IF($B$1+62&gt;90,BL181,(BL181+IF($B$1+62&lt;=$B181,12*$B$9,-12*$B$8*(1+$B$4)^62))*IF(BL181+IF($B$1+62&lt;=$B181,12*$B$9,-12*$B$8*(1+$B$4)^62)&gt;0,1+$B$3,1))</f>
        <v/>
      </c>
      <c r="BN181">
        <f>IF($B$1+63&gt;90,BM181,(BM181+IF($B$1+63&lt;=$B181,12*$B$9,-12*$B$8*(1+$B$4)^63))*IF(BM181+IF($B$1+63&lt;=$B181,12*$B$9,-12*$B$8*(1+$B$4)^63)&gt;0,1+$B$3,1))</f>
        <v/>
      </c>
      <c r="BO181">
        <f>IF($B$1+64&gt;90,BN181,(BN181+IF($B$1+64&lt;=$B181,12*$B$9,-12*$B$8*(1+$B$4)^64))*IF(BN181+IF($B$1+64&lt;=$B181,12*$B$9,-12*$B$8*(1+$B$4)^64)&gt;0,1+$B$3,1))</f>
        <v/>
      </c>
      <c r="BP181">
        <f>IF($B$1+65&gt;90,BO181,(BO181+IF($B$1+65&lt;=$B181,12*$B$9,-12*$B$8*(1+$B$4)^65))*IF(BO181+IF($B$1+65&lt;=$B181,12*$B$9,-12*$B$8*(1+$B$4)^65)&gt;0,1+$B$3,1))</f>
        <v/>
      </c>
      <c r="BQ181">
        <f>IF($B$1+66&gt;90,BP181,(BP181+IF($B$1+66&lt;=$B181,12*$B$9,-12*$B$8*(1+$B$4)^66))*IF(BP181+IF($B$1+66&lt;=$B181,12*$B$9,-12*$B$8*(1+$B$4)^66)&gt;0,1+$B$3,1))</f>
        <v/>
      </c>
      <c r="BR181">
        <f>IF($B$1+67&gt;90,BQ181,(BQ181+IF($B$1+67&lt;=$B181,12*$B$9,-12*$B$8*(1+$B$4)^67))*IF(BQ181+IF($B$1+67&lt;=$B181,12*$B$9,-12*$B$8*(1+$B$4)^67)&gt;0,1+$B$3,1))</f>
        <v/>
      </c>
      <c r="BS181">
        <f>IF($B$1+68&gt;90,BR181,(BR181+IF($B$1+68&lt;=$B181,12*$B$9,-12*$B$8*(1+$B$4)^68))*IF(BR181+IF($B$1+68&lt;=$B181,12*$B$9,-12*$B$8*(1+$B$4)^68)&gt;0,1+$B$3,1))</f>
        <v/>
      </c>
      <c r="BT181">
        <f>IF($B$1+69&gt;90,BS181,(BS181+IF($B$1+69&lt;=$B181,12*$B$9,-12*$B$8*(1+$B$4)^69))*IF(BS181+IF($B$1+69&lt;=$B181,12*$B$9,-12*$B$8*(1+$B$4)^69)&gt;0,1+$B$3,1))</f>
        <v/>
      </c>
      <c r="BU181">
        <f>IF($B$1+70&gt;90,BT181,(BT181+IF($B$1+70&lt;=$B181,12*$B$9,-12*$B$8*(1+$B$4)^70))*IF(BT181+IF($B$1+70&lt;=$B181,12*$B$9,-12*$B$8*(1+$B$4)^70)&gt;0,1+$B$3,1))</f>
        <v/>
      </c>
      <c r="BV181">
        <f>BU181</f>
        <v/>
      </c>
      <c r="BW181">
        <f>IF(AND($B181&lt;=70,BV181&gt;0),$B181,999)</f>
        <v/>
      </c>
    </row>
    <row r="182">
      <c r="A182" t="n">
        <v>30</v>
      </c>
      <c r="B182">
        <f>$B$1+30</f>
        <v/>
      </c>
      <c r="C182">
        <f>$B$2</f>
        <v/>
      </c>
      <c r="D182">
        <f>IF($B$1+1&gt;90,C182,(C182+IF($B$1+1&lt;=$B182,12*$B$9,-12*$B$8*(1+$B$4)^1))*IF(C182+IF($B$1+1&lt;=$B182,12*$B$9,-12*$B$8*(1+$B$4)^1)&gt;0,1+$B$3,1))</f>
        <v/>
      </c>
      <c r="E182">
        <f>IF($B$1+2&gt;90,D182,(D182+IF($B$1+2&lt;=$B182,12*$B$9,-12*$B$8*(1+$B$4)^2))*IF(D182+IF($B$1+2&lt;=$B182,12*$B$9,-12*$B$8*(1+$B$4)^2)&gt;0,1+$B$3,1))</f>
        <v/>
      </c>
      <c r="F182">
        <f>IF($B$1+3&gt;90,E182,(E182+IF($B$1+3&lt;=$B182,12*$B$9,-12*$B$8*(1+$B$4)^3))*IF(E182+IF($B$1+3&lt;=$B182,12*$B$9,-12*$B$8*(1+$B$4)^3)&gt;0,1+$B$3,1))</f>
        <v/>
      </c>
      <c r="G182">
        <f>IF($B$1+4&gt;90,F182,(F182+IF($B$1+4&lt;=$B182,12*$B$9,-12*$B$8*(1+$B$4)^4))*IF(F182+IF($B$1+4&lt;=$B182,12*$B$9,-12*$B$8*(1+$B$4)^4)&gt;0,1+$B$3,1))</f>
        <v/>
      </c>
      <c r="H182">
        <f>IF($B$1+5&gt;90,G182,(G182+IF($B$1+5&lt;=$B182,12*$B$9,-12*$B$8*(1+$B$4)^5))*IF(G182+IF($B$1+5&lt;=$B182,12*$B$9,-12*$B$8*(1+$B$4)^5)&gt;0,1+$B$3,1))</f>
        <v/>
      </c>
      <c r="I182">
        <f>IF($B$1+6&gt;90,H182,(H182+IF($B$1+6&lt;=$B182,12*$B$9,-12*$B$8*(1+$B$4)^6))*IF(H182+IF($B$1+6&lt;=$B182,12*$B$9,-12*$B$8*(1+$B$4)^6)&gt;0,1+$B$3,1))</f>
        <v/>
      </c>
      <c r="J182">
        <f>IF($B$1+7&gt;90,I182,(I182+IF($B$1+7&lt;=$B182,12*$B$9,-12*$B$8*(1+$B$4)^7))*IF(I182+IF($B$1+7&lt;=$B182,12*$B$9,-12*$B$8*(1+$B$4)^7)&gt;0,1+$B$3,1))</f>
        <v/>
      </c>
      <c r="K182">
        <f>IF($B$1+8&gt;90,J182,(J182+IF($B$1+8&lt;=$B182,12*$B$9,-12*$B$8*(1+$B$4)^8))*IF(J182+IF($B$1+8&lt;=$B182,12*$B$9,-12*$B$8*(1+$B$4)^8)&gt;0,1+$B$3,1))</f>
        <v/>
      </c>
      <c r="L182">
        <f>IF($B$1+9&gt;90,K182,(K182+IF($B$1+9&lt;=$B182,12*$B$9,-12*$B$8*(1+$B$4)^9))*IF(K182+IF($B$1+9&lt;=$B182,12*$B$9,-12*$B$8*(1+$B$4)^9)&gt;0,1+$B$3,1))</f>
        <v/>
      </c>
      <c r="M182">
        <f>IF($B$1+10&gt;90,L182,(L182+IF($B$1+10&lt;=$B182,12*$B$9,-12*$B$8*(1+$B$4)^10))*IF(L182+IF($B$1+10&lt;=$B182,12*$B$9,-12*$B$8*(1+$B$4)^10)&gt;0,1+$B$3,1))</f>
        <v/>
      </c>
      <c r="N182">
        <f>IF($B$1+11&gt;90,M182,(M182+IF($B$1+11&lt;=$B182,12*$B$9,-12*$B$8*(1+$B$4)^11))*IF(M182+IF($B$1+11&lt;=$B182,12*$B$9,-12*$B$8*(1+$B$4)^11)&gt;0,1+$B$3,1))</f>
        <v/>
      </c>
      <c r="O182">
        <f>IF($B$1+12&gt;90,N182,(N182+IF($B$1+12&lt;=$B182,12*$B$9,-12*$B$8*(1+$B$4)^12))*IF(N182+IF($B$1+12&lt;=$B182,12*$B$9,-12*$B$8*(1+$B$4)^12)&gt;0,1+$B$3,1))</f>
        <v/>
      </c>
      <c r="P182">
        <f>IF($B$1+13&gt;90,O182,(O182+IF($B$1+13&lt;=$B182,12*$B$9,-12*$B$8*(1+$B$4)^13))*IF(O182+IF($B$1+13&lt;=$B182,12*$B$9,-12*$B$8*(1+$B$4)^13)&gt;0,1+$B$3,1))</f>
        <v/>
      </c>
      <c r="Q182">
        <f>IF($B$1+14&gt;90,P182,(P182+IF($B$1+14&lt;=$B182,12*$B$9,-12*$B$8*(1+$B$4)^14))*IF(P182+IF($B$1+14&lt;=$B182,12*$B$9,-12*$B$8*(1+$B$4)^14)&gt;0,1+$B$3,1))</f>
        <v/>
      </c>
      <c r="R182">
        <f>IF($B$1+15&gt;90,Q182,(Q182+IF($B$1+15&lt;=$B182,12*$B$9,-12*$B$8*(1+$B$4)^15))*IF(Q182+IF($B$1+15&lt;=$B182,12*$B$9,-12*$B$8*(1+$B$4)^15)&gt;0,1+$B$3,1))</f>
        <v/>
      </c>
      <c r="S182">
        <f>IF($B$1+16&gt;90,R182,(R182+IF($B$1+16&lt;=$B182,12*$B$9,-12*$B$8*(1+$B$4)^16))*IF(R182+IF($B$1+16&lt;=$B182,12*$B$9,-12*$B$8*(1+$B$4)^16)&gt;0,1+$B$3,1))</f>
        <v/>
      </c>
      <c r="T182">
        <f>IF($B$1+17&gt;90,S182,(S182+IF($B$1+17&lt;=$B182,12*$B$9,-12*$B$8*(1+$B$4)^17))*IF(S182+IF($B$1+17&lt;=$B182,12*$B$9,-12*$B$8*(1+$B$4)^17)&gt;0,1+$B$3,1))</f>
        <v/>
      </c>
      <c r="U182">
        <f>IF($B$1+18&gt;90,T182,(T182+IF($B$1+18&lt;=$B182,12*$B$9,-12*$B$8*(1+$B$4)^18))*IF(T182+IF($B$1+18&lt;=$B182,12*$B$9,-12*$B$8*(1+$B$4)^18)&gt;0,1+$B$3,1))</f>
        <v/>
      </c>
      <c r="V182">
        <f>IF($B$1+19&gt;90,U182,(U182+IF($B$1+19&lt;=$B182,12*$B$9,-12*$B$8*(1+$B$4)^19))*IF(U182+IF($B$1+19&lt;=$B182,12*$B$9,-12*$B$8*(1+$B$4)^19)&gt;0,1+$B$3,1))</f>
        <v/>
      </c>
      <c r="W182">
        <f>IF($B$1+20&gt;90,V182,(V182+IF($B$1+20&lt;=$B182,12*$B$9,-12*$B$8*(1+$B$4)^20))*IF(V182+IF($B$1+20&lt;=$B182,12*$B$9,-12*$B$8*(1+$B$4)^20)&gt;0,1+$B$3,1))</f>
        <v/>
      </c>
      <c r="X182">
        <f>IF($B$1+21&gt;90,W182,(W182+IF($B$1+21&lt;=$B182,12*$B$9,-12*$B$8*(1+$B$4)^21))*IF(W182+IF($B$1+21&lt;=$B182,12*$B$9,-12*$B$8*(1+$B$4)^21)&gt;0,1+$B$3,1))</f>
        <v/>
      </c>
      <c r="Y182">
        <f>IF($B$1+22&gt;90,X182,(X182+IF($B$1+22&lt;=$B182,12*$B$9,-12*$B$8*(1+$B$4)^22))*IF(X182+IF($B$1+22&lt;=$B182,12*$B$9,-12*$B$8*(1+$B$4)^22)&gt;0,1+$B$3,1))</f>
        <v/>
      </c>
      <c r="Z182">
        <f>IF($B$1+23&gt;90,Y182,(Y182+IF($B$1+23&lt;=$B182,12*$B$9,-12*$B$8*(1+$B$4)^23))*IF(Y182+IF($B$1+23&lt;=$B182,12*$B$9,-12*$B$8*(1+$B$4)^23)&gt;0,1+$B$3,1))</f>
        <v/>
      </c>
      <c r="AA182">
        <f>IF($B$1+24&gt;90,Z182,(Z182+IF($B$1+24&lt;=$B182,12*$B$9,-12*$B$8*(1+$B$4)^24))*IF(Z182+IF($B$1+24&lt;=$B182,12*$B$9,-12*$B$8*(1+$B$4)^24)&gt;0,1+$B$3,1))</f>
        <v/>
      </c>
      <c r="AB182">
        <f>IF($B$1+25&gt;90,AA182,(AA182+IF($B$1+25&lt;=$B182,12*$B$9,-12*$B$8*(1+$B$4)^25))*IF(AA182+IF($B$1+25&lt;=$B182,12*$B$9,-12*$B$8*(1+$B$4)^25)&gt;0,1+$B$3,1))</f>
        <v/>
      </c>
      <c r="AC182">
        <f>IF($B$1+26&gt;90,AB182,(AB182+IF($B$1+26&lt;=$B182,12*$B$9,-12*$B$8*(1+$B$4)^26))*IF(AB182+IF($B$1+26&lt;=$B182,12*$B$9,-12*$B$8*(1+$B$4)^26)&gt;0,1+$B$3,1))</f>
        <v/>
      </c>
      <c r="AD182">
        <f>IF($B$1+27&gt;90,AC182,(AC182+IF($B$1+27&lt;=$B182,12*$B$9,-12*$B$8*(1+$B$4)^27))*IF(AC182+IF($B$1+27&lt;=$B182,12*$B$9,-12*$B$8*(1+$B$4)^27)&gt;0,1+$B$3,1))</f>
        <v/>
      </c>
      <c r="AE182">
        <f>IF($B$1+28&gt;90,AD182,(AD182+IF($B$1+28&lt;=$B182,12*$B$9,-12*$B$8*(1+$B$4)^28))*IF(AD182+IF($B$1+28&lt;=$B182,12*$B$9,-12*$B$8*(1+$B$4)^28)&gt;0,1+$B$3,1))</f>
        <v/>
      </c>
      <c r="AF182">
        <f>IF($B$1+29&gt;90,AE182,(AE182+IF($B$1+29&lt;=$B182,12*$B$9,-12*$B$8*(1+$B$4)^29))*IF(AE182+IF($B$1+29&lt;=$B182,12*$B$9,-12*$B$8*(1+$B$4)^29)&gt;0,1+$B$3,1))</f>
        <v/>
      </c>
      <c r="AG182">
        <f>IF($B$1+30&gt;90,AF182,(AF182+IF($B$1+30&lt;=$B182,12*$B$9,-12*$B$8*(1+$B$4)^30))*IF(AF182+IF($B$1+30&lt;=$B182,12*$B$9,-12*$B$8*(1+$B$4)^30)&gt;0,1+$B$3,1))</f>
        <v/>
      </c>
      <c r="AH182">
        <f>IF($B$1+31&gt;90,AG182,(AG182+IF($B$1+31&lt;=$B182,12*$B$9,-12*$B$8*(1+$B$4)^31))*IF(AG182+IF($B$1+31&lt;=$B182,12*$B$9,-12*$B$8*(1+$B$4)^31)&gt;0,1+$B$3,1))</f>
        <v/>
      </c>
      <c r="AI182">
        <f>IF($B$1+32&gt;90,AH182,(AH182+IF($B$1+32&lt;=$B182,12*$B$9,-12*$B$8*(1+$B$4)^32))*IF(AH182+IF($B$1+32&lt;=$B182,12*$B$9,-12*$B$8*(1+$B$4)^32)&gt;0,1+$B$3,1))</f>
        <v/>
      </c>
      <c r="AJ182">
        <f>IF($B$1+33&gt;90,AI182,(AI182+IF($B$1+33&lt;=$B182,12*$B$9,-12*$B$8*(1+$B$4)^33))*IF(AI182+IF($B$1+33&lt;=$B182,12*$B$9,-12*$B$8*(1+$B$4)^33)&gt;0,1+$B$3,1))</f>
        <v/>
      </c>
      <c r="AK182">
        <f>IF($B$1+34&gt;90,AJ182,(AJ182+IF($B$1+34&lt;=$B182,12*$B$9,-12*$B$8*(1+$B$4)^34))*IF(AJ182+IF($B$1+34&lt;=$B182,12*$B$9,-12*$B$8*(1+$B$4)^34)&gt;0,1+$B$3,1))</f>
        <v/>
      </c>
      <c r="AL182">
        <f>IF($B$1+35&gt;90,AK182,(AK182+IF($B$1+35&lt;=$B182,12*$B$9,-12*$B$8*(1+$B$4)^35))*IF(AK182+IF($B$1+35&lt;=$B182,12*$B$9,-12*$B$8*(1+$B$4)^35)&gt;0,1+$B$3,1))</f>
        <v/>
      </c>
      <c r="AM182">
        <f>IF($B$1+36&gt;90,AL182,(AL182+IF($B$1+36&lt;=$B182,12*$B$9,-12*$B$8*(1+$B$4)^36))*IF(AL182+IF($B$1+36&lt;=$B182,12*$B$9,-12*$B$8*(1+$B$4)^36)&gt;0,1+$B$3,1))</f>
        <v/>
      </c>
      <c r="AN182">
        <f>IF($B$1+37&gt;90,AM182,(AM182+IF($B$1+37&lt;=$B182,12*$B$9,-12*$B$8*(1+$B$4)^37))*IF(AM182+IF($B$1+37&lt;=$B182,12*$B$9,-12*$B$8*(1+$B$4)^37)&gt;0,1+$B$3,1))</f>
        <v/>
      </c>
      <c r="AO182">
        <f>IF($B$1+38&gt;90,AN182,(AN182+IF($B$1+38&lt;=$B182,12*$B$9,-12*$B$8*(1+$B$4)^38))*IF(AN182+IF($B$1+38&lt;=$B182,12*$B$9,-12*$B$8*(1+$B$4)^38)&gt;0,1+$B$3,1))</f>
        <v/>
      </c>
      <c r="AP182">
        <f>IF($B$1+39&gt;90,AO182,(AO182+IF($B$1+39&lt;=$B182,12*$B$9,-12*$B$8*(1+$B$4)^39))*IF(AO182+IF($B$1+39&lt;=$B182,12*$B$9,-12*$B$8*(1+$B$4)^39)&gt;0,1+$B$3,1))</f>
        <v/>
      </c>
      <c r="AQ182">
        <f>IF($B$1+40&gt;90,AP182,(AP182+IF($B$1+40&lt;=$B182,12*$B$9,-12*$B$8*(1+$B$4)^40))*IF(AP182+IF($B$1+40&lt;=$B182,12*$B$9,-12*$B$8*(1+$B$4)^40)&gt;0,1+$B$3,1))</f>
        <v/>
      </c>
      <c r="AR182">
        <f>IF($B$1+41&gt;90,AQ182,(AQ182+IF($B$1+41&lt;=$B182,12*$B$9,-12*$B$8*(1+$B$4)^41))*IF(AQ182+IF($B$1+41&lt;=$B182,12*$B$9,-12*$B$8*(1+$B$4)^41)&gt;0,1+$B$3,1))</f>
        <v/>
      </c>
      <c r="AS182">
        <f>IF($B$1+42&gt;90,AR182,(AR182+IF($B$1+42&lt;=$B182,12*$B$9,-12*$B$8*(1+$B$4)^42))*IF(AR182+IF($B$1+42&lt;=$B182,12*$B$9,-12*$B$8*(1+$B$4)^42)&gt;0,1+$B$3,1))</f>
        <v/>
      </c>
      <c r="AT182">
        <f>IF($B$1+43&gt;90,AS182,(AS182+IF($B$1+43&lt;=$B182,12*$B$9,-12*$B$8*(1+$B$4)^43))*IF(AS182+IF($B$1+43&lt;=$B182,12*$B$9,-12*$B$8*(1+$B$4)^43)&gt;0,1+$B$3,1))</f>
        <v/>
      </c>
      <c r="AU182">
        <f>IF($B$1+44&gt;90,AT182,(AT182+IF($B$1+44&lt;=$B182,12*$B$9,-12*$B$8*(1+$B$4)^44))*IF(AT182+IF($B$1+44&lt;=$B182,12*$B$9,-12*$B$8*(1+$B$4)^44)&gt;0,1+$B$3,1))</f>
        <v/>
      </c>
      <c r="AV182">
        <f>IF($B$1+45&gt;90,AU182,(AU182+IF($B$1+45&lt;=$B182,12*$B$9,-12*$B$8*(1+$B$4)^45))*IF(AU182+IF($B$1+45&lt;=$B182,12*$B$9,-12*$B$8*(1+$B$4)^45)&gt;0,1+$B$3,1))</f>
        <v/>
      </c>
      <c r="AW182">
        <f>IF($B$1+46&gt;90,AV182,(AV182+IF($B$1+46&lt;=$B182,12*$B$9,-12*$B$8*(1+$B$4)^46))*IF(AV182+IF($B$1+46&lt;=$B182,12*$B$9,-12*$B$8*(1+$B$4)^46)&gt;0,1+$B$3,1))</f>
        <v/>
      </c>
      <c r="AX182">
        <f>IF($B$1+47&gt;90,AW182,(AW182+IF($B$1+47&lt;=$B182,12*$B$9,-12*$B$8*(1+$B$4)^47))*IF(AW182+IF($B$1+47&lt;=$B182,12*$B$9,-12*$B$8*(1+$B$4)^47)&gt;0,1+$B$3,1))</f>
        <v/>
      </c>
      <c r="AY182">
        <f>IF($B$1+48&gt;90,AX182,(AX182+IF($B$1+48&lt;=$B182,12*$B$9,-12*$B$8*(1+$B$4)^48))*IF(AX182+IF($B$1+48&lt;=$B182,12*$B$9,-12*$B$8*(1+$B$4)^48)&gt;0,1+$B$3,1))</f>
        <v/>
      </c>
      <c r="AZ182">
        <f>IF($B$1+49&gt;90,AY182,(AY182+IF($B$1+49&lt;=$B182,12*$B$9,-12*$B$8*(1+$B$4)^49))*IF(AY182+IF($B$1+49&lt;=$B182,12*$B$9,-12*$B$8*(1+$B$4)^49)&gt;0,1+$B$3,1))</f>
        <v/>
      </c>
      <c r="BA182">
        <f>IF($B$1+50&gt;90,AZ182,(AZ182+IF($B$1+50&lt;=$B182,12*$B$9,-12*$B$8*(1+$B$4)^50))*IF(AZ182+IF($B$1+50&lt;=$B182,12*$B$9,-12*$B$8*(1+$B$4)^50)&gt;0,1+$B$3,1))</f>
        <v/>
      </c>
      <c r="BB182">
        <f>IF($B$1+51&gt;90,BA182,(BA182+IF($B$1+51&lt;=$B182,12*$B$9,-12*$B$8*(1+$B$4)^51))*IF(BA182+IF($B$1+51&lt;=$B182,12*$B$9,-12*$B$8*(1+$B$4)^51)&gt;0,1+$B$3,1))</f>
        <v/>
      </c>
      <c r="BC182">
        <f>IF($B$1+52&gt;90,BB182,(BB182+IF($B$1+52&lt;=$B182,12*$B$9,-12*$B$8*(1+$B$4)^52))*IF(BB182+IF($B$1+52&lt;=$B182,12*$B$9,-12*$B$8*(1+$B$4)^52)&gt;0,1+$B$3,1))</f>
        <v/>
      </c>
      <c r="BD182">
        <f>IF($B$1+53&gt;90,BC182,(BC182+IF($B$1+53&lt;=$B182,12*$B$9,-12*$B$8*(1+$B$4)^53))*IF(BC182+IF($B$1+53&lt;=$B182,12*$B$9,-12*$B$8*(1+$B$4)^53)&gt;0,1+$B$3,1))</f>
        <v/>
      </c>
      <c r="BE182">
        <f>IF($B$1+54&gt;90,BD182,(BD182+IF($B$1+54&lt;=$B182,12*$B$9,-12*$B$8*(1+$B$4)^54))*IF(BD182+IF($B$1+54&lt;=$B182,12*$B$9,-12*$B$8*(1+$B$4)^54)&gt;0,1+$B$3,1))</f>
        <v/>
      </c>
      <c r="BF182">
        <f>IF($B$1+55&gt;90,BE182,(BE182+IF($B$1+55&lt;=$B182,12*$B$9,-12*$B$8*(1+$B$4)^55))*IF(BE182+IF($B$1+55&lt;=$B182,12*$B$9,-12*$B$8*(1+$B$4)^55)&gt;0,1+$B$3,1))</f>
        <v/>
      </c>
      <c r="BG182">
        <f>IF($B$1+56&gt;90,BF182,(BF182+IF($B$1+56&lt;=$B182,12*$B$9,-12*$B$8*(1+$B$4)^56))*IF(BF182+IF($B$1+56&lt;=$B182,12*$B$9,-12*$B$8*(1+$B$4)^56)&gt;0,1+$B$3,1))</f>
        <v/>
      </c>
      <c r="BH182">
        <f>IF($B$1+57&gt;90,BG182,(BG182+IF($B$1+57&lt;=$B182,12*$B$9,-12*$B$8*(1+$B$4)^57))*IF(BG182+IF($B$1+57&lt;=$B182,12*$B$9,-12*$B$8*(1+$B$4)^57)&gt;0,1+$B$3,1))</f>
        <v/>
      </c>
      <c r="BI182">
        <f>IF($B$1+58&gt;90,BH182,(BH182+IF($B$1+58&lt;=$B182,12*$B$9,-12*$B$8*(1+$B$4)^58))*IF(BH182+IF($B$1+58&lt;=$B182,12*$B$9,-12*$B$8*(1+$B$4)^58)&gt;0,1+$B$3,1))</f>
        <v/>
      </c>
      <c r="BJ182">
        <f>IF($B$1+59&gt;90,BI182,(BI182+IF($B$1+59&lt;=$B182,12*$B$9,-12*$B$8*(1+$B$4)^59))*IF(BI182+IF($B$1+59&lt;=$B182,12*$B$9,-12*$B$8*(1+$B$4)^59)&gt;0,1+$B$3,1))</f>
        <v/>
      </c>
      <c r="BK182">
        <f>IF($B$1+60&gt;90,BJ182,(BJ182+IF($B$1+60&lt;=$B182,12*$B$9,-12*$B$8*(1+$B$4)^60))*IF(BJ182+IF($B$1+60&lt;=$B182,12*$B$9,-12*$B$8*(1+$B$4)^60)&gt;0,1+$B$3,1))</f>
        <v/>
      </c>
      <c r="BL182">
        <f>IF($B$1+61&gt;90,BK182,(BK182+IF($B$1+61&lt;=$B182,12*$B$9,-12*$B$8*(1+$B$4)^61))*IF(BK182+IF($B$1+61&lt;=$B182,12*$B$9,-12*$B$8*(1+$B$4)^61)&gt;0,1+$B$3,1))</f>
        <v/>
      </c>
      <c r="BM182">
        <f>IF($B$1+62&gt;90,BL182,(BL182+IF($B$1+62&lt;=$B182,12*$B$9,-12*$B$8*(1+$B$4)^62))*IF(BL182+IF($B$1+62&lt;=$B182,12*$B$9,-12*$B$8*(1+$B$4)^62)&gt;0,1+$B$3,1))</f>
        <v/>
      </c>
      <c r="BN182">
        <f>IF($B$1+63&gt;90,BM182,(BM182+IF($B$1+63&lt;=$B182,12*$B$9,-12*$B$8*(1+$B$4)^63))*IF(BM182+IF($B$1+63&lt;=$B182,12*$B$9,-12*$B$8*(1+$B$4)^63)&gt;0,1+$B$3,1))</f>
        <v/>
      </c>
      <c r="BO182">
        <f>IF($B$1+64&gt;90,BN182,(BN182+IF($B$1+64&lt;=$B182,12*$B$9,-12*$B$8*(1+$B$4)^64))*IF(BN182+IF($B$1+64&lt;=$B182,12*$B$9,-12*$B$8*(1+$B$4)^64)&gt;0,1+$B$3,1))</f>
        <v/>
      </c>
      <c r="BP182">
        <f>IF($B$1+65&gt;90,BO182,(BO182+IF($B$1+65&lt;=$B182,12*$B$9,-12*$B$8*(1+$B$4)^65))*IF(BO182+IF($B$1+65&lt;=$B182,12*$B$9,-12*$B$8*(1+$B$4)^65)&gt;0,1+$B$3,1))</f>
        <v/>
      </c>
      <c r="BQ182">
        <f>IF($B$1+66&gt;90,BP182,(BP182+IF($B$1+66&lt;=$B182,12*$B$9,-12*$B$8*(1+$B$4)^66))*IF(BP182+IF($B$1+66&lt;=$B182,12*$B$9,-12*$B$8*(1+$B$4)^66)&gt;0,1+$B$3,1))</f>
        <v/>
      </c>
      <c r="BR182">
        <f>IF($B$1+67&gt;90,BQ182,(BQ182+IF($B$1+67&lt;=$B182,12*$B$9,-12*$B$8*(1+$B$4)^67))*IF(BQ182+IF($B$1+67&lt;=$B182,12*$B$9,-12*$B$8*(1+$B$4)^67)&gt;0,1+$B$3,1))</f>
        <v/>
      </c>
      <c r="BS182">
        <f>IF($B$1+68&gt;90,BR182,(BR182+IF($B$1+68&lt;=$B182,12*$B$9,-12*$B$8*(1+$B$4)^68))*IF(BR182+IF($B$1+68&lt;=$B182,12*$B$9,-12*$B$8*(1+$B$4)^68)&gt;0,1+$B$3,1))</f>
        <v/>
      </c>
      <c r="BT182">
        <f>IF($B$1+69&gt;90,BS182,(BS182+IF($B$1+69&lt;=$B182,12*$B$9,-12*$B$8*(1+$B$4)^69))*IF(BS182+IF($B$1+69&lt;=$B182,12*$B$9,-12*$B$8*(1+$B$4)^69)&gt;0,1+$B$3,1))</f>
        <v/>
      </c>
      <c r="BU182">
        <f>IF($B$1+70&gt;90,BT182,(BT182+IF($B$1+70&lt;=$B182,12*$B$9,-12*$B$8*(1+$B$4)^70))*IF(BT182+IF($B$1+70&lt;=$B182,12*$B$9,-12*$B$8*(1+$B$4)^70)&gt;0,1+$B$3,1))</f>
        <v/>
      </c>
      <c r="BV182">
        <f>BU182</f>
        <v/>
      </c>
      <c r="BW182">
        <f>IF(AND($B182&lt;=70,BV182&gt;0),$B182,999)</f>
        <v/>
      </c>
    </row>
    <row r="183">
      <c r="A183" t="n">
        <v>31</v>
      </c>
      <c r="B183">
        <f>$B$1+31</f>
        <v/>
      </c>
      <c r="C183">
        <f>$B$2</f>
        <v/>
      </c>
      <c r="D183">
        <f>IF($B$1+1&gt;90,C183,(C183+IF($B$1+1&lt;=$B183,12*$B$9,-12*$B$8*(1+$B$4)^1))*IF(C183+IF($B$1+1&lt;=$B183,12*$B$9,-12*$B$8*(1+$B$4)^1)&gt;0,1+$B$3,1))</f>
        <v/>
      </c>
      <c r="E183">
        <f>IF($B$1+2&gt;90,D183,(D183+IF($B$1+2&lt;=$B183,12*$B$9,-12*$B$8*(1+$B$4)^2))*IF(D183+IF($B$1+2&lt;=$B183,12*$B$9,-12*$B$8*(1+$B$4)^2)&gt;0,1+$B$3,1))</f>
        <v/>
      </c>
      <c r="F183">
        <f>IF($B$1+3&gt;90,E183,(E183+IF($B$1+3&lt;=$B183,12*$B$9,-12*$B$8*(1+$B$4)^3))*IF(E183+IF($B$1+3&lt;=$B183,12*$B$9,-12*$B$8*(1+$B$4)^3)&gt;0,1+$B$3,1))</f>
        <v/>
      </c>
      <c r="G183">
        <f>IF($B$1+4&gt;90,F183,(F183+IF($B$1+4&lt;=$B183,12*$B$9,-12*$B$8*(1+$B$4)^4))*IF(F183+IF($B$1+4&lt;=$B183,12*$B$9,-12*$B$8*(1+$B$4)^4)&gt;0,1+$B$3,1))</f>
        <v/>
      </c>
      <c r="H183">
        <f>IF($B$1+5&gt;90,G183,(G183+IF($B$1+5&lt;=$B183,12*$B$9,-12*$B$8*(1+$B$4)^5))*IF(G183+IF($B$1+5&lt;=$B183,12*$B$9,-12*$B$8*(1+$B$4)^5)&gt;0,1+$B$3,1))</f>
        <v/>
      </c>
      <c r="I183">
        <f>IF($B$1+6&gt;90,H183,(H183+IF($B$1+6&lt;=$B183,12*$B$9,-12*$B$8*(1+$B$4)^6))*IF(H183+IF($B$1+6&lt;=$B183,12*$B$9,-12*$B$8*(1+$B$4)^6)&gt;0,1+$B$3,1))</f>
        <v/>
      </c>
      <c r="J183">
        <f>IF($B$1+7&gt;90,I183,(I183+IF($B$1+7&lt;=$B183,12*$B$9,-12*$B$8*(1+$B$4)^7))*IF(I183+IF($B$1+7&lt;=$B183,12*$B$9,-12*$B$8*(1+$B$4)^7)&gt;0,1+$B$3,1))</f>
        <v/>
      </c>
      <c r="K183">
        <f>IF($B$1+8&gt;90,J183,(J183+IF($B$1+8&lt;=$B183,12*$B$9,-12*$B$8*(1+$B$4)^8))*IF(J183+IF($B$1+8&lt;=$B183,12*$B$9,-12*$B$8*(1+$B$4)^8)&gt;0,1+$B$3,1))</f>
        <v/>
      </c>
      <c r="L183">
        <f>IF($B$1+9&gt;90,K183,(K183+IF($B$1+9&lt;=$B183,12*$B$9,-12*$B$8*(1+$B$4)^9))*IF(K183+IF($B$1+9&lt;=$B183,12*$B$9,-12*$B$8*(1+$B$4)^9)&gt;0,1+$B$3,1))</f>
        <v/>
      </c>
      <c r="M183">
        <f>IF($B$1+10&gt;90,L183,(L183+IF($B$1+10&lt;=$B183,12*$B$9,-12*$B$8*(1+$B$4)^10))*IF(L183+IF($B$1+10&lt;=$B183,12*$B$9,-12*$B$8*(1+$B$4)^10)&gt;0,1+$B$3,1))</f>
        <v/>
      </c>
      <c r="N183">
        <f>IF($B$1+11&gt;90,M183,(M183+IF($B$1+11&lt;=$B183,12*$B$9,-12*$B$8*(1+$B$4)^11))*IF(M183+IF($B$1+11&lt;=$B183,12*$B$9,-12*$B$8*(1+$B$4)^11)&gt;0,1+$B$3,1))</f>
        <v/>
      </c>
      <c r="O183">
        <f>IF($B$1+12&gt;90,N183,(N183+IF($B$1+12&lt;=$B183,12*$B$9,-12*$B$8*(1+$B$4)^12))*IF(N183+IF($B$1+12&lt;=$B183,12*$B$9,-12*$B$8*(1+$B$4)^12)&gt;0,1+$B$3,1))</f>
        <v/>
      </c>
      <c r="P183">
        <f>IF($B$1+13&gt;90,O183,(O183+IF($B$1+13&lt;=$B183,12*$B$9,-12*$B$8*(1+$B$4)^13))*IF(O183+IF($B$1+13&lt;=$B183,12*$B$9,-12*$B$8*(1+$B$4)^13)&gt;0,1+$B$3,1))</f>
        <v/>
      </c>
      <c r="Q183">
        <f>IF($B$1+14&gt;90,P183,(P183+IF($B$1+14&lt;=$B183,12*$B$9,-12*$B$8*(1+$B$4)^14))*IF(P183+IF($B$1+14&lt;=$B183,12*$B$9,-12*$B$8*(1+$B$4)^14)&gt;0,1+$B$3,1))</f>
        <v/>
      </c>
      <c r="R183">
        <f>IF($B$1+15&gt;90,Q183,(Q183+IF($B$1+15&lt;=$B183,12*$B$9,-12*$B$8*(1+$B$4)^15))*IF(Q183+IF($B$1+15&lt;=$B183,12*$B$9,-12*$B$8*(1+$B$4)^15)&gt;0,1+$B$3,1))</f>
        <v/>
      </c>
      <c r="S183">
        <f>IF($B$1+16&gt;90,R183,(R183+IF($B$1+16&lt;=$B183,12*$B$9,-12*$B$8*(1+$B$4)^16))*IF(R183+IF($B$1+16&lt;=$B183,12*$B$9,-12*$B$8*(1+$B$4)^16)&gt;0,1+$B$3,1))</f>
        <v/>
      </c>
      <c r="T183">
        <f>IF($B$1+17&gt;90,S183,(S183+IF($B$1+17&lt;=$B183,12*$B$9,-12*$B$8*(1+$B$4)^17))*IF(S183+IF($B$1+17&lt;=$B183,12*$B$9,-12*$B$8*(1+$B$4)^17)&gt;0,1+$B$3,1))</f>
        <v/>
      </c>
      <c r="U183">
        <f>IF($B$1+18&gt;90,T183,(T183+IF($B$1+18&lt;=$B183,12*$B$9,-12*$B$8*(1+$B$4)^18))*IF(T183+IF($B$1+18&lt;=$B183,12*$B$9,-12*$B$8*(1+$B$4)^18)&gt;0,1+$B$3,1))</f>
        <v/>
      </c>
      <c r="V183">
        <f>IF($B$1+19&gt;90,U183,(U183+IF($B$1+19&lt;=$B183,12*$B$9,-12*$B$8*(1+$B$4)^19))*IF(U183+IF($B$1+19&lt;=$B183,12*$B$9,-12*$B$8*(1+$B$4)^19)&gt;0,1+$B$3,1))</f>
        <v/>
      </c>
      <c r="W183">
        <f>IF($B$1+20&gt;90,V183,(V183+IF($B$1+20&lt;=$B183,12*$B$9,-12*$B$8*(1+$B$4)^20))*IF(V183+IF($B$1+20&lt;=$B183,12*$B$9,-12*$B$8*(1+$B$4)^20)&gt;0,1+$B$3,1))</f>
        <v/>
      </c>
      <c r="X183">
        <f>IF($B$1+21&gt;90,W183,(W183+IF($B$1+21&lt;=$B183,12*$B$9,-12*$B$8*(1+$B$4)^21))*IF(W183+IF($B$1+21&lt;=$B183,12*$B$9,-12*$B$8*(1+$B$4)^21)&gt;0,1+$B$3,1))</f>
        <v/>
      </c>
      <c r="Y183">
        <f>IF($B$1+22&gt;90,X183,(X183+IF($B$1+22&lt;=$B183,12*$B$9,-12*$B$8*(1+$B$4)^22))*IF(X183+IF($B$1+22&lt;=$B183,12*$B$9,-12*$B$8*(1+$B$4)^22)&gt;0,1+$B$3,1))</f>
        <v/>
      </c>
      <c r="Z183">
        <f>IF($B$1+23&gt;90,Y183,(Y183+IF($B$1+23&lt;=$B183,12*$B$9,-12*$B$8*(1+$B$4)^23))*IF(Y183+IF($B$1+23&lt;=$B183,12*$B$9,-12*$B$8*(1+$B$4)^23)&gt;0,1+$B$3,1))</f>
        <v/>
      </c>
      <c r="AA183">
        <f>IF($B$1+24&gt;90,Z183,(Z183+IF($B$1+24&lt;=$B183,12*$B$9,-12*$B$8*(1+$B$4)^24))*IF(Z183+IF($B$1+24&lt;=$B183,12*$B$9,-12*$B$8*(1+$B$4)^24)&gt;0,1+$B$3,1))</f>
        <v/>
      </c>
      <c r="AB183">
        <f>IF($B$1+25&gt;90,AA183,(AA183+IF($B$1+25&lt;=$B183,12*$B$9,-12*$B$8*(1+$B$4)^25))*IF(AA183+IF($B$1+25&lt;=$B183,12*$B$9,-12*$B$8*(1+$B$4)^25)&gt;0,1+$B$3,1))</f>
        <v/>
      </c>
      <c r="AC183">
        <f>IF($B$1+26&gt;90,AB183,(AB183+IF($B$1+26&lt;=$B183,12*$B$9,-12*$B$8*(1+$B$4)^26))*IF(AB183+IF($B$1+26&lt;=$B183,12*$B$9,-12*$B$8*(1+$B$4)^26)&gt;0,1+$B$3,1))</f>
        <v/>
      </c>
      <c r="AD183">
        <f>IF($B$1+27&gt;90,AC183,(AC183+IF($B$1+27&lt;=$B183,12*$B$9,-12*$B$8*(1+$B$4)^27))*IF(AC183+IF($B$1+27&lt;=$B183,12*$B$9,-12*$B$8*(1+$B$4)^27)&gt;0,1+$B$3,1))</f>
        <v/>
      </c>
      <c r="AE183">
        <f>IF($B$1+28&gt;90,AD183,(AD183+IF($B$1+28&lt;=$B183,12*$B$9,-12*$B$8*(1+$B$4)^28))*IF(AD183+IF($B$1+28&lt;=$B183,12*$B$9,-12*$B$8*(1+$B$4)^28)&gt;0,1+$B$3,1))</f>
        <v/>
      </c>
      <c r="AF183">
        <f>IF($B$1+29&gt;90,AE183,(AE183+IF($B$1+29&lt;=$B183,12*$B$9,-12*$B$8*(1+$B$4)^29))*IF(AE183+IF($B$1+29&lt;=$B183,12*$B$9,-12*$B$8*(1+$B$4)^29)&gt;0,1+$B$3,1))</f>
        <v/>
      </c>
      <c r="AG183">
        <f>IF($B$1+30&gt;90,AF183,(AF183+IF($B$1+30&lt;=$B183,12*$B$9,-12*$B$8*(1+$B$4)^30))*IF(AF183+IF($B$1+30&lt;=$B183,12*$B$9,-12*$B$8*(1+$B$4)^30)&gt;0,1+$B$3,1))</f>
        <v/>
      </c>
      <c r="AH183">
        <f>IF($B$1+31&gt;90,AG183,(AG183+IF($B$1+31&lt;=$B183,12*$B$9,-12*$B$8*(1+$B$4)^31))*IF(AG183+IF($B$1+31&lt;=$B183,12*$B$9,-12*$B$8*(1+$B$4)^31)&gt;0,1+$B$3,1))</f>
        <v/>
      </c>
      <c r="AI183">
        <f>IF($B$1+32&gt;90,AH183,(AH183+IF($B$1+32&lt;=$B183,12*$B$9,-12*$B$8*(1+$B$4)^32))*IF(AH183+IF($B$1+32&lt;=$B183,12*$B$9,-12*$B$8*(1+$B$4)^32)&gt;0,1+$B$3,1))</f>
        <v/>
      </c>
      <c r="AJ183">
        <f>IF($B$1+33&gt;90,AI183,(AI183+IF($B$1+33&lt;=$B183,12*$B$9,-12*$B$8*(1+$B$4)^33))*IF(AI183+IF($B$1+33&lt;=$B183,12*$B$9,-12*$B$8*(1+$B$4)^33)&gt;0,1+$B$3,1))</f>
        <v/>
      </c>
      <c r="AK183">
        <f>IF($B$1+34&gt;90,AJ183,(AJ183+IF($B$1+34&lt;=$B183,12*$B$9,-12*$B$8*(1+$B$4)^34))*IF(AJ183+IF($B$1+34&lt;=$B183,12*$B$9,-12*$B$8*(1+$B$4)^34)&gt;0,1+$B$3,1))</f>
        <v/>
      </c>
      <c r="AL183">
        <f>IF($B$1+35&gt;90,AK183,(AK183+IF($B$1+35&lt;=$B183,12*$B$9,-12*$B$8*(1+$B$4)^35))*IF(AK183+IF($B$1+35&lt;=$B183,12*$B$9,-12*$B$8*(1+$B$4)^35)&gt;0,1+$B$3,1))</f>
        <v/>
      </c>
      <c r="AM183">
        <f>IF($B$1+36&gt;90,AL183,(AL183+IF($B$1+36&lt;=$B183,12*$B$9,-12*$B$8*(1+$B$4)^36))*IF(AL183+IF($B$1+36&lt;=$B183,12*$B$9,-12*$B$8*(1+$B$4)^36)&gt;0,1+$B$3,1))</f>
        <v/>
      </c>
      <c r="AN183">
        <f>IF($B$1+37&gt;90,AM183,(AM183+IF($B$1+37&lt;=$B183,12*$B$9,-12*$B$8*(1+$B$4)^37))*IF(AM183+IF($B$1+37&lt;=$B183,12*$B$9,-12*$B$8*(1+$B$4)^37)&gt;0,1+$B$3,1))</f>
        <v/>
      </c>
      <c r="AO183">
        <f>IF($B$1+38&gt;90,AN183,(AN183+IF($B$1+38&lt;=$B183,12*$B$9,-12*$B$8*(1+$B$4)^38))*IF(AN183+IF($B$1+38&lt;=$B183,12*$B$9,-12*$B$8*(1+$B$4)^38)&gt;0,1+$B$3,1))</f>
        <v/>
      </c>
      <c r="AP183">
        <f>IF($B$1+39&gt;90,AO183,(AO183+IF($B$1+39&lt;=$B183,12*$B$9,-12*$B$8*(1+$B$4)^39))*IF(AO183+IF($B$1+39&lt;=$B183,12*$B$9,-12*$B$8*(1+$B$4)^39)&gt;0,1+$B$3,1))</f>
        <v/>
      </c>
      <c r="AQ183">
        <f>IF($B$1+40&gt;90,AP183,(AP183+IF($B$1+40&lt;=$B183,12*$B$9,-12*$B$8*(1+$B$4)^40))*IF(AP183+IF($B$1+40&lt;=$B183,12*$B$9,-12*$B$8*(1+$B$4)^40)&gt;0,1+$B$3,1))</f>
        <v/>
      </c>
      <c r="AR183">
        <f>IF($B$1+41&gt;90,AQ183,(AQ183+IF($B$1+41&lt;=$B183,12*$B$9,-12*$B$8*(1+$B$4)^41))*IF(AQ183+IF($B$1+41&lt;=$B183,12*$B$9,-12*$B$8*(1+$B$4)^41)&gt;0,1+$B$3,1))</f>
        <v/>
      </c>
      <c r="AS183">
        <f>IF($B$1+42&gt;90,AR183,(AR183+IF($B$1+42&lt;=$B183,12*$B$9,-12*$B$8*(1+$B$4)^42))*IF(AR183+IF($B$1+42&lt;=$B183,12*$B$9,-12*$B$8*(1+$B$4)^42)&gt;0,1+$B$3,1))</f>
        <v/>
      </c>
      <c r="AT183">
        <f>IF($B$1+43&gt;90,AS183,(AS183+IF($B$1+43&lt;=$B183,12*$B$9,-12*$B$8*(1+$B$4)^43))*IF(AS183+IF($B$1+43&lt;=$B183,12*$B$9,-12*$B$8*(1+$B$4)^43)&gt;0,1+$B$3,1))</f>
        <v/>
      </c>
      <c r="AU183">
        <f>IF($B$1+44&gt;90,AT183,(AT183+IF($B$1+44&lt;=$B183,12*$B$9,-12*$B$8*(1+$B$4)^44))*IF(AT183+IF($B$1+44&lt;=$B183,12*$B$9,-12*$B$8*(1+$B$4)^44)&gt;0,1+$B$3,1))</f>
        <v/>
      </c>
      <c r="AV183">
        <f>IF($B$1+45&gt;90,AU183,(AU183+IF($B$1+45&lt;=$B183,12*$B$9,-12*$B$8*(1+$B$4)^45))*IF(AU183+IF($B$1+45&lt;=$B183,12*$B$9,-12*$B$8*(1+$B$4)^45)&gt;0,1+$B$3,1))</f>
        <v/>
      </c>
      <c r="AW183">
        <f>IF($B$1+46&gt;90,AV183,(AV183+IF($B$1+46&lt;=$B183,12*$B$9,-12*$B$8*(1+$B$4)^46))*IF(AV183+IF($B$1+46&lt;=$B183,12*$B$9,-12*$B$8*(1+$B$4)^46)&gt;0,1+$B$3,1))</f>
        <v/>
      </c>
      <c r="AX183">
        <f>IF($B$1+47&gt;90,AW183,(AW183+IF($B$1+47&lt;=$B183,12*$B$9,-12*$B$8*(1+$B$4)^47))*IF(AW183+IF($B$1+47&lt;=$B183,12*$B$9,-12*$B$8*(1+$B$4)^47)&gt;0,1+$B$3,1))</f>
        <v/>
      </c>
      <c r="AY183">
        <f>IF($B$1+48&gt;90,AX183,(AX183+IF($B$1+48&lt;=$B183,12*$B$9,-12*$B$8*(1+$B$4)^48))*IF(AX183+IF($B$1+48&lt;=$B183,12*$B$9,-12*$B$8*(1+$B$4)^48)&gt;0,1+$B$3,1))</f>
        <v/>
      </c>
      <c r="AZ183">
        <f>IF($B$1+49&gt;90,AY183,(AY183+IF($B$1+49&lt;=$B183,12*$B$9,-12*$B$8*(1+$B$4)^49))*IF(AY183+IF($B$1+49&lt;=$B183,12*$B$9,-12*$B$8*(1+$B$4)^49)&gt;0,1+$B$3,1))</f>
        <v/>
      </c>
      <c r="BA183">
        <f>IF($B$1+50&gt;90,AZ183,(AZ183+IF($B$1+50&lt;=$B183,12*$B$9,-12*$B$8*(1+$B$4)^50))*IF(AZ183+IF($B$1+50&lt;=$B183,12*$B$9,-12*$B$8*(1+$B$4)^50)&gt;0,1+$B$3,1))</f>
        <v/>
      </c>
      <c r="BB183">
        <f>IF($B$1+51&gt;90,BA183,(BA183+IF($B$1+51&lt;=$B183,12*$B$9,-12*$B$8*(1+$B$4)^51))*IF(BA183+IF($B$1+51&lt;=$B183,12*$B$9,-12*$B$8*(1+$B$4)^51)&gt;0,1+$B$3,1))</f>
        <v/>
      </c>
      <c r="BC183">
        <f>IF($B$1+52&gt;90,BB183,(BB183+IF($B$1+52&lt;=$B183,12*$B$9,-12*$B$8*(1+$B$4)^52))*IF(BB183+IF($B$1+52&lt;=$B183,12*$B$9,-12*$B$8*(1+$B$4)^52)&gt;0,1+$B$3,1))</f>
        <v/>
      </c>
      <c r="BD183">
        <f>IF($B$1+53&gt;90,BC183,(BC183+IF($B$1+53&lt;=$B183,12*$B$9,-12*$B$8*(1+$B$4)^53))*IF(BC183+IF($B$1+53&lt;=$B183,12*$B$9,-12*$B$8*(1+$B$4)^53)&gt;0,1+$B$3,1))</f>
        <v/>
      </c>
      <c r="BE183">
        <f>IF($B$1+54&gt;90,BD183,(BD183+IF($B$1+54&lt;=$B183,12*$B$9,-12*$B$8*(1+$B$4)^54))*IF(BD183+IF($B$1+54&lt;=$B183,12*$B$9,-12*$B$8*(1+$B$4)^54)&gt;0,1+$B$3,1))</f>
        <v/>
      </c>
      <c r="BF183">
        <f>IF($B$1+55&gt;90,BE183,(BE183+IF($B$1+55&lt;=$B183,12*$B$9,-12*$B$8*(1+$B$4)^55))*IF(BE183+IF($B$1+55&lt;=$B183,12*$B$9,-12*$B$8*(1+$B$4)^55)&gt;0,1+$B$3,1))</f>
        <v/>
      </c>
      <c r="BG183">
        <f>IF($B$1+56&gt;90,BF183,(BF183+IF($B$1+56&lt;=$B183,12*$B$9,-12*$B$8*(1+$B$4)^56))*IF(BF183+IF($B$1+56&lt;=$B183,12*$B$9,-12*$B$8*(1+$B$4)^56)&gt;0,1+$B$3,1))</f>
        <v/>
      </c>
      <c r="BH183">
        <f>IF($B$1+57&gt;90,BG183,(BG183+IF($B$1+57&lt;=$B183,12*$B$9,-12*$B$8*(1+$B$4)^57))*IF(BG183+IF($B$1+57&lt;=$B183,12*$B$9,-12*$B$8*(1+$B$4)^57)&gt;0,1+$B$3,1))</f>
        <v/>
      </c>
      <c r="BI183">
        <f>IF($B$1+58&gt;90,BH183,(BH183+IF($B$1+58&lt;=$B183,12*$B$9,-12*$B$8*(1+$B$4)^58))*IF(BH183+IF($B$1+58&lt;=$B183,12*$B$9,-12*$B$8*(1+$B$4)^58)&gt;0,1+$B$3,1))</f>
        <v/>
      </c>
      <c r="BJ183">
        <f>IF($B$1+59&gt;90,BI183,(BI183+IF($B$1+59&lt;=$B183,12*$B$9,-12*$B$8*(1+$B$4)^59))*IF(BI183+IF($B$1+59&lt;=$B183,12*$B$9,-12*$B$8*(1+$B$4)^59)&gt;0,1+$B$3,1))</f>
        <v/>
      </c>
      <c r="BK183">
        <f>IF($B$1+60&gt;90,BJ183,(BJ183+IF($B$1+60&lt;=$B183,12*$B$9,-12*$B$8*(1+$B$4)^60))*IF(BJ183+IF($B$1+60&lt;=$B183,12*$B$9,-12*$B$8*(1+$B$4)^60)&gt;0,1+$B$3,1))</f>
        <v/>
      </c>
      <c r="BL183">
        <f>IF($B$1+61&gt;90,BK183,(BK183+IF($B$1+61&lt;=$B183,12*$B$9,-12*$B$8*(1+$B$4)^61))*IF(BK183+IF($B$1+61&lt;=$B183,12*$B$9,-12*$B$8*(1+$B$4)^61)&gt;0,1+$B$3,1))</f>
        <v/>
      </c>
      <c r="BM183">
        <f>IF($B$1+62&gt;90,BL183,(BL183+IF($B$1+62&lt;=$B183,12*$B$9,-12*$B$8*(1+$B$4)^62))*IF(BL183+IF($B$1+62&lt;=$B183,12*$B$9,-12*$B$8*(1+$B$4)^62)&gt;0,1+$B$3,1))</f>
        <v/>
      </c>
      <c r="BN183">
        <f>IF($B$1+63&gt;90,BM183,(BM183+IF($B$1+63&lt;=$B183,12*$B$9,-12*$B$8*(1+$B$4)^63))*IF(BM183+IF($B$1+63&lt;=$B183,12*$B$9,-12*$B$8*(1+$B$4)^63)&gt;0,1+$B$3,1))</f>
        <v/>
      </c>
      <c r="BO183">
        <f>IF($B$1+64&gt;90,BN183,(BN183+IF($B$1+64&lt;=$B183,12*$B$9,-12*$B$8*(1+$B$4)^64))*IF(BN183+IF($B$1+64&lt;=$B183,12*$B$9,-12*$B$8*(1+$B$4)^64)&gt;0,1+$B$3,1))</f>
        <v/>
      </c>
      <c r="BP183">
        <f>IF($B$1+65&gt;90,BO183,(BO183+IF($B$1+65&lt;=$B183,12*$B$9,-12*$B$8*(1+$B$4)^65))*IF(BO183+IF($B$1+65&lt;=$B183,12*$B$9,-12*$B$8*(1+$B$4)^65)&gt;0,1+$B$3,1))</f>
        <v/>
      </c>
      <c r="BQ183">
        <f>IF($B$1+66&gt;90,BP183,(BP183+IF($B$1+66&lt;=$B183,12*$B$9,-12*$B$8*(1+$B$4)^66))*IF(BP183+IF($B$1+66&lt;=$B183,12*$B$9,-12*$B$8*(1+$B$4)^66)&gt;0,1+$B$3,1))</f>
        <v/>
      </c>
      <c r="BR183">
        <f>IF($B$1+67&gt;90,BQ183,(BQ183+IF($B$1+67&lt;=$B183,12*$B$9,-12*$B$8*(1+$B$4)^67))*IF(BQ183+IF($B$1+67&lt;=$B183,12*$B$9,-12*$B$8*(1+$B$4)^67)&gt;0,1+$B$3,1))</f>
        <v/>
      </c>
      <c r="BS183">
        <f>IF($B$1+68&gt;90,BR183,(BR183+IF($B$1+68&lt;=$B183,12*$B$9,-12*$B$8*(1+$B$4)^68))*IF(BR183+IF($B$1+68&lt;=$B183,12*$B$9,-12*$B$8*(1+$B$4)^68)&gt;0,1+$B$3,1))</f>
        <v/>
      </c>
      <c r="BT183">
        <f>IF($B$1+69&gt;90,BS183,(BS183+IF($B$1+69&lt;=$B183,12*$B$9,-12*$B$8*(1+$B$4)^69))*IF(BS183+IF($B$1+69&lt;=$B183,12*$B$9,-12*$B$8*(1+$B$4)^69)&gt;0,1+$B$3,1))</f>
        <v/>
      </c>
      <c r="BU183">
        <f>IF($B$1+70&gt;90,BT183,(BT183+IF($B$1+70&lt;=$B183,12*$B$9,-12*$B$8*(1+$B$4)^70))*IF(BT183+IF($B$1+70&lt;=$B183,12*$B$9,-12*$B$8*(1+$B$4)^70)&gt;0,1+$B$3,1))</f>
        <v/>
      </c>
      <c r="BV183">
        <f>BU183</f>
        <v/>
      </c>
      <c r="BW183">
        <f>IF(AND($B183&lt;=70,BV183&gt;0),$B183,999)</f>
        <v/>
      </c>
    </row>
    <row r="184">
      <c r="A184" t="n">
        <v>32</v>
      </c>
      <c r="B184">
        <f>$B$1+32</f>
        <v/>
      </c>
      <c r="C184">
        <f>$B$2</f>
        <v/>
      </c>
      <c r="D184">
        <f>IF($B$1+1&gt;90,C184,(C184+IF($B$1+1&lt;=$B184,12*$B$9,-12*$B$8*(1+$B$4)^1))*IF(C184+IF($B$1+1&lt;=$B184,12*$B$9,-12*$B$8*(1+$B$4)^1)&gt;0,1+$B$3,1))</f>
        <v/>
      </c>
      <c r="E184">
        <f>IF($B$1+2&gt;90,D184,(D184+IF($B$1+2&lt;=$B184,12*$B$9,-12*$B$8*(1+$B$4)^2))*IF(D184+IF($B$1+2&lt;=$B184,12*$B$9,-12*$B$8*(1+$B$4)^2)&gt;0,1+$B$3,1))</f>
        <v/>
      </c>
      <c r="F184">
        <f>IF($B$1+3&gt;90,E184,(E184+IF($B$1+3&lt;=$B184,12*$B$9,-12*$B$8*(1+$B$4)^3))*IF(E184+IF($B$1+3&lt;=$B184,12*$B$9,-12*$B$8*(1+$B$4)^3)&gt;0,1+$B$3,1))</f>
        <v/>
      </c>
      <c r="G184">
        <f>IF($B$1+4&gt;90,F184,(F184+IF($B$1+4&lt;=$B184,12*$B$9,-12*$B$8*(1+$B$4)^4))*IF(F184+IF($B$1+4&lt;=$B184,12*$B$9,-12*$B$8*(1+$B$4)^4)&gt;0,1+$B$3,1))</f>
        <v/>
      </c>
      <c r="H184">
        <f>IF($B$1+5&gt;90,G184,(G184+IF($B$1+5&lt;=$B184,12*$B$9,-12*$B$8*(1+$B$4)^5))*IF(G184+IF($B$1+5&lt;=$B184,12*$B$9,-12*$B$8*(1+$B$4)^5)&gt;0,1+$B$3,1))</f>
        <v/>
      </c>
      <c r="I184">
        <f>IF($B$1+6&gt;90,H184,(H184+IF($B$1+6&lt;=$B184,12*$B$9,-12*$B$8*(1+$B$4)^6))*IF(H184+IF($B$1+6&lt;=$B184,12*$B$9,-12*$B$8*(1+$B$4)^6)&gt;0,1+$B$3,1))</f>
        <v/>
      </c>
      <c r="J184">
        <f>IF($B$1+7&gt;90,I184,(I184+IF($B$1+7&lt;=$B184,12*$B$9,-12*$B$8*(1+$B$4)^7))*IF(I184+IF($B$1+7&lt;=$B184,12*$B$9,-12*$B$8*(1+$B$4)^7)&gt;0,1+$B$3,1))</f>
        <v/>
      </c>
      <c r="K184">
        <f>IF($B$1+8&gt;90,J184,(J184+IF($B$1+8&lt;=$B184,12*$B$9,-12*$B$8*(1+$B$4)^8))*IF(J184+IF($B$1+8&lt;=$B184,12*$B$9,-12*$B$8*(1+$B$4)^8)&gt;0,1+$B$3,1))</f>
        <v/>
      </c>
      <c r="L184">
        <f>IF($B$1+9&gt;90,K184,(K184+IF($B$1+9&lt;=$B184,12*$B$9,-12*$B$8*(1+$B$4)^9))*IF(K184+IF($B$1+9&lt;=$B184,12*$B$9,-12*$B$8*(1+$B$4)^9)&gt;0,1+$B$3,1))</f>
        <v/>
      </c>
      <c r="M184">
        <f>IF($B$1+10&gt;90,L184,(L184+IF($B$1+10&lt;=$B184,12*$B$9,-12*$B$8*(1+$B$4)^10))*IF(L184+IF($B$1+10&lt;=$B184,12*$B$9,-12*$B$8*(1+$B$4)^10)&gt;0,1+$B$3,1))</f>
        <v/>
      </c>
      <c r="N184">
        <f>IF($B$1+11&gt;90,M184,(M184+IF($B$1+11&lt;=$B184,12*$B$9,-12*$B$8*(1+$B$4)^11))*IF(M184+IF($B$1+11&lt;=$B184,12*$B$9,-12*$B$8*(1+$B$4)^11)&gt;0,1+$B$3,1))</f>
        <v/>
      </c>
      <c r="O184">
        <f>IF($B$1+12&gt;90,N184,(N184+IF($B$1+12&lt;=$B184,12*$B$9,-12*$B$8*(1+$B$4)^12))*IF(N184+IF($B$1+12&lt;=$B184,12*$B$9,-12*$B$8*(1+$B$4)^12)&gt;0,1+$B$3,1))</f>
        <v/>
      </c>
      <c r="P184">
        <f>IF($B$1+13&gt;90,O184,(O184+IF($B$1+13&lt;=$B184,12*$B$9,-12*$B$8*(1+$B$4)^13))*IF(O184+IF($B$1+13&lt;=$B184,12*$B$9,-12*$B$8*(1+$B$4)^13)&gt;0,1+$B$3,1))</f>
        <v/>
      </c>
      <c r="Q184">
        <f>IF($B$1+14&gt;90,P184,(P184+IF($B$1+14&lt;=$B184,12*$B$9,-12*$B$8*(1+$B$4)^14))*IF(P184+IF($B$1+14&lt;=$B184,12*$B$9,-12*$B$8*(1+$B$4)^14)&gt;0,1+$B$3,1))</f>
        <v/>
      </c>
      <c r="R184">
        <f>IF($B$1+15&gt;90,Q184,(Q184+IF($B$1+15&lt;=$B184,12*$B$9,-12*$B$8*(1+$B$4)^15))*IF(Q184+IF($B$1+15&lt;=$B184,12*$B$9,-12*$B$8*(1+$B$4)^15)&gt;0,1+$B$3,1))</f>
        <v/>
      </c>
      <c r="S184">
        <f>IF($B$1+16&gt;90,R184,(R184+IF($B$1+16&lt;=$B184,12*$B$9,-12*$B$8*(1+$B$4)^16))*IF(R184+IF($B$1+16&lt;=$B184,12*$B$9,-12*$B$8*(1+$B$4)^16)&gt;0,1+$B$3,1))</f>
        <v/>
      </c>
      <c r="T184">
        <f>IF($B$1+17&gt;90,S184,(S184+IF($B$1+17&lt;=$B184,12*$B$9,-12*$B$8*(1+$B$4)^17))*IF(S184+IF($B$1+17&lt;=$B184,12*$B$9,-12*$B$8*(1+$B$4)^17)&gt;0,1+$B$3,1))</f>
        <v/>
      </c>
      <c r="U184">
        <f>IF($B$1+18&gt;90,T184,(T184+IF($B$1+18&lt;=$B184,12*$B$9,-12*$B$8*(1+$B$4)^18))*IF(T184+IF($B$1+18&lt;=$B184,12*$B$9,-12*$B$8*(1+$B$4)^18)&gt;0,1+$B$3,1))</f>
        <v/>
      </c>
      <c r="V184">
        <f>IF($B$1+19&gt;90,U184,(U184+IF($B$1+19&lt;=$B184,12*$B$9,-12*$B$8*(1+$B$4)^19))*IF(U184+IF($B$1+19&lt;=$B184,12*$B$9,-12*$B$8*(1+$B$4)^19)&gt;0,1+$B$3,1))</f>
        <v/>
      </c>
      <c r="W184">
        <f>IF($B$1+20&gt;90,V184,(V184+IF($B$1+20&lt;=$B184,12*$B$9,-12*$B$8*(1+$B$4)^20))*IF(V184+IF($B$1+20&lt;=$B184,12*$B$9,-12*$B$8*(1+$B$4)^20)&gt;0,1+$B$3,1))</f>
        <v/>
      </c>
      <c r="X184">
        <f>IF($B$1+21&gt;90,W184,(W184+IF($B$1+21&lt;=$B184,12*$B$9,-12*$B$8*(1+$B$4)^21))*IF(W184+IF($B$1+21&lt;=$B184,12*$B$9,-12*$B$8*(1+$B$4)^21)&gt;0,1+$B$3,1))</f>
        <v/>
      </c>
      <c r="Y184">
        <f>IF($B$1+22&gt;90,X184,(X184+IF($B$1+22&lt;=$B184,12*$B$9,-12*$B$8*(1+$B$4)^22))*IF(X184+IF($B$1+22&lt;=$B184,12*$B$9,-12*$B$8*(1+$B$4)^22)&gt;0,1+$B$3,1))</f>
        <v/>
      </c>
      <c r="Z184">
        <f>IF($B$1+23&gt;90,Y184,(Y184+IF($B$1+23&lt;=$B184,12*$B$9,-12*$B$8*(1+$B$4)^23))*IF(Y184+IF($B$1+23&lt;=$B184,12*$B$9,-12*$B$8*(1+$B$4)^23)&gt;0,1+$B$3,1))</f>
        <v/>
      </c>
      <c r="AA184">
        <f>IF($B$1+24&gt;90,Z184,(Z184+IF($B$1+24&lt;=$B184,12*$B$9,-12*$B$8*(1+$B$4)^24))*IF(Z184+IF($B$1+24&lt;=$B184,12*$B$9,-12*$B$8*(1+$B$4)^24)&gt;0,1+$B$3,1))</f>
        <v/>
      </c>
      <c r="AB184">
        <f>IF($B$1+25&gt;90,AA184,(AA184+IF($B$1+25&lt;=$B184,12*$B$9,-12*$B$8*(1+$B$4)^25))*IF(AA184+IF($B$1+25&lt;=$B184,12*$B$9,-12*$B$8*(1+$B$4)^25)&gt;0,1+$B$3,1))</f>
        <v/>
      </c>
      <c r="AC184">
        <f>IF($B$1+26&gt;90,AB184,(AB184+IF($B$1+26&lt;=$B184,12*$B$9,-12*$B$8*(1+$B$4)^26))*IF(AB184+IF($B$1+26&lt;=$B184,12*$B$9,-12*$B$8*(1+$B$4)^26)&gt;0,1+$B$3,1))</f>
        <v/>
      </c>
      <c r="AD184">
        <f>IF($B$1+27&gt;90,AC184,(AC184+IF($B$1+27&lt;=$B184,12*$B$9,-12*$B$8*(1+$B$4)^27))*IF(AC184+IF($B$1+27&lt;=$B184,12*$B$9,-12*$B$8*(1+$B$4)^27)&gt;0,1+$B$3,1))</f>
        <v/>
      </c>
      <c r="AE184">
        <f>IF($B$1+28&gt;90,AD184,(AD184+IF($B$1+28&lt;=$B184,12*$B$9,-12*$B$8*(1+$B$4)^28))*IF(AD184+IF($B$1+28&lt;=$B184,12*$B$9,-12*$B$8*(1+$B$4)^28)&gt;0,1+$B$3,1))</f>
        <v/>
      </c>
      <c r="AF184">
        <f>IF($B$1+29&gt;90,AE184,(AE184+IF($B$1+29&lt;=$B184,12*$B$9,-12*$B$8*(1+$B$4)^29))*IF(AE184+IF($B$1+29&lt;=$B184,12*$B$9,-12*$B$8*(1+$B$4)^29)&gt;0,1+$B$3,1))</f>
        <v/>
      </c>
      <c r="AG184">
        <f>IF($B$1+30&gt;90,AF184,(AF184+IF($B$1+30&lt;=$B184,12*$B$9,-12*$B$8*(1+$B$4)^30))*IF(AF184+IF($B$1+30&lt;=$B184,12*$B$9,-12*$B$8*(1+$B$4)^30)&gt;0,1+$B$3,1))</f>
        <v/>
      </c>
      <c r="AH184">
        <f>IF($B$1+31&gt;90,AG184,(AG184+IF($B$1+31&lt;=$B184,12*$B$9,-12*$B$8*(1+$B$4)^31))*IF(AG184+IF($B$1+31&lt;=$B184,12*$B$9,-12*$B$8*(1+$B$4)^31)&gt;0,1+$B$3,1))</f>
        <v/>
      </c>
      <c r="AI184">
        <f>IF($B$1+32&gt;90,AH184,(AH184+IF($B$1+32&lt;=$B184,12*$B$9,-12*$B$8*(1+$B$4)^32))*IF(AH184+IF($B$1+32&lt;=$B184,12*$B$9,-12*$B$8*(1+$B$4)^32)&gt;0,1+$B$3,1))</f>
        <v/>
      </c>
      <c r="AJ184">
        <f>IF($B$1+33&gt;90,AI184,(AI184+IF($B$1+33&lt;=$B184,12*$B$9,-12*$B$8*(1+$B$4)^33))*IF(AI184+IF($B$1+33&lt;=$B184,12*$B$9,-12*$B$8*(1+$B$4)^33)&gt;0,1+$B$3,1))</f>
        <v/>
      </c>
      <c r="AK184">
        <f>IF($B$1+34&gt;90,AJ184,(AJ184+IF($B$1+34&lt;=$B184,12*$B$9,-12*$B$8*(1+$B$4)^34))*IF(AJ184+IF($B$1+34&lt;=$B184,12*$B$9,-12*$B$8*(1+$B$4)^34)&gt;0,1+$B$3,1))</f>
        <v/>
      </c>
      <c r="AL184">
        <f>IF($B$1+35&gt;90,AK184,(AK184+IF($B$1+35&lt;=$B184,12*$B$9,-12*$B$8*(1+$B$4)^35))*IF(AK184+IF($B$1+35&lt;=$B184,12*$B$9,-12*$B$8*(1+$B$4)^35)&gt;0,1+$B$3,1))</f>
        <v/>
      </c>
      <c r="AM184">
        <f>IF($B$1+36&gt;90,AL184,(AL184+IF($B$1+36&lt;=$B184,12*$B$9,-12*$B$8*(1+$B$4)^36))*IF(AL184+IF($B$1+36&lt;=$B184,12*$B$9,-12*$B$8*(1+$B$4)^36)&gt;0,1+$B$3,1))</f>
        <v/>
      </c>
      <c r="AN184">
        <f>IF($B$1+37&gt;90,AM184,(AM184+IF($B$1+37&lt;=$B184,12*$B$9,-12*$B$8*(1+$B$4)^37))*IF(AM184+IF($B$1+37&lt;=$B184,12*$B$9,-12*$B$8*(1+$B$4)^37)&gt;0,1+$B$3,1))</f>
        <v/>
      </c>
      <c r="AO184">
        <f>IF($B$1+38&gt;90,AN184,(AN184+IF($B$1+38&lt;=$B184,12*$B$9,-12*$B$8*(1+$B$4)^38))*IF(AN184+IF($B$1+38&lt;=$B184,12*$B$9,-12*$B$8*(1+$B$4)^38)&gt;0,1+$B$3,1))</f>
        <v/>
      </c>
      <c r="AP184">
        <f>IF($B$1+39&gt;90,AO184,(AO184+IF($B$1+39&lt;=$B184,12*$B$9,-12*$B$8*(1+$B$4)^39))*IF(AO184+IF($B$1+39&lt;=$B184,12*$B$9,-12*$B$8*(1+$B$4)^39)&gt;0,1+$B$3,1))</f>
        <v/>
      </c>
      <c r="AQ184">
        <f>IF($B$1+40&gt;90,AP184,(AP184+IF($B$1+40&lt;=$B184,12*$B$9,-12*$B$8*(1+$B$4)^40))*IF(AP184+IF($B$1+40&lt;=$B184,12*$B$9,-12*$B$8*(1+$B$4)^40)&gt;0,1+$B$3,1))</f>
        <v/>
      </c>
      <c r="AR184">
        <f>IF($B$1+41&gt;90,AQ184,(AQ184+IF($B$1+41&lt;=$B184,12*$B$9,-12*$B$8*(1+$B$4)^41))*IF(AQ184+IF($B$1+41&lt;=$B184,12*$B$9,-12*$B$8*(1+$B$4)^41)&gt;0,1+$B$3,1))</f>
        <v/>
      </c>
      <c r="AS184">
        <f>IF($B$1+42&gt;90,AR184,(AR184+IF($B$1+42&lt;=$B184,12*$B$9,-12*$B$8*(1+$B$4)^42))*IF(AR184+IF($B$1+42&lt;=$B184,12*$B$9,-12*$B$8*(1+$B$4)^42)&gt;0,1+$B$3,1))</f>
        <v/>
      </c>
      <c r="AT184">
        <f>IF($B$1+43&gt;90,AS184,(AS184+IF($B$1+43&lt;=$B184,12*$B$9,-12*$B$8*(1+$B$4)^43))*IF(AS184+IF($B$1+43&lt;=$B184,12*$B$9,-12*$B$8*(1+$B$4)^43)&gt;0,1+$B$3,1))</f>
        <v/>
      </c>
      <c r="AU184">
        <f>IF($B$1+44&gt;90,AT184,(AT184+IF($B$1+44&lt;=$B184,12*$B$9,-12*$B$8*(1+$B$4)^44))*IF(AT184+IF($B$1+44&lt;=$B184,12*$B$9,-12*$B$8*(1+$B$4)^44)&gt;0,1+$B$3,1))</f>
        <v/>
      </c>
      <c r="AV184">
        <f>IF($B$1+45&gt;90,AU184,(AU184+IF($B$1+45&lt;=$B184,12*$B$9,-12*$B$8*(1+$B$4)^45))*IF(AU184+IF($B$1+45&lt;=$B184,12*$B$9,-12*$B$8*(1+$B$4)^45)&gt;0,1+$B$3,1))</f>
        <v/>
      </c>
      <c r="AW184">
        <f>IF($B$1+46&gt;90,AV184,(AV184+IF($B$1+46&lt;=$B184,12*$B$9,-12*$B$8*(1+$B$4)^46))*IF(AV184+IF($B$1+46&lt;=$B184,12*$B$9,-12*$B$8*(1+$B$4)^46)&gt;0,1+$B$3,1))</f>
        <v/>
      </c>
      <c r="AX184">
        <f>IF($B$1+47&gt;90,AW184,(AW184+IF($B$1+47&lt;=$B184,12*$B$9,-12*$B$8*(1+$B$4)^47))*IF(AW184+IF($B$1+47&lt;=$B184,12*$B$9,-12*$B$8*(1+$B$4)^47)&gt;0,1+$B$3,1))</f>
        <v/>
      </c>
      <c r="AY184">
        <f>IF($B$1+48&gt;90,AX184,(AX184+IF($B$1+48&lt;=$B184,12*$B$9,-12*$B$8*(1+$B$4)^48))*IF(AX184+IF($B$1+48&lt;=$B184,12*$B$9,-12*$B$8*(1+$B$4)^48)&gt;0,1+$B$3,1))</f>
        <v/>
      </c>
      <c r="AZ184">
        <f>IF($B$1+49&gt;90,AY184,(AY184+IF($B$1+49&lt;=$B184,12*$B$9,-12*$B$8*(1+$B$4)^49))*IF(AY184+IF($B$1+49&lt;=$B184,12*$B$9,-12*$B$8*(1+$B$4)^49)&gt;0,1+$B$3,1))</f>
        <v/>
      </c>
      <c r="BA184">
        <f>IF($B$1+50&gt;90,AZ184,(AZ184+IF($B$1+50&lt;=$B184,12*$B$9,-12*$B$8*(1+$B$4)^50))*IF(AZ184+IF($B$1+50&lt;=$B184,12*$B$9,-12*$B$8*(1+$B$4)^50)&gt;0,1+$B$3,1))</f>
        <v/>
      </c>
      <c r="BB184">
        <f>IF($B$1+51&gt;90,BA184,(BA184+IF($B$1+51&lt;=$B184,12*$B$9,-12*$B$8*(1+$B$4)^51))*IF(BA184+IF($B$1+51&lt;=$B184,12*$B$9,-12*$B$8*(1+$B$4)^51)&gt;0,1+$B$3,1))</f>
        <v/>
      </c>
      <c r="BC184">
        <f>IF($B$1+52&gt;90,BB184,(BB184+IF($B$1+52&lt;=$B184,12*$B$9,-12*$B$8*(1+$B$4)^52))*IF(BB184+IF($B$1+52&lt;=$B184,12*$B$9,-12*$B$8*(1+$B$4)^52)&gt;0,1+$B$3,1))</f>
        <v/>
      </c>
      <c r="BD184">
        <f>IF($B$1+53&gt;90,BC184,(BC184+IF($B$1+53&lt;=$B184,12*$B$9,-12*$B$8*(1+$B$4)^53))*IF(BC184+IF($B$1+53&lt;=$B184,12*$B$9,-12*$B$8*(1+$B$4)^53)&gt;0,1+$B$3,1))</f>
        <v/>
      </c>
      <c r="BE184">
        <f>IF($B$1+54&gt;90,BD184,(BD184+IF($B$1+54&lt;=$B184,12*$B$9,-12*$B$8*(1+$B$4)^54))*IF(BD184+IF($B$1+54&lt;=$B184,12*$B$9,-12*$B$8*(1+$B$4)^54)&gt;0,1+$B$3,1))</f>
        <v/>
      </c>
      <c r="BF184">
        <f>IF($B$1+55&gt;90,BE184,(BE184+IF($B$1+55&lt;=$B184,12*$B$9,-12*$B$8*(1+$B$4)^55))*IF(BE184+IF($B$1+55&lt;=$B184,12*$B$9,-12*$B$8*(1+$B$4)^55)&gt;0,1+$B$3,1))</f>
        <v/>
      </c>
      <c r="BG184">
        <f>IF($B$1+56&gt;90,BF184,(BF184+IF($B$1+56&lt;=$B184,12*$B$9,-12*$B$8*(1+$B$4)^56))*IF(BF184+IF($B$1+56&lt;=$B184,12*$B$9,-12*$B$8*(1+$B$4)^56)&gt;0,1+$B$3,1))</f>
        <v/>
      </c>
      <c r="BH184">
        <f>IF($B$1+57&gt;90,BG184,(BG184+IF($B$1+57&lt;=$B184,12*$B$9,-12*$B$8*(1+$B$4)^57))*IF(BG184+IF($B$1+57&lt;=$B184,12*$B$9,-12*$B$8*(1+$B$4)^57)&gt;0,1+$B$3,1))</f>
        <v/>
      </c>
      <c r="BI184">
        <f>IF($B$1+58&gt;90,BH184,(BH184+IF($B$1+58&lt;=$B184,12*$B$9,-12*$B$8*(1+$B$4)^58))*IF(BH184+IF($B$1+58&lt;=$B184,12*$B$9,-12*$B$8*(1+$B$4)^58)&gt;0,1+$B$3,1))</f>
        <v/>
      </c>
      <c r="BJ184">
        <f>IF($B$1+59&gt;90,BI184,(BI184+IF($B$1+59&lt;=$B184,12*$B$9,-12*$B$8*(1+$B$4)^59))*IF(BI184+IF($B$1+59&lt;=$B184,12*$B$9,-12*$B$8*(1+$B$4)^59)&gt;0,1+$B$3,1))</f>
        <v/>
      </c>
      <c r="BK184">
        <f>IF($B$1+60&gt;90,BJ184,(BJ184+IF($B$1+60&lt;=$B184,12*$B$9,-12*$B$8*(1+$B$4)^60))*IF(BJ184+IF($B$1+60&lt;=$B184,12*$B$9,-12*$B$8*(1+$B$4)^60)&gt;0,1+$B$3,1))</f>
        <v/>
      </c>
      <c r="BL184">
        <f>IF($B$1+61&gt;90,BK184,(BK184+IF($B$1+61&lt;=$B184,12*$B$9,-12*$B$8*(1+$B$4)^61))*IF(BK184+IF($B$1+61&lt;=$B184,12*$B$9,-12*$B$8*(1+$B$4)^61)&gt;0,1+$B$3,1))</f>
        <v/>
      </c>
      <c r="BM184">
        <f>IF($B$1+62&gt;90,BL184,(BL184+IF($B$1+62&lt;=$B184,12*$B$9,-12*$B$8*(1+$B$4)^62))*IF(BL184+IF($B$1+62&lt;=$B184,12*$B$9,-12*$B$8*(1+$B$4)^62)&gt;0,1+$B$3,1))</f>
        <v/>
      </c>
      <c r="BN184">
        <f>IF($B$1+63&gt;90,BM184,(BM184+IF($B$1+63&lt;=$B184,12*$B$9,-12*$B$8*(1+$B$4)^63))*IF(BM184+IF($B$1+63&lt;=$B184,12*$B$9,-12*$B$8*(1+$B$4)^63)&gt;0,1+$B$3,1))</f>
        <v/>
      </c>
      <c r="BO184">
        <f>IF($B$1+64&gt;90,BN184,(BN184+IF($B$1+64&lt;=$B184,12*$B$9,-12*$B$8*(1+$B$4)^64))*IF(BN184+IF($B$1+64&lt;=$B184,12*$B$9,-12*$B$8*(1+$B$4)^64)&gt;0,1+$B$3,1))</f>
        <v/>
      </c>
      <c r="BP184">
        <f>IF($B$1+65&gt;90,BO184,(BO184+IF($B$1+65&lt;=$B184,12*$B$9,-12*$B$8*(1+$B$4)^65))*IF(BO184+IF($B$1+65&lt;=$B184,12*$B$9,-12*$B$8*(1+$B$4)^65)&gt;0,1+$B$3,1))</f>
        <v/>
      </c>
      <c r="BQ184">
        <f>IF($B$1+66&gt;90,BP184,(BP184+IF($B$1+66&lt;=$B184,12*$B$9,-12*$B$8*(1+$B$4)^66))*IF(BP184+IF($B$1+66&lt;=$B184,12*$B$9,-12*$B$8*(1+$B$4)^66)&gt;0,1+$B$3,1))</f>
        <v/>
      </c>
      <c r="BR184">
        <f>IF($B$1+67&gt;90,BQ184,(BQ184+IF($B$1+67&lt;=$B184,12*$B$9,-12*$B$8*(1+$B$4)^67))*IF(BQ184+IF($B$1+67&lt;=$B184,12*$B$9,-12*$B$8*(1+$B$4)^67)&gt;0,1+$B$3,1))</f>
        <v/>
      </c>
      <c r="BS184">
        <f>IF($B$1+68&gt;90,BR184,(BR184+IF($B$1+68&lt;=$B184,12*$B$9,-12*$B$8*(1+$B$4)^68))*IF(BR184+IF($B$1+68&lt;=$B184,12*$B$9,-12*$B$8*(1+$B$4)^68)&gt;0,1+$B$3,1))</f>
        <v/>
      </c>
      <c r="BT184">
        <f>IF($B$1+69&gt;90,BS184,(BS184+IF($B$1+69&lt;=$B184,12*$B$9,-12*$B$8*(1+$B$4)^69))*IF(BS184+IF($B$1+69&lt;=$B184,12*$B$9,-12*$B$8*(1+$B$4)^69)&gt;0,1+$B$3,1))</f>
        <v/>
      </c>
      <c r="BU184">
        <f>IF($B$1+70&gt;90,BT184,(BT184+IF($B$1+70&lt;=$B184,12*$B$9,-12*$B$8*(1+$B$4)^70))*IF(BT184+IF($B$1+70&lt;=$B184,12*$B$9,-12*$B$8*(1+$B$4)^70)&gt;0,1+$B$3,1))</f>
        <v/>
      </c>
      <c r="BV184">
        <f>BU184</f>
        <v/>
      </c>
      <c r="BW184">
        <f>IF(AND($B184&lt;=70,BV184&gt;0),$B184,999)</f>
        <v/>
      </c>
    </row>
    <row r="185">
      <c r="A185" t="n">
        <v>33</v>
      </c>
      <c r="B185">
        <f>$B$1+33</f>
        <v/>
      </c>
      <c r="C185">
        <f>$B$2</f>
        <v/>
      </c>
      <c r="D185">
        <f>IF($B$1+1&gt;90,C185,(C185+IF($B$1+1&lt;=$B185,12*$B$9,-12*$B$8*(1+$B$4)^1))*IF(C185+IF($B$1+1&lt;=$B185,12*$B$9,-12*$B$8*(1+$B$4)^1)&gt;0,1+$B$3,1))</f>
        <v/>
      </c>
      <c r="E185">
        <f>IF($B$1+2&gt;90,D185,(D185+IF($B$1+2&lt;=$B185,12*$B$9,-12*$B$8*(1+$B$4)^2))*IF(D185+IF($B$1+2&lt;=$B185,12*$B$9,-12*$B$8*(1+$B$4)^2)&gt;0,1+$B$3,1))</f>
        <v/>
      </c>
      <c r="F185">
        <f>IF($B$1+3&gt;90,E185,(E185+IF($B$1+3&lt;=$B185,12*$B$9,-12*$B$8*(1+$B$4)^3))*IF(E185+IF($B$1+3&lt;=$B185,12*$B$9,-12*$B$8*(1+$B$4)^3)&gt;0,1+$B$3,1))</f>
        <v/>
      </c>
      <c r="G185">
        <f>IF($B$1+4&gt;90,F185,(F185+IF($B$1+4&lt;=$B185,12*$B$9,-12*$B$8*(1+$B$4)^4))*IF(F185+IF($B$1+4&lt;=$B185,12*$B$9,-12*$B$8*(1+$B$4)^4)&gt;0,1+$B$3,1))</f>
        <v/>
      </c>
      <c r="H185">
        <f>IF($B$1+5&gt;90,G185,(G185+IF($B$1+5&lt;=$B185,12*$B$9,-12*$B$8*(1+$B$4)^5))*IF(G185+IF($B$1+5&lt;=$B185,12*$B$9,-12*$B$8*(1+$B$4)^5)&gt;0,1+$B$3,1))</f>
        <v/>
      </c>
      <c r="I185">
        <f>IF($B$1+6&gt;90,H185,(H185+IF($B$1+6&lt;=$B185,12*$B$9,-12*$B$8*(1+$B$4)^6))*IF(H185+IF($B$1+6&lt;=$B185,12*$B$9,-12*$B$8*(1+$B$4)^6)&gt;0,1+$B$3,1))</f>
        <v/>
      </c>
      <c r="J185">
        <f>IF($B$1+7&gt;90,I185,(I185+IF($B$1+7&lt;=$B185,12*$B$9,-12*$B$8*(1+$B$4)^7))*IF(I185+IF($B$1+7&lt;=$B185,12*$B$9,-12*$B$8*(1+$B$4)^7)&gt;0,1+$B$3,1))</f>
        <v/>
      </c>
      <c r="K185">
        <f>IF($B$1+8&gt;90,J185,(J185+IF($B$1+8&lt;=$B185,12*$B$9,-12*$B$8*(1+$B$4)^8))*IF(J185+IF($B$1+8&lt;=$B185,12*$B$9,-12*$B$8*(1+$B$4)^8)&gt;0,1+$B$3,1))</f>
        <v/>
      </c>
      <c r="L185">
        <f>IF($B$1+9&gt;90,K185,(K185+IF($B$1+9&lt;=$B185,12*$B$9,-12*$B$8*(1+$B$4)^9))*IF(K185+IF($B$1+9&lt;=$B185,12*$B$9,-12*$B$8*(1+$B$4)^9)&gt;0,1+$B$3,1))</f>
        <v/>
      </c>
      <c r="M185">
        <f>IF($B$1+10&gt;90,L185,(L185+IF($B$1+10&lt;=$B185,12*$B$9,-12*$B$8*(1+$B$4)^10))*IF(L185+IF($B$1+10&lt;=$B185,12*$B$9,-12*$B$8*(1+$B$4)^10)&gt;0,1+$B$3,1))</f>
        <v/>
      </c>
      <c r="N185">
        <f>IF($B$1+11&gt;90,M185,(M185+IF($B$1+11&lt;=$B185,12*$B$9,-12*$B$8*(1+$B$4)^11))*IF(M185+IF($B$1+11&lt;=$B185,12*$B$9,-12*$B$8*(1+$B$4)^11)&gt;0,1+$B$3,1))</f>
        <v/>
      </c>
      <c r="O185">
        <f>IF($B$1+12&gt;90,N185,(N185+IF($B$1+12&lt;=$B185,12*$B$9,-12*$B$8*(1+$B$4)^12))*IF(N185+IF($B$1+12&lt;=$B185,12*$B$9,-12*$B$8*(1+$B$4)^12)&gt;0,1+$B$3,1))</f>
        <v/>
      </c>
      <c r="P185">
        <f>IF($B$1+13&gt;90,O185,(O185+IF($B$1+13&lt;=$B185,12*$B$9,-12*$B$8*(1+$B$4)^13))*IF(O185+IF($B$1+13&lt;=$B185,12*$B$9,-12*$B$8*(1+$B$4)^13)&gt;0,1+$B$3,1))</f>
        <v/>
      </c>
      <c r="Q185">
        <f>IF($B$1+14&gt;90,P185,(P185+IF($B$1+14&lt;=$B185,12*$B$9,-12*$B$8*(1+$B$4)^14))*IF(P185+IF($B$1+14&lt;=$B185,12*$B$9,-12*$B$8*(1+$B$4)^14)&gt;0,1+$B$3,1))</f>
        <v/>
      </c>
      <c r="R185">
        <f>IF($B$1+15&gt;90,Q185,(Q185+IF($B$1+15&lt;=$B185,12*$B$9,-12*$B$8*(1+$B$4)^15))*IF(Q185+IF($B$1+15&lt;=$B185,12*$B$9,-12*$B$8*(1+$B$4)^15)&gt;0,1+$B$3,1))</f>
        <v/>
      </c>
      <c r="S185">
        <f>IF($B$1+16&gt;90,R185,(R185+IF($B$1+16&lt;=$B185,12*$B$9,-12*$B$8*(1+$B$4)^16))*IF(R185+IF($B$1+16&lt;=$B185,12*$B$9,-12*$B$8*(1+$B$4)^16)&gt;0,1+$B$3,1))</f>
        <v/>
      </c>
      <c r="T185">
        <f>IF($B$1+17&gt;90,S185,(S185+IF($B$1+17&lt;=$B185,12*$B$9,-12*$B$8*(1+$B$4)^17))*IF(S185+IF($B$1+17&lt;=$B185,12*$B$9,-12*$B$8*(1+$B$4)^17)&gt;0,1+$B$3,1))</f>
        <v/>
      </c>
      <c r="U185">
        <f>IF($B$1+18&gt;90,T185,(T185+IF($B$1+18&lt;=$B185,12*$B$9,-12*$B$8*(1+$B$4)^18))*IF(T185+IF($B$1+18&lt;=$B185,12*$B$9,-12*$B$8*(1+$B$4)^18)&gt;0,1+$B$3,1))</f>
        <v/>
      </c>
      <c r="V185">
        <f>IF($B$1+19&gt;90,U185,(U185+IF($B$1+19&lt;=$B185,12*$B$9,-12*$B$8*(1+$B$4)^19))*IF(U185+IF($B$1+19&lt;=$B185,12*$B$9,-12*$B$8*(1+$B$4)^19)&gt;0,1+$B$3,1))</f>
        <v/>
      </c>
      <c r="W185">
        <f>IF($B$1+20&gt;90,V185,(V185+IF($B$1+20&lt;=$B185,12*$B$9,-12*$B$8*(1+$B$4)^20))*IF(V185+IF($B$1+20&lt;=$B185,12*$B$9,-12*$B$8*(1+$B$4)^20)&gt;0,1+$B$3,1))</f>
        <v/>
      </c>
      <c r="X185">
        <f>IF($B$1+21&gt;90,W185,(W185+IF($B$1+21&lt;=$B185,12*$B$9,-12*$B$8*(1+$B$4)^21))*IF(W185+IF($B$1+21&lt;=$B185,12*$B$9,-12*$B$8*(1+$B$4)^21)&gt;0,1+$B$3,1))</f>
        <v/>
      </c>
      <c r="Y185">
        <f>IF($B$1+22&gt;90,X185,(X185+IF($B$1+22&lt;=$B185,12*$B$9,-12*$B$8*(1+$B$4)^22))*IF(X185+IF($B$1+22&lt;=$B185,12*$B$9,-12*$B$8*(1+$B$4)^22)&gt;0,1+$B$3,1))</f>
        <v/>
      </c>
      <c r="Z185">
        <f>IF($B$1+23&gt;90,Y185,(Y185+IF($B$1+23&lt;=$B185,12*$B$9,-12*$B$8*(1+$B$4)^23))*IF(Y185+IF($B$1+23&lt;=$B185,12*$B$9,-12*$B$8*(1+$B$4)^23)&gt;0,1+$B$3,1))</f>
        <v/>
      </c>
      <c r="AA185">
        <f>IF($B$1+24&gt;90,Z185,(Z185+IF($B$1+24&lt;=$B185,12*$B$9,-12*$B$8*(1+$B$4)^24))*IF(Z185+IF($B$1+24&lt;=$B185,12*$B$9,-12*$B$8*(1+$B$4)^24)&gt;0,1+$B$3,1))</f>
        <v/>
      </c>
      <c r="AB185">
        <f>IF($B$1+25&gt;90,AA185,(AA185+IF($B$1+25&lt;=$B185,12*$B$9,-12*$B$8*(1+$B$4)^25))*IF(AA185+IF($B$1+25&lt;=$B185,12*$B$9,-12*$B$8*(1+$B$4)^25)&gt;0,1+$B$3,1))</f>
        <v/>
      </c>
      <c r="AC185">
        <f>IF($B$1+26&gt;90,AB185,(AB185+IF($B$1+26&lt;=$B185,12*$B$9,-12*$B$8*(1+$B$4)^26))*IF(AB185+IF($B$1+26&lt;=$B185,12*$B$9,-12*$B$8*(1+$B$4)^26)&gt;0,1+$B$3,1))</f>
        <v/>
      </c>
      <c r="AD185">
        <f>IF($B$1+27&gt;90,AC185,(AC185+IF($B$1+27&lt;=$B185,12*$B$9,-12*$B$8*(1+$B$4)^27))*IF(AC185+IF($B$1+27&lt;=$B185,12*$B$9,-12*$B$8*(1+$B$4)^27)&gt;0,1+$B$3,1))</f>
        <v/>
      </c>
      <c r="AE185">
        <f>IF($B$1+28&gt;90,AD185,(AD185+IF($B$1+28&lt;=$B185,12*$B$9,-12*$B$8*(1+$B$4)^28))*IF(AD185+IF($B$1+28&lt;=$B185,12*$B$9,-12*$B$8*(1+$B$4)^28)&gt;0,1+$B$3,1))</f>
        <v/>
      </c>
      <c r="AF185">
        <f>IF($B$1+29&gt;90,AE185,(AE185+IF($B$1+29&lt;=$B185,12*$B$9,-12*$B$8*(1+$B$4)^29))*IF(AE185+IF($B$1+29&lt;=$B185,12*$B$9,-12*$B$8*(1+$B$4)^29)&gt;0,1+$B$3,1))</f>
        <v/>
      </c>
      <c r="AG185">
        <f>IF($B$1+30&gt;90,AF185,(AF185+IF($B$1+30&lt;=$B185,12*$B$9,-12*$B$8*(1+$B$4)^30))*IF(AF185+IF($B$1+30&lt;=$B185,12*$B$9,-12*$B$8*(1+$B$4)^30)&gt;0,1+$B$3,1))</f>
        <v/>
      </c>
      <c r="AH185">
        <f>IF($B$1+31&gt;90,AG185,(AG185+IF($B$1+31&lt;=$B185,12*$B$9,-12*$B$8*(1+$B$4)^31))*IF(AG185+IF($B$1+31&lt;=$B185,12*$B$9,-12*$B$8*(1+$B$4)^31)&gt;0,1+$B$3,1))</f>
        <v/>
      </c>
      <c r="AI185">
        <f>IF($B$1+32&gt;90,AH185,(AH185+IF($B$1+32&lt;=$B185,12*$B$9,-12*$B$8*(1+$B$4)^32))*IF(AH185+IF($B$1+32&lt;=$B185,12*$B$9,-12*$B$8*(1+$B$4)^32)&gt;0,1+$B$3,1))</f>
        <v/>
      </c>
      <c r="AJ185">
        <f>IF($B$1+33&gt;90,AI185,(AI185+IF($B$1+33&lt;=$B185,12*$B$9,-12*$B$8*(1+$B$4)^33))*IF(AI185+IF($B$1+33&lt;=$B185,12*$B$9,-12*$B$8*(1+$B$4)^33)&gt;0,1+$B$3,1))</f>
        <v/>
      </c>
      <c r="AK185">
        <f>IF($B$1+34&gt;90,AJ185,(AJ185+IF($B$1+34&lt;=$B185,12*$B$9,-12*$B$8*(1+$B$4)^34))*IF(AJ185+IF($B$1+34&lt;=$B185,12*$B$9,-12*$B$8*(1+$B$4)^34)&gt;0,1+$B$3,1))</f>
        <v/>
      </c>
      <c r="AL185">
        <f>IF($B$1+35&gt;90,AK185,(AK185+IF($B$1+35&lt;=$B185,12*$B$9,-12*$B$8*(1+$B$4)^35))*IF(AK185+IF($B$1+35&lt;=$B185,12*$B$9,-12*$B$8*(1+$B$4)^35)&gt;0,1+$B$3,1))</f>
        <v/>
      </c>
      <c r="AM185">
        <f>IF($B$1+36&gt;90,AL185,(AL185+IF($B$1+36&lt;=$B185,12*$B$9,-12*$B$8*(1+$B$4)^36))*IF(AL185+IF($B$1+36&lt;=$B185,12*$B$9,-12*$B$8*(1+$B$4)^36)&gt;0,1+$B$3,1))</f>
        <v/>
      </c>
      <c r="AN185">
        <f>IF($B$1+37&gt;90,AM185,(AM185+IF($B$1+37&lt;=$B185,12*$B$9,-12*$B$8*(1+$B$4)^37))*IF(AM185+IF($B$1+37&lt;=$B185,12*$B$9,-12*$B$8*(1+$B$4)^37)&gt;0,1+$B$3,1))</f>
        <v/>
      </c>
      <c r="AO185">
        <f>IF($B$1+38&gt;90,AN185,(AN185+IF($B$1+38&lt;=$B185,12*$B$9,-12*$B$8*(1+$B$4)^38))*IF(AN185+IF($B$1+38&lt;=$B185,12*$B$9,-12*$B$8*(1+$B$4)^38)&gt;0,1+$B$3,1))</f>
        <v/>
      </c>
      <c r="AP185">
        <f>IF($B$1+39&gt;90,AO185,(AO185+IF($B$1+39&lt;=$B185,12*$B$9,-12*$B$8*(1+$B$4)^39))*IF(AO185+IF($B$1+39&lt;=$B185,12*$B$9,-12*$B$8*(1+$B$4)^39)&gt;0,1+$B$3,1))</f>
        <v/>
      </c>
      <c r="AQ185">
        <f>IF($B$1+40&gt;90,AP185,(AP185+IF($B$1+40&lt;=$B185,12*$B$9,-12*$B$8*(1+$B$4)^40))*IF(AP185+IF($B$1+40&lt;=$B185,12*$B$9,-12*$B$8*(1+$B$4)^40)&gt;0,1+$B$3,1))</f>
        <v/>
      </c>
      <c r="AR185">
        <f>IF($B$1+41&gt;90,AQ185,(AQ185+IF($B$1+41&lt;=$B185,12*$B$9,-12*$B$8*(1+$B$4)^41))*IF(AQ185+IF($B$1+41&lt;=$B185,12*$B$9,-12*$B$8*(1+$B$4)^41)&gt;0,1+$B$3,1))</f>
        <v/>
      </c>
      <c r="AS185">
        <f>IF($B$1+42&gt;90,AR185,(AR185+IF($B$1+42&lt;=$B185,12*$B$9,-12*$B$8*(1+$B$4)^42))*IF(AR185+IF($B$1+42&lt;=$B185,12*$B$9,-12*$B$8*(1+$B$4)^42)&gt;0,1+$B$3,1))</f>
        <v/>
      </c>
      <c r="AT185">
        <f>IF($B$1+43&gt;90,AS185,(AS185+IF($B$1+43&lt;=$B185,12*$B$9,-12*$B$8*(1+$B$4)^43))*IF(AS185+IF($B$1+43&lt;=$B185,12*$B$9,-12*$B$8*(1+$B$4)^43)&gt;0,1+$B$3,1))</f>
        <v/>
      </c>
      <c r="AU185">
        <f>IF($B$1+44&gt;90,AT185,(AT185+IF($B$1+44&lt;=$B185,12*$B$9,-12*$B$8*(1+$B$4)^44))*IF(AT185+IF($B$1+44&lt;=$B185,12*$B$9,-12*$B$8*(1+$B$4)^44)&gt;0,1+$B$3,1))</f>
        <v/>
      </c>
      <c r="AV185">
        <f>IF($B$1+45&gt;90,AU185,(AU185+IF($B$1+45&lt;=$B185,12*$B$9,-12*$B$8*(1+$B$4)^45))*IF(AU185+IF($B$1+45&lt;=$B185,12*$B$9,-12*$B$8*(1+$B$4)^45)&gt;0,1+$B$3,1))</f>
        <v/>
      </c>
      <c r="AW185">
        <f>IF($B$1+46&gt;90,AV185,(AV185+IF($B$1+46&lt;=$B185,12*$B$9,-12*$B$8*(1+$B$4)^46))*IF(AV185+IF($B$1+46&lt;=$B185,12*$B$9,-12*$B$8*(1+$B$4)^46)&gt;0,1+$B$3,1))</f>
        <v/>
      </c>
      <c r="AX185">
        <f>IF($B$1+47&gt;90,AW185,(AW185+IF($B$1+47&lt;=$B185,12*$B$9,-12*$B$8*(1+$B$4)^47))*IF(AW185+IF($B$1+47&lt;=$B185,12*$B$9,-12*$B$8*(1+$B$4)^47)&gt;0,1+$B$3,1))</f>
        <v/>
      </c>
      <c r="AY185">
        <f>IF($B$1+48&gt;90,AX185,(AX185+IF($B$1+48&lt;=$B185,12*$B$9,-12*$B$8*(1+$B$4)^48))*IF(AX185+IF($B$1+48&lt;=$B185,12*$B$9,-12*$B$8*(1+$B$4)^48)&gt;0,1+$B$3,1))</f>
        <v/>
      </c>
      <c r="AZ185">
        <f>IF($B$1+49&gt;90,AY185,(AY185+IF($B$1+49&lt;=$B185,12*$B$9,-12*$B$8*(1+$B$4)^49))*IF(AY185+IF($B$1+49&lt;=$B185,12*$B$9,-12*$B$8*(1+$B$4)^49)&gt;0,1+$B$3,1))</f>
        <v/>
      </c>
      <c r="BA185">
        <f>IF($B$1+50&gt;90,AZ185,(AZ185+IF($B$1+50&lt;=$B185,12*$B$9,-12*$B$8*(1+$B$4)^50))*IF(AZ185+IF($B$1+50&lt;=$B185,12*$B$9,-12*$B$8*(1+$B$4)^50)&gt;0,1+$B$3,1))</f>
        <v/>
      </c>
      <c r="BB185">
        <f>IF($B$1+51&gt;90,BA185,(BA185+IF($B$1+51&lt;=$B185,12*$B$9,-12*$B$8*(1+$B$4)^51))*IF(BA185+IF($B$1+51&lt;=$B185,12*$B$9,-12*$B$8*(1+$B$4)^51)&gt;0,1+$B$3,1))</f>
        <v/>
      </c>
      <c r="BC185">
        <f>IF($B$1+52&gt;90,BB185,(BB185+IF($B$1+52&lt;=$B185,12*$B$9,-12*$B$8*(1+$B$4)^52))*IF(BB185+IF($B$1+52&lt;=$B185,12*$B$9,-12*$B$8*(1+$B$4)^52)&gt;0,1+$B$3,1))</f>
        <v/>
      </c>
      <c r="BD185">
        <f>IF($B$1+53&gt;90,BC185,(BC185+IF($B$1+53&lt;=$B185,12*$B$9,-12*$B$8*(1+$B$4)^53))*IF(BC185+IF($B$1+53&lt;=$B185,12*$B$9,-12*$B$8*(1+$B$4)^53)&gt;0,1+$B$3,1))</f>
        <v/>
      </c>
      <c r="BE185">
        <f>IF($B$1+54&gt;90,BD185,(BD185+IF($B$1+54&lt;=$B185,12*$B$9,-12*$B$8*(1+$B$4)^54))*IF(BD185+IF($B$1+54&lt;=$B185,12*$B$9,-12*$B$8*(1+$B$4)^54)&gt;0,1+$B$3,1))</f>
        <v/>
      </c>
      <c r="BF185">
        <f>IF($B$1+55&gt;90,BE185,(BE185+IF($B$1+55&lt;=$B185,12*$B$9,-12*$B$8*(1+$B$4)^55))*IF(BE185+IF($B$1+55&lt;=$B185,12*$B$9,-12*$B$8*(1+$B$4)^55)&gt;0,1+$B$3,1))</f>
        <v/>
      </c>
      <c r="BG185">
        <f>IF($B$1+56&gt;90,BF185,(BF185+IF($B$1+56&lt;=$B185,12*$B$9,-12*$B$8*(1+$B$4)^56))*IF(BF185+IF($B$1+56&lt;=$B185,12*$B$9,-12*$B$8*(1+$B$4)^56)&gt;0,1+$B$3,1))</f>
        <v/>
      </c>
      <c r="BH185">
        <f>IF($B$1+57&gt;90,BG185,(BG185+IF($B$1+57&lt;=$B185,12*$B$9,-12*$B$8*(1+$B$4)^57))*IF(BG185+IF($B$1+57&lt;=$B185,12*$B$9,-12*$B$8*(1+$B$4)^57)&gt;0,1+$B$3,1))</f>
        <v/>
      </c>
      <c r="BI185">
        <f>IF($B$1+58&gt;90,BH185,(BH185+IF($B$1+58&lt;=$B185,12*$B$9,-12*$B$8*(1+$B$4)^58))*IF(BH185+IF($B$1+58&lt;=$B185,12*$B$9,-12*$B$8*(1+$B$4)^58)&gt;0,1+$B$3,1))</f>
        <v/>
      </c>
      <c r="BJ185">
        <f>IF($B$1+59&gt;90,BI185,(BI185+IF($B$1+59&lt;=$B185,12*$B$9,-12*$B$8*(1+$B$4)^59))*IF(BI185+IF($B$1+59&lt;=$B185,12*$B$9,-12*$B$8*(1+$B$4)^59)&gt;0,1+$B$3,1))</f>
        <v/>
      </c>
      <c r="BK185">
        <f>IF($B$1+60&gt;90,BJ185,(BJ185+IF($B$1+60&lt;=$B185,12*$B$9,-12*$B$8*(1+$B$4)^60))*IF(BJ185+IF($B$1+60&lt;=$B185,12*$B$9,-12*$B$8*(1+$B$4)^60)&gt;0,1+$B$3,1))</f>
        <v/>
      </c>
      <c r="BL185">
        <f>IF($B$1+61&gt;90,BK185,(BK185+IF($B$1+61&lt;=$B185,12*$B$9,-12*$B$8*(1+$B$4)^61))*IF(BK185+IF($B$1+61&lt;=$B185,12*$B$9,-12*$B$8*(1+$B$4)^61)&gt;0,1+$B$3,1))</f>
        <v/>
      </c>
      <c r="BM185">
        <f>IF($B$1+62&gt;90,BL185,(BL185+IF($B$1+62&lt;=$B185,12*$B$9,-12*$B$8*(1+$B$4)^62))*IF(BL185+IF($B$1+62&lt;=$B185,12*$B$9,-12*$B$8*(1+$B$4)^62)&gt;0,1+$B$3,1))</f>
        <v/>
      </c>
      <c r="BN185">
        <f>IF($B$1+63&gt;90,BM185,(BM185+IF($B$1+63&lt;=$B185,12*$B$9,-12*$B$8*(1+$B$4)^63))*IF(BM185+IF($B$1+63&lt;=$B185,12*$B$9,-12*$B$8*(1+$B$4)^63)&gt;0,1+$B$3,1))</f>
        <v/>
      </c>
      <c r="BO185">
        <f>IF($B$1+64&gt;90,BN185,(BN185+IF($B$1+64&lt;=$B185,12*$B$9,-12*$B$8*(1+$B$4)^64))*IF(BN185+IF($B$1+64&lt;=$B185,12*$B$9,-12*$B$8*(1+$B$4)^64)&gt;0,1+$B$3,1))</f>
        <v/>
      </c>
      <c r="BP185">
        <f>IF($B$1+65&gt;90,BO185,(BO185+IF($B$1+65&lt;=$B185,12*$B$9,-12*$B$8*(1+$B$4)^65))*IF(BO185+IF($B$1+65&lt;=$B185,12*$B$9,-12*$B$8*(1+$B$4)^65)&gt;0,1+$B$3,1))</f>
        <v/>
      </c>
      <c r="BQ185">
        <f>IF($B$1+66&gt;90,BP185,(BP185+IF($B$1+66&lt;=$B185,12*$B$9,-12*$B$8*(1+$B$4)^66))*IF(BP185+IF($B$1+66&lt;=$B185,12*$B$9,-12*$B$8*(1+$B$4)^66)&gt;0,1+$B$3,1))</f>
        <v/>
      </c>
      <c r="BR185">
        <f>IF($B$1+67&gt;90,BQ185,(BQ185+IF($B$1+67&lt;=$B185,12*$B$9,-12*$B$8*(1+$B$4)^67))*IF(BQ185+IF($B$1+67&lt;=$B185,12*$B$9,-12*$B$8*(1+$B$4)^67)&gt;0,1+$B$3,1))</f>
        <v/>
      </c>
      <c r="BS185">
        <f>IF($B$1+68&gt;90,BR185,(BR185+IF($B$1+68&lt;=$B185,12*$B$9,-12*$B$8*(1+$B$4)^68))*IF(BR185+IF($B$1+68&lt;=$B185,12*$B$9,-12*$B$8*(1+$B$4)^68)&gt;0,1+$B$3,1))</f>
        <v/>
      </c>
      <c r="BT185">
        <f>IF($B$1+69&gt;90,BS185,(BS185+IF($B$1+69&lt;=$B185,12*$B$9,-12*$B$8*(1+$B$4)^69))*IF(BS185+IF($B$1+69&lt;=$B185,12*$B$9,-12*$B$8*(1+$B$4)^69)&gt;0,1+$B$3,1))</f>
        <v/>
      </c>
      <c r="BU185">
        <f>IF($B$1+70&gt;90,BT185,(BT185+IF($B$1+70&lt;=$B185,12*$B$9,-12*$B$8*(1+$B$4)^70))*IF(BT185+IF($B$1+70&lt;=$B185,12*$B$9,-12*$B$8*(1+$B$4)^70)&gt;0,1+$B$3,1))</f>
        <v/>
      </c>
      <c r="BV185">
        <f>BU185</f>
        <v/>
      </c>
      <c r="BW185">
        <f>IF(AND($B185&lt;=70,BV185&gt;0),$B185,999)</f>
        <v/>
      </c>
    </row>
    <row r="186">
      <c r="A186" t="n">
        <v>34</v>
      </c>
      <c r="B186">
        <f>$B$1+34</f>
        <v/>
      </c>
      <c r="C186">
        <f>$B$2</f>
        <v/>
      </c>
      <c r="D186">
        <f>IF($B$1+1&gt;90,C186,(C186+IF($B$1+1&lt;=$B186,12*$B$9,-12*$B$8*(1+$B$4)^1))*IF(C186+IF($B$1+1&lt;=$B186,12*$B$9,-12*$B$8*(1+$B$4)^1)&gt;0,1+$B$3,1))</f>
        <v/>
      </c>
      <c r="E186">
        <f>IF($B$1+2&gt;90,D186,(D186+IF($B$1+2&lt;=$B186,12*$B$9,-12*$B$8*(1+$B$4)^2))*IF(D186+IF($B$1+2&lt;=$B186,12*$B$9,-12*$B$8*(1+$B$4)^2)&gt;0,1+$B$3,1))</f>
        <v/>
      </c>
      <c r="F186">
        <f>IF($B$1+3&gt;90,E186,(E186+IF($B$1+3&lt;=$B186,12*$B$9,-12*$B$8*(1+$B$4)^3))*IF(E186+IF($B$1+3&lt;=$B186,12*$B$9,-12*$B$8*(1+$B$4)^3)&gt;0,1+$B$3,1))</f>
        <v/>
      </c>
      <c r="G186">
        <f>IF($B$1+4&gt;90,F186,(F186+IF($B$1+4&lt;=$B186,12*$B$9,-12*$B$8*(1+$B$4)^4))*IF(F186+IF($B$1+4&lt;=$B186,12*$B$9,-12*$B$8*(1+$B$4)^4)&gt;0,1+$B$3,1))</f>
        <v/>
      </c>
      <c r="H186">
        <f>IF($B$1+5&gt;90,G186,(G186+IF($B$1+5&lt;=$B186,12*$B$9,-12*$B$8*(1+$B$4)^5))*IF(G186+IF($B$1+5&lt;=$B186,12*$B$9,-12*$B$8*(1+$B$4)^5)&gt;0,1+$B$3,1))</f>
        <v/>
      </c>
      <c r="I186">
        <f>IF($B$1+6&gt;90,H186,(H186+IF($B$1+6&lt;=$B186,12*$B$9,-12*$B$8*(1+$B$4)^6))*IF(H186+IF($B$1+6&lt;=$B186,12*$B$9,-12*$B$8*(1+$B$4)^6)&gt;0,1+$B$3,1))</f>
        <v/>
      </c>
      <c r="J186">
        <f>IF($B$1+7&gt;90,I186,(I186+IF($B$1+7&lt;=$B186,12*$B$9,-12*$B$8*(1+$B$4)^7))*IF(I186+IF($B$1+7&lt;=$B186,12*$B$9,-12*$B$8*(1+$B$4)^7)&gt;0,1+$B$3,1))</f>
        <v/>
      </c>
      <c r="K186">
        <f>IF($B$1+8&gt;90,J186,(J186+IF($B$1+8&lt;=$B186,12*$B$9,-12*$B$8*(1+$B$4)^8))*IF(J186+IF($B$1+8&lt;=$B186,12*$B$9,-12*$B$8*(1+$B$4)^8)&gt;0,1+$B$3,1))</f>
        <v/>
      </c>
      <c r="L186">
        <f>IF($B$1+9&gt;90,K186,(K186+IF($B$1+9&lt;=$B186,12*$B$9,-12*$B$8*(1+$B$4)^9))*IF(K186+IF($B$1+9&lt;=$B186,12*$B$9,-12*$B$8*(1+$B$4)^9)&gt;0,1+$B$3,1))</f>
        <v/>
      </c>
      <c r="M186">
        <f>IF($B$1+10&gt;90,L186,(L186+IF($B$1+10&lt;=$B186,12*$B$9,-12*$B$8*(1+$B$4)^10))*IF(L186+IF($B$1+10&lt;=$B186,12*$B$9,-12*$B$8*(1+$B$4)^10)&gt;0,1+$B$3,1))</f>
        <v/>
      </c>
      <c r="N186">
        <f>IF($B$1+11&gt;90,M186,(M186+IF($B$1+11&lt;=$B186,12*$B$9,-12*$B$8*(1+$B$4)^11))*IF(M186+IF($B$1+11&lt;=$B186,12*$B$9,-12*$B$8*(1+$B$4)^11)&gt;0,1+$B$3,1))</f>
        <v/>
      </c>
      <c r="O186">
        <f>IF($B$1+12&gt;90,N186,(N186+IF($B$1+12&lt;=$B186,12*$B$9,-12*$B$8*(1+$B$4)^12))*IF(N186+IF($B$1+12&lt;=$B186,12*$B$9,-12*$B$8*(1+$B$4)^12)&gt;0,1+$B$3,1))</f>
        <v/>
      </c>
      <c r="P186">
        <f>IF($B$1+13&gt;90,O186,(O186+IF($B$1+13&lt;=$B186,12*$B$9,-12*$B$8*(1+$B$4)^13))*IF(O186+IF($B$1+13&lt;=$B186,12*$B$9,-12*$B$8*(1+$B$4)^13)&gt;0,1+$B$3,1))</f>
        <v/>
      </c>
      <c r="Q186">
        <f>IF($B$1+14&gt;90,P186,(P186+IF($B$1+14&lt;=$B186,12*$B$9,-12*$B$8*(1+$B$4)^14))*IF(P186+IF($B$1+14&lt;=$B186,12*$B$9,-12*$B$8*(1+$B$4)^14)&gt;0,1+$B$3,1))</f>
        <v/>
      </c>
      <c r="R186">
        <f>IF($B$1+15&gt;90,Q186,(Q186+IF($B$1+15&lt;=$B186,12*$B$9,-12*$B$8*(1+$B$4)^15))*IF(Q186+IF($B$1+15&lt;=$B186,12*$B$9,-12*$B$8*(1+$B$4)^15)&gt;0,1+$B$3,1))</f>
        <v/>
      </c>
      <c r="S186">
        <f>IF($B$1+16&gt;90,R186,(R186+IF($B$1+16&lt;=$B186,12*$B$9,-12*$B$8*(1+$B$4)^16))*IF(R186+IF($B$1+16&lt;=$B186,12*$B$9,-12*$B$8*(1+$B$4)^16)&gt;0,1+$B$3,1))</f>
        <v/>
      </c>
      <c r="T186">
        <f>IF($B$1+17&gt;90,S186,(S186+IF($B$1+17&lt;=$B186,12*$B$9,-12*$B$8*(1+$B$4)^17))*IF(S186+IF($B$1+17&lt;=$B186,12*$B$9,-12*$B$8*(1+$B$4)^17)&gt;0,1+$B$3,1))</f>
        <v/>
      </c>
      <c r="U186">
        <f>IF($B$1+18&gt;90,T186,(T186+IF($B$1+18&lt;=$B186,12*$B$9,-12*$B$8*(1+$B$4)^18))*IF(T186+IF($B$1+18&lt;=$B186,12*$B$9,-12*$B$8*(1+$B$4)^18)&gt;0,1+$B$3,1))</f>
        <v/>
      </c>
      <c r="V186">
        <f>IF($B$1+19&gt;90,U186,(U186+IF($B$1+19&lt;=$B186,12*$B$9,-12*$B$8*(1+$B$4)^19))*IF(U186+IF($B$1+19&lt;=$B186,12*$B$9,-12*$B$8*(1+$B$4)^19)&gt;0,1+$B$3,1))</f>
        <v/>
      </c>
      <c r="W186">
        <f>IF($B$1+20&gt;90,V186,(V186+IF($B$1+20&lt;=$B186,12*$B$9,-12*$B$8*(1+$B$4)^20))*IF(V186+IF($B$1+20&lt;=$B186,12*$B$9,-12*$B$8*(1+$B$4)^20)&gt;0,1+$B$3,1))</f>
        <v/>
      </c>
      <c r="X186">
        <f>IF($B$1+21&gt;90,W186,(W186+IF($B$1+21&lt;=$B186,12*$B$9,-12*$B$8*(1+$B$4)^21))*IF(W186+IF($B$1+21&lt;=$B186,12*$B$9,-12*$B$8*(1+$B$4)^21)&gt;0,1+$B$3,1))</f>
        <v/>
      </c>
      <c r="Y186">
        <f>IF($B$1+22&gt;90,X186,(X186+IF($B$1+22&lt;=$B186,12*$B$9,-12*$B$8*(1+$B$4)^22))*IF(X186+IF($B$1+22&lt;=$B186,12*$B$9,-12*$B$8*(1+$B$4)^22)&gt;0,1+$B$3,1))</f>
        <v/>
      </c>
      <c r="Z186">
        <f>IF($B$1+23&gt;90,Y186,(Y186+IF($B$1+23&lt;=$B186,12*$B$9,-12*$B$8*(1+$B$4)^23))*IF(Y186+IF($B$1+23&lt;=$B186,12*$B$9,-12*$B$8*(1+$B$4)^23)&gt;0,1+$B$3,1))</f>
        <v/>
      </c>
      <c r="AA186">
        <f>IF($B$1+24&gt;90,Z186,(Z186+IF($B$1+24&lt;=$B186,12*$B$9,-12*$B$8*(1+$B$4)^24))*IF(Z186+IF($B$1+24&lt;=$B186,12*$B$9,-12*$B$8*(1+$B$4)^24)&gt;0,1+$B$3,1))</f>
        <v/>
      </c>
      <c r="AB186">
        <f>IF($B$1+25&gt;90,AA186,(AA186+IF($B$1+25&lt;=$B186,12*$B$9,-12*$B$8*(1+$B$4)^25))*IF(AA186+IF($B$1+25&lt;=$B186,12*$B$9,-12*$B$8*(1+$B$4)^25)&gt;0,1+$B$3,1))</f>
        <v/>
      </c>
      <c r="AC186">
        <f>IF($B$1+26&gt;90,AB186,(AB186+IF($B$1+26&lt;=$B186,12*$B$9,-12*$B$8*(1+$B$4)^26))*IF(AB186+IF($B$1+26&lt;=$B186,12*$B$9,-12*$B$8*(1+$B$4)^26)&gt;0,1+$B$3,1))</f>
        <v/>
      </c>
      <c r="AD186">
        <f>IF($B$1+27&gt;90,AC186,(AC186+IF($B$1+27&lt;=$B186,12*$B$9,-12*$B$8*(1+$B$4)^27))*IF(AC186+IF($B$1+27&lt;=$B186,12*$B$9,-12*$B$8*(1+$B$4)^27)&gt;0,1+$B$3,1))</f>
        <v/>
      </c>
      <c r="AE186">
        <f>IF($B$1+28&gt;90,AD186,(AD186+IF($B$1+28&lt;=$B186,12*$B$9,-12*$B$8*(1+$B$4)^28))*IF(AD186+IF($B$1+28&lt;=$B186,12*$B$9,-12*$B$8*(1+$B$4)^28)&gt;0,1+$B$3,1))</f>
        <v/>
      </c>
      <c r="AF186">
        <f>IF($B$1+29&gt;90,AE186,(AE186+IF($B$1+29&lt;=$B186,12*$B$9,-12*$B$8*(1+$B$4)^29))*IF(AE186+IF($B$1+29&lt;=$B186,12*$B$9,-12*$B$8*(1+$B$4)^29)&gt;0,1+$B$3,1))</f>
        <v/>
      </c>
      <c r="AG186">
        <f>IF($B$1+30&gt;90,AF186,(AF186+IF($B$1+30&lt;=$B186,12*$B$9,-12*$B$8*(1+$B$4)^30))*IF(AF186+IF($B$1+30&lt;=$B186,12*$B$9,-12*$B$8*(1+$B$4)^30)&gt;0,1+$B$3,1))</f>
        <v/>
      </c>
      <c r="AH186">
        <f>IF($B$1+31&gt;90,AG186,(AG186+IF($B$1+31&lt;=$B186,12*$B$9,-12*$B$8*(1+$B$4)^31))*IF(AG186+IF($B$1+31&lt;=$B186,12*$B$9,-12*$B$8*(1+$B$4)^31)&gt;0,1+$B$3,1))</f>
        <v/>
      </c>
      <c r="AI186">
        <f>IF($B$1+32&gt;90,AH186,(AH186+IF($B$1+32&lt;=$B186,12*$B$9,-12*$B$8*(1+$B$4)^32))*IF(AH186+IF($B$1+32&lt;=$B186,12*$B$9,-12*$B$8*(1+$B$4)^32)&gt;0,1+$B$3,1))</f>
        <v/>
      </c>
      <c r="AJ186">
        <f>IF($B$1+33&gt;90,AI186,(AI186+IF($B$1+33&lt;=$B186,12*$B$9,-12*$B$8*(1+$B$4)^33))*IF(AI186+IF($B$1+33&lt;=$B186,12*$B$9,-12*$B$8*(1+$B$4)^33)&gt;0,1+$B$3,1))</f>
        <v/>
      </c>
      <c r="AK186">
        <f>IF($B$1+34&gt;90,AJ186,(AJ186+IF($B$1+34&lt;=$B186,12*$B$9,-12*$B$8*(1+$B$4)^34))*IF(AJ186+IF($B$1+34&lt;=$B186,12*$B$9,-12*$B$8*(1+$B$4)^34)&gt;0,1+$B$3,1))</f>
        <v/>
      </c>
      <c r="AL186">
        <f>IF($B$1+35&gt;90,AK186,(AK186+IF($B$1+35&lt;=$B186,12*$B$9,-12*$B$8*(1+$B$4)^35))*IF(AK186+IF($B$1+35&lt;=$B186,12*$B$9,-12*$B$8*(1+$B$4)^35)&gt;0,1+$B$3,1))</f>
        <v/>
      </c>
      <c r="AM186">
        <f>IF($B$1+36&gt;90,AL186,(AL186+IF($B$1+36&lt;=$B186,12*$B$9,-12*$B$8*(1+$B$4)^36))*IF(AL186+IF($B$1+36&lt;=$B186,12*$B$9,-12*$B$8*(1+$B$4)^36)&gt;0,1+$B$3,1))</f>
        <v/>
      </c>
      <c r="AN186">
        <f>IF($B$1+37&gt;90,AM186,(AM186+IF($B$1+37&lt;=$B186,12*$B$9,-12*$B$8*(1+$B$4)^37))*IF(AM186+IF($B$1+37&lt;=$B186,12*$B$9,-12*$B$8*(1+$B$4)^37)&gt;0,1+$B$3,1))</f>
        <v/>
      </c>
      <c r="AO186">
        <f>IF($B$1+38&gt;90,AN186,(AN186+IF($B$1+38&lt;=$B186,12*$B$9,-12*$B$8*(1+$B$4)^38))*IF(AN186+IF($B$1+38&lt;=$B186,12*$B$9,-12*$B$8*(1+$B$4)^38)&gt;0,1+$B$3,1))</f>
        <v/>
      </c>
      <c r="AP186">
        <f>IF($B$1+39&gt;90,AO186,(AO186+IF($B$1+39&lt;=$B186,12*$B$9,-12*$B$8*(1+$B$4)^39))*IF(AO186+IF($B$1+39&lt;=$B186,12*$B$9,-12*$B$8*(1+$B$4)^39)&gt;0,1+$B$3,1))</f>
        <v/>
      </c>
      <c r="AQ186">
        <f>IF($B$1+40&gt;90,AP186,(AP186+IF($B$1+40&lt;=$B186,12*$B$9,-12*$B$8*(1+$B$4)^40))*IF(AP186+IF($B$1+40&lt;=$B186,12*$B$9,-12*$B$8*(1+$B$4)^40)&gt;0,1+$B$3,1))</f>
        <v/>
      </c>
      <c r="AR186">
        <f>IF($B$1+41&gt;90,AQ186,(AQ186+IF($B$1+41&lt;=$B186,12*$B$9,-12*$B$8*(1+$B$4)^41))*IF(AQ186+IF($B$1+41&lt;=$B186,12*$B$9,-12*$B$8*(1+$B$4)^41)&gt;0,1+$B$3,1))</f>
        <v/>
      </c>
      <c r="AS186">
        <f>IF($B$1+42&gt;90,AR186,(AR186+IF($B$1+42&lt;=$B186,12*$B$9,-12*$B$8*(1+$B$4)^42))*IF(AR186+IF($B$1+42&lt;=$B186,12*$B$9,-12*$B$8*(1+$B$4)^42)&gt;0,1+$B$3,1))</f>
        <v/>
      </c>
      <c r="AT186">
        <f>IF($B$1+43&gt;90,AS186,(AS186+IF($B$1+43&lt;=$B186,12*$B$9,-12*$B$8*(1+$B$4)^43))*IF(AS186+IF($B$1+43&lt;=$B186,12*$B$9,-12*$B$8*(1+$B$4)^43)&gt;0,1+$B$3,1))</f>
        <v/>
      </c>
      <c r="AU186">
        <f>IF($B$1+44&gt;90,AT186,(AT186+IF($B$1+44&lt;=$B186,12*$B$9,-12*$B$8*(1+$B$4)^44))*IF(AT186+IF($B$1+44&lt;=$B186,12*$B$9,-12*$B$8*(1+$B$4)^44)&gt;0,1+$B$3,1))</f>
        <v/>
      </c>
      <c r="AV186">
        <f>IF($B$1+45&gt;90,AU186,(AU186+IF($B$1+45&lt;=$B186,12*$B$9,-12*$B$8*(1+$B$4)^45))*IF(AU186+IF($B$1+45&lt;=$B186,12*$B$9,-12*$B$8*(1+$B$4)^45)&gt;0,1+$B$3,1))</f>
        <v/>
      </c>
      <c r="AW186">
        <f>IF($B$1+46&gt;90,AV186,(AV186+IF($B$1+46&lt;=$B186,12*$B$9,-12*$B$8*(1+$B$4)^46))*IF(AV186+IF($B$1+46&lt;=$B186,12*$B$9,-12*$B$8*(1+$B$4)^46)&gt;0,1+$B$3,1))</f>
        <v/>
      </c>
      <c r="AX186">
        <f>IF($B$1+47&gt;90,AW186,(AW186+IF($B$1+47&lt;=$B186,12*$B$9,-12*$B$8*(1+$B$4)^47))*IF(AW186+IF($B$1+47&lt;=$B186,12*$B$9,-12*$B$8*(1+$B$4)^47)&gt;0,1+$B$3,1))</f>
        <v/>
      </c>
      <c r="AY186">
        <f>IF($B$1+48&gt;90,AX186,(AX186+IF($B$1+48&lt;=$B186,12*$B$9,-12*$B$8*(1+$B$4)^48))*IF(AX186+IF($B$1+48&lt;=$B186,12*$B$9,-12*$B$8*(1+$B$4)^48)&gt;0,1+$B$3,1))</f>
        <v/>
      </c>
      <c r="AZ186">
        <f>IF($B$1+49&gt;90,AY186,(AY186+IF($B$1+49&lt;=$B186,12*$B$9,-12*$B$8*(1+$B$4)^49))*IF(AY186+IF($B$1+49&lt;=$B186,12*$B$9,-12*$B$8*(1+$B$4)^49)&gt;0,1+$B$3,1))</f>
        <v/>
      </c>
      <c r="BA186">
        <f>IF($B$1+50&gt;90,AZ186,(AZ186+IF($B$1+50&lt;=$B186,12*$B$9,-12*$B$8*(1+$B$4)^50))*IF(AZ186+IF($B$1+50&lt;=$B186,12*$B$9,-12*$B$8*(1+$B$4)^50)&gt;0,1+$B$3,1))</f>
        <v/>
      </c>
      <c r="BB186">
        <f>IF($B$1+51&gt;90,BA186,(BA186+IF($B$1+51&lt;=$B186,12*$B$9,-12*$B$8*(1+$B$4)^51))*IF(BA186+IF($B$1+51&lt;=$B186,12*$B$9,-12*$B$8*(1+$B$4)^51)&gt;0,1+$B$3,1))</f>
        <v/>
      </c>
      <c r="BC186">
        <f>IF($B$1+52&gt;90,BB186,(BB186+IF($B$1+52&lt;=$B186,12*$B$9,-12*$B$8*(1+$B$4)^52))*IF(BB186+IF($B$1+52&lt;=$B186,12*$B$9,-12*$B$8*(1+$B$4)^52)&gt;0,1+$B$3,1))</f>
        <v/>
      </c>
      <c r="BD186">
        <f>IF($B$1+53&gt;90,BC186,(BC186+IF($B$1+53&lt;=$B186,12*$B$9,-12*$B$8*(1+$B$4)^53))*IF(BC186+IF($B$1+53&lt;=$B186,12*$B$9,-12*$B$8*(1+$B$4)^53)&gt;0,1+$B$3,1))</f>
        <v/>
      </c>
      <c r="BE186">
        <f>IF($B$1+54&gt;90,BD186,(BD186+IF($B$1+54&lt;=$B186,12*$B$9,-12*$B$8*(1+$B$4)^54))*IF(BD186+IF($B$1+54&lt;=$B186,12*$B$9,-12*$B$8*(1+$B$4)^54)&gt;0,1+$B$3,1))</f>
        <v/>
      </c>
      <c r="BF186">
        <f>IF($B$1+55&gt;90,BE186,(BE186+IF($B$1+55&lt;=$B186,12*$B$9,-12*$B$8*(1+$B$4)^55))*IF(BE186+IF($B$1+55&lt;=$B186,12*$B$9,-12*$B$8*(1+$B$4)^55)&gt;0,1+$B$3,1))</f>
        <v/>
      </c>
      <c r="BG186">
        <f>IF($B$1+56&gt;90,BF186,(BF186+IF($B$1+56&lt;=$B186,12*$B$9,-12*$B$8*(1+$B$4)^56))*IF(BF186+IF($B$1+56&lt;=$B186,12*$B$9,-12*$B$8*(1+$B$4)^56)&gt;0,1+$B$3,1))</f>
        <v/>
      </c>
      <c r="BH186">
        <f>IF($B$1+57&gt;90,BG186,(BG186+IF($B$1+57&lt;=$B186,12*$B$9,-12*$B$8*(1+$B$4)^57))*IF(BG186+IF($B$1+57&lt;=$B186,12*$B$9,-12*$B$8*(1+$B$4)^57)&gt;0,1+$B$3,1))</f>
        <v/>
      </c>
      <c r="BI186">
        <f>IF($B$1+58&gt;90,BH186,(BH186+IF($B$1+58&lt;=$B186,12*$B$9,-12*$B$8*(1+$B$4)^58))*IF(BH186+IF($B$1+58&lt;=$B186,12*$B$9,-12*$B$8*(1+$B$4)^58)&gt;0,1+$B$3,1))</f>
        <v/>
      </c>
      <c r="BJ186">
        <f>IF($B$1+59&gt;90,BI186,(BI186+IF($B$1+59&lt;=$B186,12*$B$9,-12*$B$8*(1+$B$4)^59))*IF(BI186+IF($B$1+59&lt;=$B186,12*$B$9,-12*$B$8*(1+$B$4)^59)&gt;0,1+$B$3,1))</f>
        <v/>
      </c>
      <c r="BK186">
        <f>IF($B$1+60&gt;90,BJ186,(BJ186+IF($B$1+60&lt;=$B186,12*$B$9,-12*$B$8*(1+$B$4)^60))*IF(BJ186+IF($B$1+60&lt;=$B186,12*$B$9,-12*$B$8*(1+$B$4)^60)&gt;0,1+$B$3,1))</f>
        <v/>
      </c>
      <c r="BL186">
        <f>IF($B$1+61&gt;90,BK186,(BK186+IF($B$1+61&lt;=$B186,12*$B$9,-12*$B$8*(1+$B$4)^61))*IF(BK186+IF($B$1+61&lt;=$B186,12*$B$9,-12*$B$8*(1+$B$4)^61)&gt;0,1+$B$3,1))</f>
        <v/>
      </c>
      <c r="BM186">
        <f>IF($B$1+62&gt;90,BL186,(BL186+IF($B$1+62&lt;=$B186,12*$B$9,-12*$B$8*(1+$B$4)^62))*IF(BL186+IF($B$1+62&lt;=$B186,12*$B$9,-12*$B$8*(1+$B$4)^62)&gt;0,1+$B$3,1))</f>
        <v/>
      </c>
      <c r="BN186">
        <f>IF($B$1+63&gt;90,BM186,(BM186+IF($B$1+63&lt;=$B186,12*$B$9,-12*$B$8*(1+$B$4)^63))*IF(BM186+IF($B$1+63&lt;=$B186,12*$B$9,-12*$B$8*(1+$B$4)^63)&gt;0,1+$B$3,1))</f>
        <v/>
      </c>
      <c r="BO186">
        <f>IF($B$1+64&gt;90,BN186,(BN186+IF($B$1+64&lt;=$B186,12*$B$9,-12*$B$8*(1+$B$4)^64))*IF(BN186+IF($B$1+64&lt;=$B186,12*$B$9,-12*$B$8*(1+$B$4)^64)&gt;0,1+$B$3,1))</f>
        <v/>
      </c>
      <c r="BP186">
        <f>IF($B$1+65&gt;90,BO186,(BO186+IF($B$1+65&lt;=$B186,12*$B$9,-12*$B$8*(1+$B$4)^65))*IF(BO186+IF($B$1+65&lt;=$B186,12*$B$9,-12*$B$8*(1+$B$4)^65)&gt;0,1+$B$3,1))</f>
        <v/>
      </c>
      <c r="BQ186">
        <f>IF($B$1+66&gt;90,BP186,(BP186+IF($B$1+66&lt;=$B186,12*$B$9,-12*$B$8*(1+$B$4)^66))*IF(BP186+IF($B$1+66&lt;=$B186,12*$B$9,-12*$B$8*(1+$B$4)^66)&gt;0,1+$B$3,1))</f>
        <v/>
      </c>
      <c r="BR186">
        <f>IF($B$1+67&gt;90,BQ186,(BQ186+IF($B$1+67&lt;=$B186,12*$B$9,-12*$B$8*(1+$B$4)^67))*IF(BQ186+IF($B$1+67&lt;=$B186,12*$B$9,-12*$B$8*(1+$B$4)^67)&gt;0,1+$B$3,1))</f>
        <v/>
      </c>
      <c r="BS186">
        <f>IF($B$1+68&gt;90,BR186,(BR186+IF($B$1+68&lt;=$B186,12*$B$9,-12*$B$8*(1+$B$4)^68))*IF(BR186+IF($B$1+68&lt;=$B186,12*$B$9,-12*$B$8*(1+$B$4)^68)&gt;0,1+$B$3,1))</f>
        <v/>
      </c>
      <c r="BT186">
        <f>IF($B$1+69&gt;90,BS186,(BS186+IF($B$1+69&lt;=$B186,12*$B$9,-12*$B$8*(1+$B$4)^69))*IF(BS186+IF($B$1+69&lt;=$B186,12*$B$9,-12*$B$8*(1+$B$4)^69)&gt;0,1+$B$3,1))</f>
        <v/>
      </c>
      <c r="BU186">
        <f>IF($B$1+70&gt;90,BT186,(BT186+IF($B$1+70&lt;=$B186,12*$B$9,-12*$B$8*(1+$B$4)^70))*IF(BT186+IF($B$1+70&lt;=$B186,12*$B$9,-12*$B$8*(1+$B$4)^70)&gt;0,1+$B$3,1))</f>
        <v/>
      </c>
      <c r="BV186">
        <f>BU186</f>
        <v/>
      </c>
      <c r="BW186">
        <f>IF(AND($B186&lt;=70,BV186&gt;0),$B186,999)</f>
        <v/>
      </c>
    </row>
    <row r="187">
      <c r="A187" t="n">
        <v>35</v>
      </c>
      <c r="B187">
        <f>$B$1+35</f>
        <v/>
      </c>
      <c r="C187">
        <f>$B$2</f>
        <v/>
      </c>
      <c r="D187">
        <f>IF($B$1+1&gt;90,C187,(C187+IF($B$1+1&lt;=$B187,12*$B$9,-12*$B$8*(1+$B$4)^1))*IF(C187+IF($B$1+1&lt;=$B187,12*$B$9,-12*$B$8*(1+$B$4)^1)&gt;0,1+$B$3,1))</f>
        <v/>
      </c>
      <c r="E187">
        <f>IF($B$1+2&gt;90,D187,(D187+IF($B$1+2&lt;=$B187,12*$B$9,-12*$B$8*(1+$B$4)^2))*IF(D187+IF($B$1+2&lt;=$B187,12*$B$9,-12*$B$8*(1+$B$4)^2)&gt;0,1+$B$3,1))</f>
        <v/>
      </c>
      <c r="F187">
        <f>IF($B$1+3&gt;90,E187,(E187+IF($B$1+3&lt;=$B187,12*$B$9,-12*$B$8*(1+$B$4)^3))*IF(E187+IF($B$1+3&lt;=$B187,12*$B$9,-12*$B$8*(1+$B$4)^3)&gt;0,1+$B$3,1))</f>
        <v/>
      </c>
      <c r="G187">
        <f>IF($B$1+4&gt;90,F187,(F187+IF($B$1+4&lt;=$B187,12*$B$9,-12*$B$8*(1+$B$4)^4))*IF(F187+IF($B$1+4&lt;=$B187,12*$B$9,-12*$B$8*(1+$B$4)^4)&gt;0,1+$B$3,1))</f>
        <v/>
      </c>
      <c r="H187">
        <f>IF($B$1+5&gt;90,G187,(G187+IF($B$1+5&lt;=$B187,12*$B$9,-12*$B$8*(1+$B$4)^5))*IF(G187+IF($B$1+5&lt;=$B187,12*$B$9,-12*$B$8*(1+$B$4)^5)&gt;0,1+$B$3,1))</f>
        <v/>
      </c>
      <c r="I187">
        <f>IF($B$1+6&gt;90,H187,(H187+IF($B$1+6&lt;=$B187,12*$B$9,-12*$B$8*(1+$B$4)^6))*IF(H187+IF($B$1+6&lt;=$B187,12*$B$9,-12*$B$8*(1+$B$4)^6)&gt;0,1+$B$3,1))</f>
        <v/>
      </c>
      <c r="J187">
        <f>IF($B$1+7&gt;90,I187,(I187+IF($B$1+7&lt;=$B187,12*$B$9,-12*$B$8*(1+$B$4)^7))*IF(I187+IF($B$1+7&lt;=$B187,12*$B$9,-12*$B$8*(1+$B$4)^7)&gt;0,1+$B$3,1))</f>
        <v/>
      </c>
      <c r="K187">
        <f>IF($B$1+8&gt;90,J187,(J187+IF($B$1+8&lt;=$B187,12*$B$9,-12*$B$8*(1+$B$4)^8))*IF(J187+IF($B$1+8&lt;=$B187,12*$B$9,-12*$B$8*(1+$B$4)^8)&gt;0,1+$B$3,1))</f>
        <v/>
      </c>
      <c r="L187">
        <f>IF($B$1+9&gt;90,K187,(K187+IF($B$1+9&lt;=$B187,12*$B$9,-12*$B$8*(1+$B$4)^9))*IF(K187+IF($B$1+9&lt;=$B187,12*$B$9,-12*$B$8*(1+$B$4)^9)&gt;0,1+$B$3,1))</f>
        <v/>
      </c>
      <c r="M187">
        <f>IF($B$1+10&gt;90,L187,(L187+IF($B$1+10&lt;=$B187,12*$B$9,-12*$B$8*(1+$B$4)^10))*IF(L187+IF($B$1+10&lt;=$B187,12*$B$9,-12*$B$8*(1+$B$4)^10)&gt;0,1+$B$3,1))</f>
        <v/>
      </c>
      <c r="N187">
        <f>IF($B$1+11&gt;90,M187,(M187+IF($B$1+11&lt;=$B187,12*$B$9,-12*$B$8*(1+$B$4)^11))*IF(M187+IF($B$1+11&lt;=$B187,12*$B$9,-12*$B$8*(1+$B$4)^11)&gt;0,1+$B$3,1))</f>
        <v/>
      </c>
      <c r="O187">
        <f>IF($B$1+12&gt;90,N187,(N187+IF($B$1+12&lt;=$B187,12*$B$9,-12*$B$8*(1+$B$4)^12))*IF(N187+IF($B$1+12&lt;=$B187,12*$B$9,-12*$B$8*(1+$B$4)^12)&gt;0,1+$B$3,1))</f>
        <v/>
      </c>
      <c r="P187">
        <f>IF($B$1+13&gt;90,O187,(O187+IF($B$1+13&lt;=$B187,12*$B$9,-12*$B$8*(1+$B$4)^13))*IF(O187+IF($B$1+13&lt;=$B187,12*$B$9,-12*$B$8*(1+$B$4)^13)&gt;0,1+$B$3,1))</f>
        <v/>
      </c>
      <c r="Q187">
        <f>IF($B$1+14&gt;90,P187,(P187+IF($B$1+14&lt;=$B187,12*$B$9,-12*$B$8*(1+$B$4)^14))*IF(P187+IF($B$1+14&lt;=$B187,12*$B$9,-12*$B$8*(1+$B$4)^14)&gt;0,1+$B$3,1))</f>
        <v/>
      </c>
      <c r="R187">
        <f>IF($B$1+15&gt;90,Q187,(Q187+IF($B$1+15&lt;=$B187,12*$B$9,-12*$B$8*(1+$B$4)^15))*IF(Q187+IF($B$1+15&lt;=$B187,12*$B$9,-12*$B$8*(1+$B$4)^15)&gt;0,1+$B$3,1))</f>
        <v/>
      </c>
      <c r="S187">
        <f>IF($B$1+16&gt;90,R187,(R187+IF($B$1+16&lt;=$B187,12*$B$9,-12*$B$8*(1+$B$4)^16))*IF(R187+IF($B$1+16&lt;=$B187,12*$B$9,-12*$B$8*(1+$B$4)^16)&gt;0,1+$B$3,1))</f>
        <v/>
      </c>
      <c r="T187">
        <f>IF($B$1+17&gt;90,S187,(S187+IF($B$1+17&lt;=$B187,12*$B$9,-12*$B$8*(1+$B$4)^17))*IF(S187+IF($B$1+17&lt;=$B187,12*$B$9,-12*$B$8*(1+$B$4)^17)&gt;0,1+$B$3,1))</f>
        <v/>
      </c>
      <c r="U187">
        <f>IF($B$1+18&gt;90,T187,(T187+IF($B$1+18&lt;=$B187,12*$B$9,-12*$B$8*(1+$B$4)^18))*IF(T187+IF($B$1+18&lt;=$B187,12*$B$9,-12*$B$8*(1+$B$4)^18)&gt;0,1+$B$3,1))</f>
        <v/>
      </c>
      <c r="V187">
        <f>IF($B$1+19&gt;90,U187,(U187+IF($B$1+19&lt;=$B187,12*$B$9,-12*$B$8*(1+$B$4)^19))*IF(U187+IF($B$1+19&lt;=$B187,12*$B$9,-12*$B$8*(1+$B$4)^19)&gt;0,1+$B$3,1))</f>
        <v/>
      </c>
      <c r="W187">
        <f>IF($B$1+20&gt;90,V187,(V187+IF($B$1+20&lt;=$B187,12*$B$9,-12*$B$8*(1+$B$4)^20))*IF(V187+IF($B$1+20&lt;=$B187,12*$B$9,-12*$B$8*(1+$B$4)^20)&gt;0,1+$B$3,1))</f>
        <v/>
      </c>
      <c r="X187">
        <f>IF($B$1+21&gt;90,W187,(W187+IF($B$1+21&lt;=$B187,12*$B$9,-12*$B$8*(1+$B$4)^21))*IF(W187+IF($B$1+21&lt;=$B187,12*$B$9,-12*$B$8*(1+$B$4)^21)&gt;0,1+$B$3,1))</f>
        <v/>
      </c>
      <c r="Y187">
        <f>IF($B$1+22&gt;90,X187,(X187+IF($B$1+22&lt;=$B187,12*$B$9,-12*$B$8*(1+$B$4)^22))*IF(X187+IF($B$1+22&lt;=$B187,12*$B$9,-12*$B$8*(1+$B$4)^22)&gt;0,1+$B$3,1))</f>
        <v/>
      </c>
      <c r="Z187">
        <f>IF($B$1+23&gt;90,Y187,(Y187+IF($B$1+23&lt;=$B187,12*$B$9,-12*$B$8*(1+$B$4)^23))*IF(Y187+IF($B$1+23&lt;=$B187,12*$B$9,-12*$B$8*(1+$B$4)^23)&gt;0,1+$B$3,1))</f>
        <v/>
      </c>
      <c r="AA187">
        <f>IF($B$1+24&gt;90,Z187,(Z187+IF($B$1+24&lt;=$B187,12*$B$9,-12*$B$8*(1+$B$4)^24))*IF(Z187+IF($B$1+24&lt;=$B187,12*$B$9,-12*$B$8*(1+$B$4)^24)&gt;0,1+$B$3,1))</f>
        <v/>
      </c>
      <c r="AB187">
        <f>IF($B$1+25&gt;90,AA187,(AA187+IF($B$1+25&lt;=$B187,12*$B$9,-12*$B$8*(1+$B$4)^25))*IF(AA187+IF($B$1+25&lt;=$B187,12*$B$9,-12*$B$8*(1+$B$4)^25)&gt;0,1+$B$3,1))</f>
        <v/>
      </c>
      <c r="AC187">
        <f>IF($B$1+26&gt;90,AB187,(AB187+IF($B$1+26&lt;=$B187,12*$B$9,-12*$B$8*(1+$B$4)^26))*IF(AB187+IF($B$1+26&lt;=$B187,12*$B$9,-12*$B$8*(1+$B$4)^26)&gt;0,1+$B$3,1))</f>
        <v/>
      </c>
      <c r="AD187">
        <f>IF($B$1+27&gt;90,AC187,(AC187+IF($B$1+27&lt;=$B187,12*$B$9,-12*$B$8*(1+$B$4)^27))*IF(AC187+IF($B$1+27&lt;=$B187,12*$B$9,-12*$B$8*(1+$B$4)^27)&gt;0,1+$B$3,1))</f>
        <v/>
      </c>
      <c r="AE187">
        <f>IF($B$1+28&gt;90,AD187,(AD187+IF($B$1+28&lt;=$B187,12*$B$9,-12*$B$8*(1+$B$4)^28))*IF(AD187+IF($B$1+28&lt;=$B187,12*$B$9,-12*$B$8*(1+$B$4)^28)&gt;0,1+$B$3,1))</f>
        <v/>
      </c>
      <c r="AF187">
        <f>IF($B$1+29&gt;90,AE187,(AE187+IF($B$1+29&lt;=$B187,12*$B$9,-12*$B$8*(1+$B$4)^29))*IF(AE187+IF($B$1+29&lt;=$B187,12*$B$9,-12*$B$8*(1+$B$4)^29)&gt;0,1+$B$3,1))</f>
        <v/>
      </c>
      <c r="AG187">
        <f>IF($B$1+30&gt;90,AF187,(AF187+IF($B$1+30&lt;=$B187,12*$B$9,-12*$B$8*(1+$B$4)^30))*IF(AF187+IF($B$1+30&lt;=$B187,12*$B$9,-12*$B$8*(1+$B$4)^30)&gt;0,1+$B$3,1))</f>
        <v/>
      </c>
      <c r="AH187">
        <f>IF($B$1+31&gt;90,AG187,(AG187+IF($B$1+31&lt;=$B187,12*$B$9,-12*$B$8*(1+$B$4)^31))*IF(AG187+IF($B$1+31&lt;=$B187,12*$B$9,-12*$B$8*(1+$B$4)^31)&gt;0,1+$B$3,1))</f>
        <v/>
      </c>
      <c r="AI187">
        <f>IF($B$1+32&gt;90,AH187,(AH187+IF($B$1+32&lt;=$B187,12*$B$9,-12*$B$8*(1+$B$4)^32))*IF(AH187+IF($B$1+32&lt;=$B187,12*$B$9,-12*$B$8*(1+$B$4)^32)&gt;0,1+$B$3,1))</f>
        <v/>
      </c>
      <c r="AJ187">
        <f>IF($B$1+33&gt;90,AI187,(AI187+IF($B$1+33&lt;=$B187,12*$B$9,-12*$B$8*(1+$B$4)^33))*IF(AI187+IF($B$1+33&lt;=$B187,12*$B$9,-12*$B$8*(1+$B$4)^33)&gt;0,1+$B$3,1))</f>
        <v/>
      </c>
      <c r="AK187">
        <f>IF($B$1+34&gt;90,AJ187,(AJ187+IF($B$1+34&lt;=$B187,12*$B$9,-12*$B$8*(1+$B$4)^34))*IF(AJ187+IF($B$1+34&lt;=$B187,12*$B$9,-12*$B$8*(1+$B$4)^34)&gt;0,1+$B$3,1))</f>
        <v/>
      </c>
      <c r="AL187">
        <f>IF($B$1+35&gt;90,AK187,(AK187+IF($B$1+35&lt;=$B187,12*$B$9,-12*$B$8*(1+$B$4)^35))*IF(AK187+IF($B$1+35&lt;=$B187,12*$B$9,-12*$B$8*(1+$B$4)^35)&gt;0,1+$B$3,1))</f>
        <v/>
      </c>
      <c r="AM187">
        <f>IF($B$1+36&gt;90,AL187,(AL187+IF($B$1+36&lt;=$B187,12*$B$9,-12*$B$8*(1+$B$4)^36))*IF(AL187+IF($B$1+36&lt;=$B187,12*$B$9,-12*$B$8*(1+$B$4)^36)&gt;0,1+$B$3,1))</f>
        <v/>
      </c>
      <c r="AN187">
        <f>IF($B$1+37&gt;90,AM187,(AM187+IF($B$1+37&lt;=$B187,12*$B$9,-12*$B$8*(1+$B$4)^37))*IF(AM187+IF($B$1+37&lt;=$B187,12*$B$9,-12*$B$8*(1+$B$4)^37)&gt;0,1+$B$3,1))</f>
        <v/>
      </c>
      <c r="AO187">
        <f>IF($B$1+38&gt;90,AN187,(AN187+IF($B$1+38&lt;=$B187,12*$B$9,-12*$B$8*(1+$B$4)^38))*IF(AN187+IF($B$1+38&lt;=$B187,12*$B$9,-12*$B$8*(1+$B$4)^38)&gt;0,1+$B$3,1))</f>
        <v/>
      </c>
      <c r="AP187">
        <f>IF($B$1+39&gt;90,AO187,(AO187+IF($B$1+39&lt;=$B187,12*$B$9,-12*$B$8*(1+$B$4)^39))*IF(AO187+IF($B$1+39&lt;=$B187,12*$B$9,-12*$B$8*(1+$B$4)^39)&gt;0,1+$B$3,1))</f>
        <v/>
      </c>
      <c r="AQ187">
        <f>IF($B$1+40&gt;90,AP187,(AP187+IF($B$1+40&lt;=$B187,12*$B$9,-12*$B$8*(1+$B$4)^40))*IF(AP187+IF($B$1+40&lt;=$B187,12*$B$9,-12*$B$8*(1+$B$4)^40)&gt;0,1+$B$3,1))</f>
        <v/>
      </c>
      <c r="AR187">
        <f>IF($B$1+41&gt;90,AQ187,(AQ187+IF($B$1+41&lt;=$B187,12*$B$9,-12*$B$8*(1+$B$4)^41))*IF(AQ187+IF($B$1+41&lt;=$B187,12*$B$9,-12*$B$8*(1+$B$4)^41)&gt;0,1+$B$3,1))</f>
        <v/>
      </c>
      <c r="AS187">
        <f>IF($B$1+42&gt;90,AR187,(AR187+IF($B$1+42&lt;=$B187,12*$B$9,-12*$B$8*(1+$B$4)^42))*IF(AR187+IF($B$1+42&lt;=$B187,12*$B$9,-12*$B$8*(1+$B$4)^42)&gt;0,1+$B$3,1))</f>
        <v/>
      </c>
      <c r="AT187">
        <f>IF($B$1+43&gt;90,AS187,(AS187+IF($B$1+43&lt;=$B187,12*$B$9,-12*$B$8*(1+$B$4)^43))*IF(AS187+IF($B$1+43&lt;=$B187,12*$B$9,-12*$B$8*(1+$B$4)^43)&gt;0,1+$B$3,1))</f>
        <v/>
      </c>
      <c r="AU187">
        <f>IF($B$1+44&gt;90,AT187,(AT187+IF($B$1+44&lt;=$B187,12*$B$9,-12*$B$8*(1+$B$4)^44))*IF(AT187+IF($B$1+44&lt;=$B187,12*$B$9,-12*$B$8*(1+$B$4)^44)&gt;0,1+$B$3,1))</f>
        <v/>
      </c>
      <c r="AV187">
        <f>IF($B$1+45&gt;90,AU187,(AU187+IF($B$1+45&lt;=$B187,12*$B$9,-12*$B$8*(1+$B$4)^45))*IF(AU187+IF($B$1+45&lt;=$B187,12*$B$9,-12*$B$8*(1+$B$4)^45)&gt;0,1+$B$3,1))</f>
        <v/>
      </c>
      <c r="AW187">
        <f>IF($B$1+46&gt;90,AV187,(AV187+IF($B$1+46&lt;=$B187,12*$B$9,-12*$B$8*(1+$B$4)^46))*IF(AV187+IF($B$1+46&lt;=$B187,12*$B$9,-12*$B$8*(1+$B$4)^46)&gt;0,1+$B$3,1))</f>
        <v/>
      </c>
      <c r="AX187">
        <f>IF($B$1+47&gt;90,AW187,(AW187+IF($B$1+47&lt;=$B187,12*$B$9,-12*$B$8*(1+$B$4)^47))*IF(AW187+IF($B$1+47&lt;=$B187,12*$B$9,-12*$B$8*(1+$B$4)^47)&gt;0,1+$B$3,1))</f>
        <v/>
      </c>
      <c r="AY187">
        <f>IF($B$1+48&gt;90,AX187,(AX187+IF($B$1+48&lt;=$B187,12*$B$9,-12*$B$8*(1+$B$4)^48))*IF(AX187+IF($B$1+48&lt;=$B187,12*$B$9,-12*$B$8*(1+$B$4)^48)&gt;0,1+$B$3,1))</f>
        <v/>
      </c>
      <c r="AZ187">
        <f>IF($B$1+49&gt;90,AY187,(AY187+IF($B$1+49&lt;=$B187,12*$B$9,-12*$B$8*(1+$B$4)^49))*IF(AY187+IF($B$1+49&lt;=$B187,12*$B$9,-12*$B$8*(1+$B$4)^49)&gt;0,1+$B$3,1))</f>
        <v/>
      </c>
      <c r="BA187">
        <f>IF($B$1+50&gt;90,AZ187,(AZ187+IF($B$1+50&lt;=$B187,12*$B$9,-12*$B$8*(1+$B$4)^50))*IF(AZ187+IF($B$1+50&lt;=$B187,12*$B$9,-12*$B$8*(1+$B$4)^50)&gt;0,1+$B$3,1))</f>
        <v/>
      </c>
      <c r="BB187">
        <f>IF($B$1+51&gt;90,BA187,(BA187+IF($B$1+51&lt;=$B187,12*$B$9,-12*$B$8*(1+$B$4)^51))*IF(BA187+IF($B$1+51&lt;=$B187,12*$B$9,-12*$B$8*(1+$B$4)^51)&gt;0,1+$B$3,1))</f>
        <v/>
      </c>
      <c r="BC187">
        <f>IF($B$1+52&gt;90,BB187,(BB187+IF($B$1+52&lt;=$B187,12*$B$9,-12*$B$8*(1+$B$4)^52))*IF(BB187+IF($B$1+52&lt;=$B187,12*$B$9,-12*$B$8*(1+$B$4)^52)&gt;0,1+$B$3,1))</f>
        <v/>
      </c>
      <c r="BD187">
        <f>IF($B$1+53&gt;90,BC187,(BC187+IF($B$1+53&lt;=$B187,12*$B$9,-12*$B$8*(1+$B$4)^53))*IF(BC187+IF($B$1+53&lt;=$B187,12*$B$9,-12*$B$8*(1+$B$4)^53)&gt;0,1+$B$3,1))</f>
        <v/>
      </c>
      <c r="BE187">
        <f>IF($B$1+54&gt;90,BD187,(BD187+IF($B$1+54&lt;=$B187,12*$B$9,-12*$B$8*(1+$B$4)^54))*IF(BD187+IF($B$1+54&lt;=$B187,12*$B$9,-12*$B$8*(1+$B$4)^54)&gt;0,1+$B$3,1))</f>
        <v/>
      </c>
      <c r="BF187">
        <f>IF($B$1+55&gt;90,BE187,(BE187+IF($B$1+55&lt;=$B187,12*$B$9,-12*$B$8*(1+$B$4)^55))*IF(BE187+IF($B$1+55&lt;=$B187,12*$B$9,-12*$B$8*(1+$B$4)^55)&gt;0,1+$B$3,1))</f>
        <v/>
      </c>
      <c r="BG187">
        <f>IF($B$1+56&gt;90,BF187,(BF187+IF($B$1+56&lt;=$B187,12*$B$9,-12*$B$8*(1+$B$4)^56))*IF(BF187+IF($B$1+56&lt;=$B187,12*$B$9,-12*$B$8*(1+$B$4)^56)&gt;0,1+$B$3,1))</f>
        <v/>
      </c>
      <c r="BH187">
        <f>IF($B$1+57&gt;90,BG187,(BG187+IF($B$1+57&lt;=$B187,12*$B$9,-12*$B$8*(1+$B$4)^57))*IF(BG187+IF($B$1+57&lt;=$B187,12*$B$9,-12*$B$8*(1+$B$4)^57)&gt;0,1+$B$3,1))</f>
        <v/>
      </c>
      <c r="BI187">
        <f>IF($B$1+58&gt;90,BH187,(BH187+IF($B$1+58&lt;=$B187,12*$B$9,-12*$B$8*(1+$B$4)^58))*IF(BH187+IF($B$1+58&lt;=$B187,12*$B$9,-12*$B$8*(1+$B$4)^58)&gt;0,1+$B$3,1))</f>
        <v/>
      </c>
      <c r="BJ187">
        <f>IF($B$1+59&gt;90,BI187,(BI187+IF($B$1+59&lt;=$B187,12*$B$9,-12*$B$8*(1+$B$4)^59))*IF(BI187+IF($B$1+59&lt;=$B187,12*$B$9,-12*$B$8*(1+$B$4)^59)&gt;0,1+$B$3,1))</f>
        <v/>
      </c>
      <c r="BK187">
        <f>IF($B$1+60&gt;90,BJ187,(BJ187+IF($B$1+60&lt;=$B187,12*$B$9,-12*$B$8*(1+$B$4)^60))*IF(BJ187+IF($B$1+60&lt;=$B187,12*$B$9,-12*$B$8*(1+$B$4)^60)&gt;0,1+$B$3,1))</f>
        <v/>
      </c>
      <c r="BL187">
        <f>IF($B$1+61&gt;90,BK187,(BK187+IF($B$1+61&lt;=$B187,12*$B$9,-12*$B$8*(1+$B$4)^61))*IF(BK187+IF($B$1+61&lt;=$B187,12*$B$9,-12*$B$8*(1+$B$4)^61)&gt;0,1+$B$3,1))</f>
        <v/>
      </c>
      <c r="BM187">
        <f>IF($B$1+62&gt;90,BL187,(BL187+IF($B$1+62&lt;=$B187,12*$B$9,-12*$B$8*(1+$B$4)^62))*IF(BL187+IF($B$1+62&lt;=$B187,12*$B$9,-12*$B$8*(1+$B$4)^62)&gt;0,1+$B$3,1))</f>
        <v/>
      </c>
      <c r="BN187">
        <f>IF($B$1+63&gt;90,BM187,(BM187+IF($B$1+63&lt;=$B187,12*$B$9,-12*$B$8*(1+$B$4)^63))*IF(BM187+IF($B$1+63&lt;=$B187,12*$B$9,-12*$B$8*(1+$B$4)^63)&gt;0,1+$B$3,1))</f>
        <v/>
      </c>
      <c r="BO187">
        <f>IF($B$1+64&gt;90,BN187,(BN187+IF($B$1+64&lt;=$B187,12*$B$9,-12*$B$8*(1+$B$4)^64))*IF(BN187+IF($B$1+64&lt;=$B187,12*$B$9,-12*$B$8*(1+$B$4)^64)&gt;0,1+$B$3,1))</f>
        <v/>
      </c>
      <c r="BP187">
        <f>IF($B$1+65&gt;90,BO187,(BO187+IF($B$1+65&lt;=$B187,12*$B$9,-12*$B$8*(1+$B$4)^65))*IF(BO187+IF($B$1+65&lt;=$B187,12*$B$9,-12*$B$8*(1+$B$4)^65)&gt;0,1+$B$3,1))</f>
        <v/>
      </c>
      <c r="BQ187">
        <f>IF($B$1+66&gt;90,BP187,(BP187+IF($B$1+66&lt;=$B187,12*$B$9,-12*$B$8*(1+$B$4)^66))*IF(BP187+IF($B$1+66&lt;=$B187,12*$B$9,-12*$B$8*(1+$B$4)^66)&gt;0,1+$B$3,1))</f>
        <v/>
      </c>
      <c r="BR187">
        <f>IF($B$1+67&gt;90,BQ187,(BQ187+IF($B$1+67&lt;=$B187,12*$B$9,-12*$B$8*(1+$B$4)^67))*IF(BQ187+IF($B$1+67&lt;=$B187,12*$B$9,-12*$B$8*(1+$B$4)^67)&gt;0,1+$B$3,1))</f>
        <v/>
      </c>
      <c r="BS187">
        <f>IF($B$1+68&gt;90,BR187,(BR187+IF($B$1+68&lt;=$B187,12*$B$9,-12*$B$8*(1+$B$4)^68))*IF(BR187+IF($B$1+68&lt;=$B187,12*$B$9,-12*$B$8*(1+$B$4)^68)&gt;0,1+$B$3,1))</f>
        <v/>
      </c>
      <c r="BT187">
        <f>IF($B$1+69&gt;90,BS187,(BS187+IF($B$1+69&lt;=$B187,12*$B$9,-12*$B$8*(1+$B$4)^69))*IF(BS187+IF($B$1+69&lt;=$B187,12*$B$9,-12*$B$8*(1+$B$4)^69)&gt;0,1+$B$3,1))</f>
        <v/>
      </c>
      <c r="BU187">
        <f>IF($B$1+70&gt;90,BT187,(BT187+IF($B$1+70&lt;=$B187,12*$B$9,-12*$B$8*(1+$B$4)^70))*IF(BT187+IF($B$1+70&lt;=$B187,12*$B$9,-12*$B$8*(1+$B$4)^70)&gt;0,1+$B$3,1))</f>
        <v/>
      </c>
      <c r="BV187">
        <f>BU187</f>
        <v/>
      </c>
      <c r="BW187">
        <f>IF(AND($B187&lt;=70,BV187&gt;0),$B187,999)</f>
        <v/>
      </c>
    </row>
    <row r="188">
      <c r="A188" t="n">
        <v>36</v>
      </c>
      <c r="B188">
        <f>$B$1+36</f>
        <v/>
      </c>
      <c r="C188">
        <f>$B$2</f>
        <v/>
      </c>
      <c r="D188">
        <f>IF($B$1+1&gt;90,C188,(C188+IF($B$1+1&lt;=$B188,12*$B$9,-12*$B$8*(1+$B$4)^1))*IF(C188+IF($B$1+1&lt;=$B188,12*$B$9,-12*$B$8*(1+$B$4)^1)&gt;0,1+$B$3,1))</f>
        <v/>
      </c>
      <c r="E188">
        <f>IF($B$1+2&gt;90,D188,(D188+IF($B$1+2&lt;=$B188,12*$B$9,-12*$B$8*(1+$B$4)^2))*IF(D188+IF($B$1+2&lt;=$B188,12*$B$9,-12*$B$8*(1+$B$4)^2)&gt;0,1+$B$3,1))</f>
        <v/>
      </c>
      <c r="F188">
        <f>IF($B$1+3&gt;90,E188,(E188+IF($B$1+3&lt;=$B188,12*$B$9,-12*$B$8*(1+$B$4)^3))*IF(E188+IF($B$1+3&lt;=$B188,12*$B$9,-12*$B$8*(1+$B$4)^3)&gt;0,1+$B$3,1))</f>
        <v/>
      </c>
      <c r="G188">
        <f>IF($B$1+4&gt;90,F188,(F188+IF($B$1+4&lt;=$B188,12*$B$9,-12*$B$8*(1+$B$4)^4))*IF(F188+IF($B$1+4&lt;=$B188,12*$B$9,-12*$B$8*(1+$B$4)^4)&gt;0,1+$B$3,1))</f>
        <v/>
      </c>
      <c r="H188">
        <f>IF($B$1+5&gt;90,G188,(G188+IF($B$1+5&lt;=$B188,12*$B$9,-12*$B$8*(1+$B$4)^5))*IF(G188+IF($B$1+5&lt;=$B188,12*$B$9,-12*$B$8*(1+$B$4)^5)&gt;0,1+$B$3,1))</f>
        <v/>
      </c>
      <c r="I188">
        <f>IF($B$1+6&gt;90,H188,(H188+IF($B$1+6&lt;=$B188,12*$B$9,-12*$B$8*(1+$B$4)^6))*IF(H188+IF($B$1+6&lt;=$B188,12*$B$9,-12*$B$8*(1+$B$4)^6)&gt;0,1+$B$3,1))</f>
        <v/>
      </c>
      <c r="J188">
        <f>IF($B$1+7&gt;90,I188,(I188+IF($B$1+7&lt;=$B188,12*$B$9,-12*$B$8*(1+$B$4)^7))*IF(I188+IF($B$1+7&lt;=$B188,12*$B$9,-12*$B$8*(1+$B$4)^7)&gt;0,1+$B$3,1))</f>
        <v/>
      </c>
      <c r="K188">
        <f>IF($B$1+8&gt;90,J188,(J188+IF($B$1+8&lt;=$B188,12*$B$9,-12*$B$8*(1+$B$4)^8))*IF(J188+IF($B$1+8&lt;=$B188,12*$B$9,-12*$B$8*(1+$B$4)^8)&gt;0,1+$B$3,1))</f>
        <v/>
      </c>
      <c r="L188">
        <f>IF($B$1+9&gt;90,K188,(K188+IF($B$1+9&lt;=$B188,12*$B$9,-12*$B$8*(1+$B$4)^9))*IF(K188+IF($B$1+9&lt;=$B188,12*$B$9,-12*$B$8*(1+$B$4)^9)&gt;0,1+$B$3,1))</f>
        <v/>
      </c>
      <c r="M188">
        <f>IF($B$1+10&gt;90,L188,(L188+IF($B$1+10&lt;=$B188,12*$B$9,-12*$B$8*(1+$B$4)^10))*IF(L188+IF($B$1+10&lt;=$B188,12*$B$9,-12*$B$8*(1+$B$4)^10)&gt;0,1+$B$3,1))</f>
        <v/>
      </c>
      <c r="N188">
        <f>IF($B$1+11&gt;90,M188,(M188+IF($B$1+11&lt;=$B188,12*$B$9,-12*$B$8*(1+$B$4)^11))*IF(M188+IF($B$1+11&lt;=$B188,12*$B$9,-12*$B$8*(1+$B$4)^11)&gt;0,1+$B$3,1))</f>
        <v/>
      </c>
      <c r="O188">
        <f>IF($B$1+12&gt;90,N188,(N188+IF($B$1+12&lt;=$B188,12*$B$9,-12*$B$8*(1+$B$4)^12))*IF(N188+IF($B$1+12&lt;=$B188,12*$B$9,-12*$B$8*(1+$B$4)^12)&gt;0,1+$B$3,1))</f>
        <v/>
      </c>
      <c r="P188">
        <f>IF($B$1+13&gt;90,O188,(O188+IF($B$1+13&lt;=$B188,12*$B$9,-12*$B$8*(1+$B$4)^13))*IF(O188+IF($B$1+13&lt;=$B188,12*$B$9,-12*$B$8*(1+$B$4)^13)&gt;0,1+$B$3,1))</f>
        <v/>
      </c>
      <c r="Q188">
        <f>IF($B$1+14&gt;90,P188,(P188+IF($B$1+14&lt;=$B188,12*$B$9,-12*$B$8*(1+$B$4)^14))*IF(P188+IF($B$1+14&lt;=$B188,12*$B$9,-12*$B$8*(1+$B$4)^14)&gt;0,1+$B$3,1))</f>
        <v/>
      </c>
      <c r="R188">
        <f>IF($B$1+15&gt;90,Q188,(Q188+IF($B$1+15&lt;=$B188,12*$B$9,-12*$B$8*(1+$B$4)^15))*IF(Q188+IF($B$1+15&lt;=$B188,12*$B$9,-12*$B$8*(1+$B$4)^15)&gt;0,1+$B$3,1))</f>
        <v/>
      </c>
      <c r="S188">
        <f>IF($B$1+16&gt;90,R188,(R188+IF($B$1+16&lt;=$B188,12*$B$9,-12*$B$8*(1+$B$4)^16))*IF(R188+IF($B$1+16&lt;=$B188,12*$B$9,-12*$B$8*(1+$B$4)^16)&gt;0,1+$B$3,1))</f>
        <v/>
      </c>
      <c r="T188">
        <f>IF($B$1+17&gt;90,S188,(S188+IF($B$1+17&lt;=$B188,12*$B$9,-12*$B$8*(1+$B$4)^17))*IF(S188+IF($B$1+17&lt;=$B188,12*$B$9,-12*$B$8*(1+$B$4)^17)&gt;0,1+$B$3,1))</f>
        <v/>
      </c>
      <c r="U188">
        <f>IF($B$1+18&gt;90,T188,(T188+IF($B$1+18&lt;=$B188,12*$B$9,-12*$B$8*(1+$B$4)^18))*IF(T188+IF($B$1+18&lt;=$B188,12*$B$9,-12*$B$8*(1+$B$4)^18)&gt;0,1+$B$3,1))</f>
        <v/>
      </c>
      <c r="V188">
        <f>IF($B$1+19&gt;90,U188,(U188+IF($B$1+19&lt;=$B188,12*$B$9,-12*$B$8*(1+$B$4)^19))*IF(U188+IF($B$1+19&lt;=$B188,12*$B$9,-12*$B$8*(1+$B$4)^19)&gt;0,1+$B$3,1))</f>
        <v/>
      </c>
      <c r="W188">
        <f>IF($B$1+20&gt;90,V188,(V188+IF($B$1+20&lt;=$B188,12*$B$9,-12*$B$8*(1+$B$4)^20))*IF(V188+IF($B$1+20&lt;=$B188,12*$B$9,-12*$B$8*(1+$B$4)^20)&gt;0,1+$B$3,1))</f>
        <v/>
      </c>
      <c r="X188">
        <f>IF($B$1+21&gt;90,W188,(W188+IF($B$1+21&lt;=$B188,12*$B$9,-12*$B$8*(1+$B$4)^21))*IF(W188+IF($B$1+21&lt;=$B188,12*$B$9,-12*$B$8*(1+$B$4)^21)&gt;0,1+$B$3,1))</f>
        <v/>
      </c>
      <c r="Y188">
        <f>IF($B$1+22&gt;90,X188,(X188+IF($B$1+22&lt;=$B188,12*$B$9,-12*$B$8*(1+$B$4)^22))*IF(X188+IF($B$1+22&lt;=$B188,12*$B$9,-12*$B$8*(1+$B$4)^22)&gt;0,1+$B$3,1))</f>
        <v/>
      </c>
      <c r="Z188">
        <f>IF($B$1+23&gt;90,Y188,(Y188+IF($B$1+23&lt;=$B188,12*$B$9,-12*$B$8*(1+$B$4)^23))*IF(Y188+IF($B$1+23&lt;=$B188,12*$B$9,-12*$B$8*(1+$B$4)^23)&gt;0,1+$B$3,1))</f>
        <v/>
      </c>
      <c r="AA188">
        <f>IF($B$1+24&gt;90,Z188,(Z188+IF($B$1+24&lt;=$B188,12*$B$9,-12*$B$8*(1+$B$4)^24))*IF(Z188+IF($B$1+24&lt;=$B188,12*$B$9,-12*$B$8*(1+$B$4)^24)&gt;0,1+$B$3,1))</f>
        <v/>
      </c>
      <c r="AB188">
        <f>IF($B$1+25&gt;90,AA188,(AA188+IF($B$1+25&lt;=$B188,12*$B$9,-12*$B$8*(1+$B$4)^25))*IF(AA188+IF($B$1+25&lt;=$B188,12*$B$9,-12*$B$8*(1+$B$4)^25)&gt;0,1+$B$3,1))</f>
        <v/>
      </c>
      <c r="AC188">
        <f>IF($B$1+26&gt;90,AB188,(AB188+IF($B$1+26&lt;=$B188,12*$B$9,-12*$B$8*(1+$B$4)^26))*IF(AB188+IF($B$1+26&lt;=$B188,12*$B$9,-12*$B$8*(1+$B$4)^26)&gt;0,1+$B$3,1))</f>
        <v/>
      </c>
      <c r="AD188">
        <f>IF($B$1+27&gt;90,AC188,(AC188+IF($B$1+27&lt;=$B188,12*$B$9,-12*$B$8*(1+$B$4)^27))*IF(AC188+IF($B$1+27&lt;=$B188,12*$B$9,-12*$B$8*(1+$B$4)^27)&gt;0,1+$B$3,1))</f>
        <v/>
      </c>
      <c r="AE188">
        <f>IF($B$1+28&gt;90,AD188,(AD188+IF($B$1+28&lt;=$B188,12*$B$9,-12*$B$8*(1+$B$4)^28))*IF(AD188+IF($B$1+28&lt;=$B188,12*$B$9,-12*$B$8*(1+$B$4)^28)&gt;0,1+$B$3,1))</f>
        <v/>
      </c>
      <c r="AF188">
        <f>IF($B$1+29&gt;90,AE188,(AE188+IF($B$1+29&lt;=$B188,12*$B$9,-12*$B$8*(1+$B$4)^29))*IF(AE188+IF($B$1+29&lt;=$B188,12*$B$9,-12*$B$8*(1+$B$4)^29)&gt;0,1+$B$3,1))</f>
        <v/>
      </c>
      <c r="AG188">
        <f>IF($B$1+30&gt;90,AF188,(AF188+IF($B$1+30&lt;=$B188,12*$B$9,-12*$B$8*(1+$B$4)^30))*IF(AF188+IF($B$1+30&lt;=$B188,12*$B$9,-12*$B$8*(1+$B$4)^30)&gt;0,1+$B$3,1))</f>
        <v/>
      </c>
      <c r="AH188">
        <f>IF($B$1+31&gt;90,AG188,(AG188+IF($B$1+31&lt;=$B188,12*$B$9,-12*$B$8*(1+$B$4)^31))*IF(AG188+IF($B$1+31&lt;=$B188,12*$B$9,-12*$B$8*(1+$B$4)^31)&gt;0,1+$B$3,1))</f>
        <v/>
      </c>
      <c r="AI188">
        <f>IF($B$1+32&gt;90,AH188,(AH188+IF($B$1+32&lt;=$B188,12*$B$9,-12*$B$8*(1+$B$4)^32))*IF(AH188+IF($B$1+32&lt;=$B188,12*$B$9,-12*$B$8*(1+$B$4)^32)&gt;0,1+$B$3,1))</f>
        <v/>
      </c>
      <c r="AJ188">
        <f>IF($B$1+33&gt;90,AI188,(AI188+IF($B$1+33&lt;=$B188,12*$B$9,-12*$B$8*(1+$B$4)^33))*IF(AI188+IF($B$1+33&lt;=$B188,12*$B$9,-12*$B$8*(1+$B$4)^33)&gt;0,1+$B$3,1))</f>
        <v/>
      </c>
      <c r="AK188">
        <f>IF($B$1+34&gt;90,AJ188,(AJ188+IF($B$1+34&lt;=$B188,12*$B$9,-12*$B$8*(1+$B$4)^34))*IF(AJ188+IF($B$1+34&lt;=$B188,12*$B$9,-12*$B$8*(1+$B$4)^34)&gt;0,1+$B$3,1))</f>
        <v/>
      </c>
      <c r="AL188">
        <f>IF($B$1+35&gt;90,AK188,(AK188+IF($B$1+35&lt;=$B188,12*$B$9,-12*$B$8*(1+$B$4)^35))*IF(AK188+IF($B$1+35&lt;=$B188,12*$B$9,-12*$B$8*(1+$B$4)^35)&gt;0,1+$B$3,1))</f>
        <v/>
      </c>
      <c r="AM188">
        <f>IF($B$1+36&gt;90,AL188,(AL188+IF($B$1+36&lt;=$B188,12*$B$9,-12*$B$8*(1+$B$4)^36))*IF(AL188+IF($B$1+36&lt;=$B188,12*$B$9,-12*$B$8*(1+$B$4)^36)&gt;0,1+$B$3,1))</f>
        <v/>
      </c>
      <c r="AN188">
        <f>IF($B$1+37&gt;90,AM188,(AM188+IF($B$1+37&lt;=$B188,12*$B$9,-12*$B$8*(1+$B$4)^37))*IF(AM188+IF($B$1+37&lt;=$B188,12*$B$9,-12*$B$8*(1+$B$4)^37)&gt;0,1+$B$3,1))</f>
        <v/>
      </c>
      <c r="AO188">
        <f>IF($B$1+38&gt;90,AN188,(AN188+IF($B$1+38&lt;=$B188,12*$B$9,-12*$B$8*(1+$B$4)^38))*IF(AN188+IF($B$1+38&lt;=$B188,12*$B$9,-12*$B$8*(1+$B$4)^38)&gt;0,1+$B$3,1))</f>
        <v/>
      </c>
      <c r="AP188">
        <f>IF($B$1+39&gt;90,AO188,(AO188+IF($B$1+39&lt;=$B188,12*$B$9,-12*$B$8*(1+$B$4)^39))*IF(AO188+IF($B$1+39&lt;=$B188,12*$B$9,-12*$B$8*(1+$B$4)^39)&gt;0,1+$B$3,1))</f>
        <v/>
      </c>
      <c r="AQ188">
        <f>IF($B$1+40&gt;90,AP188,(AP188+IF($B$1+40&lt;=$B188,12*$B$9,-12*$B$8*(1+$B$4)^40))*IF(AP188+IF($B$1+40&lt;=$B188,12*$B$9,-12*$B$8*(1+$B$4)^40)&gt;0,1+$B$3,1))</f>
        <v/>
      </c>
      <c r="AR188">
        <f>IF($B$1+41&gt;90,AQ188,(AQ188+IF($B$1+41&lt;=$B188,12*$B$9,-12*$B$8*(1+$B$4)^41))*IF(AQ188+IF($B$1+41&lt;=$B188,12*$B$9,-12*$B$8*(1+$B$4)^41)&gt;0,1+$B$3,1))</f>
        <v/>
      </c>
      <c r="AS188">
        <f>IF($B$1+42&gt;90,AR188,(AR188+IF($B$1+42&lt;=$B188,12*$B$9,-12*$B$8*(1+$B$4)^42))*IF(AR188+IF($B$1+42&lt;=$B188,12*$B$9,-12*$B$8*(1+$B$4)^42)&gt;0,1+$B$3,1))</f>
        <v/>
      </c>
      <c r="AT188">
        <f>IF($B$1+43&gt;90,AS188,(AS188+IF($B$1+43&lt;=$B188,12*$B$9,-12*$B$8*(1+$B$4)^43))*IF(AS188+IF($B$1+43&lt;=$B188,12*$B$9,-12*$B$8*(1+$B$4)^43)&gt;0,1+$B$3,1))</f>
        <v/>
      </c>
      <c r="AU188">
        <f>IF($B$1+44&gt;90,AT188,(AT188+IF($B$1+44&lt;=$B188,12*$B$9,-12*$B$8*(1+$B$4)^44))*IF(AT188+IF($B$1+44&lt;=$B188,12*$B$9,-12*$B$8*(1+$B$4)^44)&gt;0,1+$B$3,1))</f>
        <v/>
      </c>
      <c r="AV188">
        <f>IF($B$1+45&gt;90,AU188,(AU188+IF($B$1+45&lt;=$B188,12*$B$9,-12*$B$8*(1+$B$4)^45))*IF(AU188+IF($B$1+45&lt;=$B188,12*$B$9,-12*$B$8*(1+$B$4)^45)&gt;0,1+$B$3,1))</f>
        <v/>
      </c>
      <c r="AW188">
        <f>IF($B$1+46&gt;90,AV188,(AV188+IF($B$1+46&lt;=$B188,12*$B$9,-12*$B$8*(1+$B$4)^46))*IF(AV188+IF($B$1+46&lt;=$B188,12*$B$9,-12*$B$8*(1+$B$4)^46)&gt;0,1+$B$3,1))</f>
        <v/>
      </c>
      <c r="AX188">
        <f>IF($B$1+47&gt;90,AW188,(AW188+IF($B$1+47&lt;=$B188,12*$B$9,-12*$B$8*(1+$B$4)^47))*IF(AW188+IF($B$1+47&lt;=$B188,12*$B$9,-12*$B$8*(1+$B$4)^47)&gt;0,1+$B$3,1))</f>
        <v/>
      </c>
      <c r="AY188">
        <f>IF($B$1+48&gt;90,AX188,(AX188+IF($B$1+48&lt;=$B188,12*$B$9,-12*$B$8*(1+$B$4)^48))*IF(AX188+IF($B$1+48&lt;=$B188,12*$B$9,-12*$B$8*(1+$B$4)^48)&gt;0,1+$B$3,1))</f>
        <v/>
      </c>
      <c r="AZ188">
        <f>IF($B$1+49&gt;90,AY188,(AY188+IF($B$1+49&lt;=$B188,12*$B$9,-12*$B$8*(1+$B$4)^49))*IF(AY188+IF($B$1+49&lt;=$B188,12*$B$9,-12*$B$8*(1+$B$4)^49)&gt;0,1+$B$3,1))</f>
        <v/>
      </c>
      <c r="BA188">
        <f>IF($B$1+50&gt;90,AZ188,(AZ188+IF($B$1+50&lt;=$B188,12*$B$9,-12*$B$8*(1+$B$4)^50))*IF(AZ188+IF($B$1+50&lt;=$B188,12*$B$9,-12*$B$8*(1+$B$4)^50)&gt;0,1+$B$3,1))</f>
        <v/>
      </c>
      <c r="BB188">
        <f>IF($B$1+51&gt;90,BA188,(BA188+IF($B$1+51&lt;=$B188,12*$B$9,-12*$B$8*(1+$B$4)^51))*IF(BA188+IF($B$1+51&lt;=$B188,12*$B$9,-12*$B$8*(1+$B$4)^51)&gt;0,1+$B$3,1))</f>
        <v/>
      </c>
      <c r="BC188">
        <f>IF($B$1+52&gt;90,BB188,(BB188+IF($B$1+52&lt;=$B188,12*$B$9,-12*$B$8*(1+$B$4)^52))*IF(BB188+IF($B$1+52&lt;=$B188,12*$B$9,-12*$B$8*(1+$B$4)^52)&gt;0,1+$B$3,1))</f>
        <v/>
      </c>
      <c r="BD188">
        <f>IF($B$1+53&gt;90,BC188,(BC188+IF($B$1+53&lt;=$B188,12*$B$9,-12*$B$8*(1+$B$4)^53))*IF(BC188+IF($B$1+53&lt;=$B188,12*$B$9,-12*$B$8*(1+$B$4)^53)&gt;0,1+$B$3,1))</f>
        <v/>
      </c>
      <c r="BE188">
        <f>IF($B$1+54&gt;90,BD188,(BD188+IF($B$1+54&lt;=$B188,12*$B$9,-12*$B$8*(1+$B$4)^54))*IF(BD188+IF($B$1+54&lt;=$B188,12*$B$9,-12*$B$8*(1+$B$4)^54)&gt;0,1+$B$3,1))</f>
        <v/>
      </c>
      <c r="BF188">
        <f>IF($B$1+55&gt;90,BE188,(BE188+IF($B$1+55&lt;=$B188,12*$B$9,-12*$B$8*(1+$B$4)^55))*IF(BE188+IF($B$1+55&lt;=$B188,12*$B$9,-12*$B$8*(1+$B$4)^55)&gt;0,1+$B$3,1))</f>
        <v/>
      </c>
      <c r="BG188">
        <f>IF($B$1+56&gt;90,BF188,(BF188+IF($B$1+56&lt;=$B188,12*$B$9,-12*$B$8*(1+$B$4)^56))*IF(BF188+IF($B$1+56&lt;=$B188,12*$B$9,-12*$B$8*(1+$B$4)^56)&gt;0,1+$B$3,1))</f>
        <v/>
      </c>
      <c r="BH188">
        <f>IF($B$1+57&gt;90,BG188,(BG188+IF($B$1+57&lt;=$B188,12*$B$9,-12*$B$8*(1+$B$4)^57))*IF(BG188+IF($B$1+57&lt;=$B188,12*$B$9,-12*$B$8*(1+$B$4)^57)&gt;0,1+$B$3,1))</f>
        <v/>
      </c>
      <c r="BI188">
        <f>IF($B$1+58&gt;90,BH188,(BH188+IF($B$1+58&lt;=$B188,12*$B$9,-12*$B$8*(1+$B$4)^58))*IF(BH188+IF($B$1+58&lt;=$B188,12*$B$9,-12*$B$8*(1+$B$4)^58)&gt;0,1+$B$3,1))</f>
        <v/>
      </c>
      <c r="BJ188">
        <f>IF($B$1+59&gt;90,BI188,(BI188+IF($B$1+59&lt;=$B188,12*$B$9,-12*$B$8*(1+$B$4)^59))*IF(BI188+IF($B$1+59&lt;=$B188,12*$B$9,-12*$B$8*(1+$B$4)^59)&gt;0,1+$B$3,1))</f>
        <v/>
      </c>
      <c r="BK188">
        <f>IF($B$1+60&gt;90,BJ188,(BJ188+IF($B$1+60&lt;=$B188,12*$B$9,-12*$B$8*(1+$B$4)^60))*IF(BJ188+IF($B$1+60&lt;=$B188,12*$B$9,-12*$B$8*(1+$B$4)^60)&gt;0,1+$B$3,1))</f>
        <v/>
      </c>
      <c r="BL188">
        <f>IF($B$1+61&gt;90,BK188,(BK188+IF($B$1+61&lt;=$B188,12*$B$9,-12*$B$8*(1+$B$4)^61))*IF(BK188+IF($B$1+61&lt;=$B188,12*$B$9,-12*$B$8*(1+$B$4)^61)&gt;0,1+$B$3,1))</f>
        <v/>
      </c>
      <c r="BM188">
        <f>IF($B$1+62&gt;90,BL188,(BL188+IF($B$1+62&lt;=$B188,12*$B$9,-12*$B$8*(1+$B$4)^62))*IF(BL188+IF($B$1+62&lt;=$B188,12*$B$9,-12*$B$8*(1+$B$4)^62)&gt;0,1+$B$3,1))</f>
        <v/>
      </c>
      <c r="BN188">
        <f>IF($B$1+63&gt;90,BM188,(BM188+IF($B$1+63&lt;=$B188,12*$B$9,-12*$B$8*(1+$B$4)^63))*IF(BM188+IF($B$1+63&lt;=$B188,12*$B$9,-12*$B$8*(1+$B$4)^63)&gt;0,1+$B$3,1))</f>
        <v/>
      </c>
      <c r="BO188">
        <f>IF($B$1+64&gt;90,BN188,(BN188+IF($B$1+64&lt;=$B188,12*$B$9,-12*$B$8*(1+$B$4)^64))*IF(BN188+IF($B$1+64&lt;=$B188,12*$B$9,-12*$B$8*(1+$B$4)^64)&gt;0,1+$B$3,1))</f>
        <v/>
      </c>
      <c r="BP188">
        <f>IF($B$1+65&gt;90,BO188,(BO188+IF($B$1+65&lt;=$B188,12*$B$9,-12*$B$8*(1+$B$4)^65))*IF(BO188+IF($B$1+65&lt;=$B188,12*$B$9,-12*$B$8*(1+$B$4)^65)&gt;0,1+$B$3,1))</f>
        <v/>
      </c>
      <c r="BQ188">
        <f>IF($B$1+66&gt;90,BP188,(BP188+IF($B$1+66&lt;=$B188,12*$B$9,-12*$B$8*(1+$B$4)^66))*IF(BP188+IF($B$1+66&lt;=$B188,12*$B$9,-12*$B$8*(1+$B$4)^66)&gt;0,1+$B$3,1))</f>
        <v/>
      </c>
      <c r="BR188">
        <f>IF($B$1+67&gt;90,BQ188,(BQ188+IF($B$1+67&lt;=$B188,12*$B$9,-12*$B$8*(1+$B$4)^67))*IF(BQ188+IF($B$1+67&lt;=$B188,12*$B$9,-12*$B$8*(1+$B$4)^67)&gt;0,1+$B$3,1))</f>
        <v/>
      </c>
      <c r="BS188">
        <f>IF($B$1+68&gt;90,BR188,(BR188+IF($B$1+68&lt;=$B188,12*$B$9,-12*$B$8*(1+$B$4)^68))*IF(BR188+IF($B$1+68&lt;=$B188,12*$B$9,-12*$B$8*(1+$B$4)^68)&gt;0,1+$B$3,1))</f>
        <v/>
      </c>
      <c r="BT188">
        <f>IF($B$1+69&gt;90,BS188,(BS188+IF($B$1+69&lt;=$B188,12*$B$9,-12*$B$8*(1+$B$4)^69))*IF(BS188+IF($B$1+69&lt;=$B188,12*$B$9,-12*$B$8*(1+$B$4)^69)&gt;0,1+$B$3,1))</f>
        <v/>
      </c>
      <c r="BU188">
        <f>IF($B$1+70&gt;90,BT188,(BT188+IF($B$1+70&lt;=$B188,12*$B$9,-12*$B$8*(1+$B$4)^70))*IF(BT188+IF($B$1+70&lt;=$B188,12*$B$9,-12*$B$8*(1+$B$4)^70)&gt;0,1+$B$3,1))</f>
        <v/>
      </c>
      <c r="BV188">
        <f>BU188</f>
        <v/>
      </c>
      <c r="BW188">
        <f>IF(AND($B188&lt;=70,BV188&gt;0),$B188,999)</f>
        <v/>
      </c>
    </row>
    <row r="189">
      <c r="A189" t="n">
        <v>37</v>
      </c>
      <c r="B189">
        <f>$B$1+37</f>
        <v/>
      </c>
      <c r="C189">
        <f>$B$2</f>
        <v/>
      </c>
      <c r="D189">
        <f>IF($B$1+1&gt;90,C189,(C189+IF($B$1+1&lt;=$B189,12*$B$9,-12*$B$8*(1+$B$4)^1))*IF(C189+IF($B$1+1&lt;=$B189,12*$B$9,-12*$B$8*(1+$B$4)^1)&gt;0,1+$B$3,1))</f>
        <v/>
      </c>
      <c r="E189">
        <f>IF($B$1+2&gt;90,D189,(D189+IF($B$1+2&lt;=$B189,12*$B$9,-12*$B$8*(1+$B$4)^2))*IF(D189+IF($B$1+2&lt;=$B189,12*$B$9,-12*$B$8*(1+$B$4)^2)&gt;0,1+$B$3,1))</f>
        <v/>
      </c>
      <c r="F189">
        <f>IF($B$1+3&gt;90,E189,(E189+IF($B$1+3&lt;=$B189,12*$B$9,-12*$B$8*(1+$B$4)^3))*IF(E189+IF($B$1+3&lt;=$B189,12*$B$9,-12*$B$8*(1+$B$4)^3)&gt;0,1+$B$3,1))</f>
        <v/>
      </c>
      <c r="G189">
        <f>IF($B$1+4&gt;90,F189,(F189+IF($B$1+4&lt;=$B189,12*$B$9,-12*$B$8*(1+$B$4)^4))*IF(F189+IF($B$1+4&lt;=$B189,12*$B$9,-12*$B$8*(1+$B$4)^4)&gt;0,1+$B$3,1))</f>
        <v/>
      </c>
      <c r="H189">
        <f>IF($B$1+5&gt;90,G189,(G189+IF($B$1+5&lt;=$B189,12*$B$9,-12*$B$8*(1+$B$4)^5))*IF(G189+IF($B$1+5&lt;=$B189,12*$B$9,-12*$B$8*(1+$B$4)^5)&gt;0,1+$B$3,1))</f>
        <v/>
      </c>
      <c r="I189">
        <f>IF($B$1+6&gt;90,H189,(H189+IF($B$1+6&lt;=$B189,12*$B$9,-12*$B$8*(1+$B$4)^6))*IF(H189+IF($B$1+6&lt;=$B189,12*$B$9,-12*$B$8*(1+$B$4)^6)&gt;0,1+$B$3,1))</f>
        <v/>
      </c>
      <c r="J189">
        <f>IF($B$1+7&gt;90,I189,(I189+IF($B$1+7&lt;=$B189,12*$B$9,-12*$B$8*(1+$B$4)^7))*IF(I189+IF($B$1+7&lt;=$B189,12*$B$9,-12*$B$8*(1+$B$4)^7)&gt;0,1+$B$3,1))</f>
        <v/>
      </c>
      <c r="K189">
        <f>IF($B$1+8&gt;90,J189,(J189+IF($B$1+8&lt;=$B189,12*$B$9,-12*$B$8*(1+$B$4)^8))*IF(J189+IF($B$1+8&lt;=$B189,12*$B$9,-12*$B$8*(1+$B$4)^8)&gt;0,1+$B$3,1))</f>
        <v/>
      </c>
      <c r="L189">
        <f>IF($B$1+9&gt;90,K189,(K189+IF($B$1+9&lt;=$B189,12*$B$9,-12*$B$8*(1+$B$4)^9))*IF(K189+IF($B$1+9&lt;=$B189,12*$B$9,-12*$B$8*(1+$B$4)^9)&gt;0,1+$B$3,1))</f>
        <v/>
      </c>
      <c r="M189">
        <f>IF($B$1+10&gt;90,L189,(L189+IF($B$1+10&lt;=$B189,12*$B$9,-12*$B$8*(1+$B$4)^10))*IF(L189+IF($B$1+10&lt;=$B189,12*$B$9,-12*$B$8*(1+$B$4)^10)&gt;0,1+$B$3,1))</f>
        <v/>
      </c>
      <c r="N189">
        <f>IF($B$1+11&gt;90,M189,(M189+IF($B$1+11&lt;=$B189,12*$B$9,-12*$B$8*(1+$B$4)^11))*IF(M189+IF($B$1+11&lt;=$B189,12*$B$9,-12*$B$8*(1+$B$4)^11)&gt;0,1+$B$3,1))</f>
        <v/>
      </c>
      <c r="O189">
        <f>IF($B$1+12&gt;90,N189,(N189+IF($B$1+12&lt;=$B189,12*$B$9,-12*$B$8*(1+$B$4)^12))*IF(N189+IF($B$1+12&lt;=$B189,12*$B$9,-12*$B$8*(1+$B$4)^12)&gt;0,1+$B$3,1))</f>
        <v/>
      </c>
      <c r="P189">
        <f>IF($B$1+13&gt;90,O189,(O189+IF($B$1+13&lt;=$B189,12*$B$9,-12*$B$8*(1+$B$4)^13))*IF(O189+IF($B$1+13&lt;=$B189,12*$B$9,-12*$B$8*(1+$B$4)^13)&gt;0,1+$B$3,1))</f>
        <v/>
      </c>
      <c r="Q189">
        <f>IF($B$1+14&gt;90,P189,(P189+IF($B$1+14&lt;=$B189,12*$B$9,-12*$B$8*(1+$B$4)^14))*IF(P189+IF($B$1+14&lt;=$B189,12*$B$9,-12*$B$8*(1+$B$4)^14)&gt;0,1+$B$3,1))</f>
        <v/>
      </c>
      <c r="R189">
        <f>IF($B$1+15&gt;90,Q189,(Q189+IF($B$1+15&lt;=$B189,12*$B$9,-12*$B$8*(1+$B$4)^15))*IF(Q189+IF($B$1+15&lt;=$B189,12*$B$9,-12*$B$8*(1+$B$4)^15)&gt;0,1+$B$3,1))</f>
        <v/>
      </c>
      <c r="S189">
        <f>IF($B$1+16&gt;90,R189,(R189+IF($B$1+16&lt;=$B189,12*$B$9,-12*$B$8*(1+$B$4)^16))*IF(R189+IF($B$1+16&lt;=$B189,12*$B$9,-12*$B$8*(1+$B$4)^16)&gt;0,1+$B$3,1))</f>
        <v/>
      </c>
      <c r="T189">
        <f>IF($B$1+17&gt;90,S189,(S189+IF($B$1+17&lt;=$B189,12*$B$9,-12*$B$8*(1+$B$4)^17))*IF(S189+IF($B$1+17&lt;=$B189,12*$B$9,-12*$B$8*(1+$B$4)^17)&gt;0,1+$B$3,1))</f>
        <v/>
      </c>
      <c r="U189">
        <f>IF($B$1+18&gt;90,T189,(T189+IF($B$1+18&lt;=$B189,12*$B$9,-12*$B$8*(1+$B$4)^18))*IF(T189+IF($B$1+18&lt;=$B189,12*$B$9,-12*$B$8*(1+$B$4)^18)&gt;0,1+$B$3,1))</f>
        <v/>
      </c>
      <c r="V189">
        <f>IF($B$1+19&gt;90,U189,(U189+IF($B$1+19&lt;=$B189,12*$B$9,-12*$B$8*(1+$B$4)^19))*IF(U189+IF($B$1+19&lt;=$B189,12*$B$9,-12*$B$8*(1+$B$4)^19)&gt;0,1+$B$3,1))</f>
        <v/>
      </c>
      <c r="W189">
        <f>IF($B$1+20&gt;90,V189,(V189+IF($B$1+20&lt;=$B189,12*$B$9,-12*$B$8*(1+$B$4)^20))*IF(V189+IF($B$1+20&lt;=$B189,12*$B$9,-12*$B$8*(1+$B$4)^20)&gt;0,1+$B$3,1))</f>
        <v/>
      </c>
      <c r="X189">
        <f>IF($B$1+21&gt;90,W189,(W189+IF($B$1+21&lt;=$B189,12*$B$9,-12*$B$8*(1+$B$4)^21))*IF(W189+IF($B$1+21&lt;=$B189,12*$B$9,-12*$B$8*(1+$B$4)^21)&gt;0,1+$B$3,1))</f>
        <v/>
      </c>
      <c r="Y189">
        <f>IF($B$1+22&gt;90,X189,(X189+IF($B$1+22&lt;=$B189,12*$B$9,-12*$B$8*(1+$B$4)^22))*IF(X189+IF($B$1+22&lt;=$B189,12*$B$9,-12*$B$8*(1+$B$4)^22)&gt;0,1+$B$3,1))</f>
        <v/>
      </c>
      <c r="Z189">
        <f>IF($B$1+23&gt;90,Y189,(Y189+IF($B$1+23&lt;=$B189,12*$B$9,-12*$B$8*(1+$B$4)^23))*IF(Y189+IF($B$1+23&lt;=$B189,12*$B$9,-12*$B$8*(1+$B$4)^23)&gt;0,1+$B$3,1))</f>
        <v/>
      </c>
      <c r="AA189">
        <f>IF($B$1+24&gt;90,Z189,(Z189+IF($B$1+24&lt;=$B189,12*$B$9,-12*$B$8*(1+$B$4)^24))*IF(Z189+IF($B$1+24&lt;=$B189,12*$B$9,-12*$B$8*(1+$B$4)^24)&gt;0,1+$B$3,1))</f>
        <v/>
      </c>
      <c r="AB189">
        <f>IF($B$1+25&gt;90,AA189,(AA189+IF($B$1+25&lt;=$B189,12*$B$9,-12*$B$8*(1+$B$4)^25))*IF(AA189+IF($B$1+25&lt;=$B189,12*$B$9,-12*$B$8*(1+$B$4)^25)&gt;0,1+$B$3,1))</f>
        <v/>
      </c>
      <c r="AC189">
        <f>IF($B$1+26&gt;90,AB189,(AB189+IF($B$1+26&lt;=$B189,12*$B$9,-12*$B$8*(1+$B$4)^26))*IF(AB189+IF($B$1+26&lt;=$B189,12*$B$9,-12*$B$8*(1+$B$4)^26)&gt;0,1+$B$3,1))</f>
        <v/>
      </c>
      <c r="AD189">
        <f>IF($B$1+27&gt;90,AC189,(AC189+IF($B$1+27&lt;=$B189,12*$B$9,-12*$B$8*(1+$B$4)^27))*IF(AC189+IF($B$1+27&lt;=$B189,12*$B$9,-12*$B$8*(1+$B$4)^27)&gt;0,1+$B$3,1))</f>
        <v/>
      </c>
      <c r="AE189">
        <f>IF($B$1+28&gt;90,AD189,(AD189+IF($B$1+28&lt;=$B189,12*$B$9,-12*$B$8*(1+$B$4)^28))*IF(AD189+IF($B$1+28&lt;=$B189,12*$B$9,-12*$B$8*(1+$B$4)^28)&gt;0,1+$B$3,1))</f>
        <v/>
      </c>
      <c r="AF189">
        <f>IF($B$1+29&gt;90,AE189,(AE189+IF($B$1+29&lt;=$B189,12*$B$9,-12*$B$8*(1+$B$4)^29))*IF(AE189+IF($B$1+29&lt;=$B189,12*$B$9,-12*$B$8*(1+$B$4)^29)&gt;0,1+$B$3,1))</f>
        <v/>
      </c>
      <c r="AG189">
        <f>IF($B$1+30&gt;90,AF189,(AF189+IF($B$1+30&lt;=$B189,12*$B$9,-12*$B$8*(1+$B$4)^30))*IF(AF189+IF($B$1+30&lt;=$B189,12*$B$9,-12*$B$8*(1+$B$4)^30)&gt;0,1+$B$3,1))</f>
        <v/>
      </c>
      <c r="AH189">
        <f>IF($B$1+31&gt;90,AG189,(AG189+IF($B$1+31&lt;=$B189,12*$B$9,-12*$B$8*(1+$B$4)^31))*IF(AG189+IF($B$1+31&lt;=$B189,12*$B$9,-12*$B$8*(1+$B$4)^31)&gt;0,1+$B$3,1))</f>
        <v/>
      </c>
      <c r="AI189">
        <f>IF($B$1+32&gt;90,AH189,(AH189+IF($B$1+32&lt;=$B189,12*$B$9,-12*$B$8*(1+$B$4)^32))*IF(AH189+IF($B$1+32&lt;=$B189,12*$B$9,-12*$B$8*(1+$B$4)^32)&gt;0,1+$B$3,1))</f>
        <v/>
      </c>
      <c r="AJ189">
        <f>IF($B$1+33&gt;90,AI189,(AI189+IF($B$1+33&lt;=$B189,12*$B$9,-12*$B$8*(1+$B$4)^33))*IF(AI189+IF($B$1+33&lt;=$B189,12*$B$9,-12*$B$8*(1+$B$4)^33)&gt;0,1+$B$3,1))</f>
        <v/>
      </c>
      <c r="AK189">
        <f>IF($B$1+34&gt;90,AJ189,(AJ189+IF($B$1+34&lt;=$B189,12*$B$9,-12*$B$8*(1+$B$4)^34))*IF(AJ189+IF($B$1+34&lt;=$B189,12*$B$9,-12*$B$8*(1+$B$4)^34)&gt;0,1+$B$3,1))</f>
        <v/>
      </c>
      <c r="AL189">
        <f>IF($B$1+35&gt;90,AK189,(AK189+IF($B$1+35&lt;=$B189,12*$B$9,-12*$B$8*(1+$B$4)^35))*IF(AK189+IF($B$1+35&lt;=$B189,12*$B$9,-12*$B$8*(1+$B$4)^35)&gt;0,1+$B$3,1))</f>
        <v/>
      </c>
      <c r="AM189">
        <f>IF($B$1+36&gt;90,AL189,(AL189+IF($B$1+36&lt;=$B189,12*$B$9,-12*$B$8*(1+$B$4)^36))*IF(AL189+IF($B$1+36&lt;=$B189,12*$B$9,-12*$B$8*(1+$B$4)^36)&gt;0,1+$B$3,1))</f>
        <v/>
      </c>
      <c r="AN189">
        <f>IF($B$1+37&gt;90,AM189,(AM189+IF($B$1+37&lt;=$B189,12*$B$9,-12*$B$8*(1+$B$4)^37))*IF(AM189+IF($B$1+37&lt;=$B189,12*$B$9,-12*$B$8*(1+$B$4)^37)&gt;0,1+$B$3,1))</f>
        <v/>
      </c>
      <c r="AO189">
        <f>IF($B$1+38&gt;90,AN189,(AN189+IF($B$1+38&lt;=$B189,12*$B$9,-12*$B$8*(1+$B$4)^38))*IF(AN189+IF($B$1+38&lt;=$B189,12*$B$9,-12*$B$8*(1+$B$4)^38)&gt;0,1+$B$3,1))</f>
        <v/>
      </c>
      <c r="AP189">
        <f>IF($B$1+39&gt;90,AO189,(AO189+IF($B$1+39&lt;=$B189,12*$B$9,-12*$B$8*(1+$B$4)^39))*IF(AO189+IF($B$1+39&lt;=$B189,12*$B$9,-12*$B$8*(1+$B$4)^39)&gt;0,1+$B$3,1))</f>
        <v/>
      </c>
      <c r="AQ189">
        <f>IF($B$1+40&gt;90,AP189,(AP189+IF($B$1+40&lt;=$B189,12*$B$9,-12*$B$8*(1+$B$4)^40))*IF(AP189+IF($B$1+40&lt;=$B189,12*$B$9,-12*$B$8*(1+$B$4)^40)&gt;0,1+$B$3,1))</f>
        <v/>
      </c>
      <c r="AR189">
        <f>IF($B$1+41&gt;90,AQ189,(AQ189+IF($B$1+41&lt;=$B189,12*$B$9,-12*$B$8*(1+$B$4)^41))*IF(AQ189+IF($B$1+41&lt;=$B189,12*$B$9,-12*$B$8*(1+$B$4)^41)&gt;0,1+$B$3,1))</f>
        <v/>
      </c>
      <c r="AS189">
        <f>IF($B$1+42&gt;90,AR189,(AR189+IF($B$1+42&lt;=$B189,12*$B$9,-12*$B$8*(1+$B$4)^42))*IF(AR189+IF($B$1+42&lt;=$B189,12*$B$9,-12*$B$8*(1+$B$4)^42)&gt;0,1+$B$3,1))</f>
        <v/>
      </c>
      <c r="AT189">
        <f>IF($B$1+43&gt;90,AS189,(AS189+IF($B$1+43&lt;=$B189,12*$B$9,-12*$B$8*(1+$B$4)^43))*IF(AS189+IF($B$1+43&lt;=$B189,12*$B$9,-12*$B$8*(1+$B$4)^43)&gt;0,1+$B$3,1))</f>
        <v/>
      </c>
      <c r="AU189">
        <f>IF($B$1+44&gt;90,AT189,(AT189+IF($B$1+44&lt;=$B189,12*$B$9,-12*$B$8*(1+$B$4)^44))*IF(AT189+IF($B$1+44&lt;=$B189,12*$B$9,-12*$B$8*(1+$B$4)^44)&gt;0,1+$B$3,1))</f>
        <v/>
      </c>
      <c r="AV189">
        <f>IF($B$1+45&gt;90,AU189,(AU189+IF($B$1+45&lt;=$B189,12*$B$9,-12*$B$8*(1+$B$4)^45))*IF(AU189+IF($B$1+45&lt;=$B189,12*$B$9,-12*$B$8*(1+$B$4)^45)&gt;0,1+$B$3,1))</f>
        <v/>
      </c>
      <c r="AW189">
        <f>IF($B$1+46&gt;90,AV189,(AV189+IF($B$1+46&lt;=$B189,12*$B$9,-12*$B$8*(1+$B$4)^46))*IF(AV189+IF($B$1+46&lt;=$B189,12*$B$9,-12*$B$8*(1+$B$4)^46)&gt;0,1+$B$3,1))</f>
        <v/>
      </c>
      <c r="AX189">
        <f>IF($B$1+47&gt;90,AW189,(AW189+IF($B$1+47&lt;=$B189,12*$B$9,-12*$B$8*(1+$B$4)^47))*IF(AW189+IF($B$1+47&lt;=$B189,12*$B$9,-12*$B$8*(1+$B$4)^47)&gt;0,1+$B$3,1))</f>
        <v/>
      </c>
      <c r="AY189">
        <f>IF($B$1+48&gt;90,AX189,(AX189+IF($B$1+48&lt;=$B189,12*$B$9,-12*$B$8*(1+$B$4)^48))*IF(AX189+IF($B$1+48&lt;=$B189,12*$B$9,-12*$B$8*(1+$B$4)^48)&gt;0,1+$B$3,1))</f>
        <v/>
      </c>
      <c r="AZ189">
        <f>IF($B$1+49&gt;90,AY189,(AY189+IF($B$1+49&lt;=$B189,12*$B$9,-12*$B$8*(1+$B$4)^49))*IF(AY189+IF($B$1+49&lt;=$B189,12*$B$9,-12*$B$8*(1+$B$4)^49)&gt;0,1+$B$3,1))</f>
        <v/>
      </c>
      <c r="BA189">
        <f>IF($B$1+50&gt;90,AZ189,(AZ189+IF($B$1+50&lt;=$B189,12*$B$9,-12*$B$8*(1+$B$4)^50))*IF(AZ189+IF($B$1+50&lt;=$B189,12*$B$9,-12*$B$8*(1+$B$4)^50)&gt;0,1+$B$3,1))</f>
        <v/>
      </c>
      <c r="BB189">
        <f>IF($B$1+51&gt;90,BA189,(BA189+IF($B$1+51&lt;=$B189,12*$B$9,-12*$B$8*(1+$B$4)^51))*IF(BA189+IF($B$1+51&lt;=$B189,12*$B$9,-12*$B$8*(1+$B$4)^51)&gt;0,1+$B$3,1))</f>
        <v/>
      </c>
      <c r="BC189">
        <f>IF($B$1+52&gt;90,BB189,(BB189+IF($B$1+52&lt;=$B189,12*$B$9,-12*$B$8*(1+$B$4)^52))*IF(BB189+IF($B$1+52&lt;=$B189,12*$B$9,-12*$B$8*(1+$B$4)^52)&gt;0,1+$B$3,1))</f>
        <v/>
      </c>
      <c r="BD189">
        <f>IF($B$1+53&gt;90,BC189,(BC189+IF($B$1+53&lt;=$B189,12*$B$9,-12*$B$8*(1+$B$4)^53))*IF(BC189+IF($B$1+53&lt;=$B189,12*$B$9,-12*$B$8*(1+$B$4)^53)&gt;0,1+$B$3,1))</f>
        <v/>
      </c>
      <c r="BE189">
        <f>IF($B$1+54&gt;90,BD189,(BD189+IF($B$1+54&lt;=$B189,12*$B$9,-12*$B$8*(1+$B$4)^54))*IF(BD189+IF($B$1+54&lt;=$B189,12*$B$9,-12*$B$8*(1+$B$4)^54)&gt;0,1+$B$3,1))</f>
        <v/>
      </c>
      <c r="BF189">
        <f>IF($B$1+55&gt;90,BE189,(BE189+IF($B$1+55&lt;=$B189,12*$B$9,-12*$B$8*(1+$B$4)^55))*IF(BE189+IF($B$1+55&lt;=$B189,12*$B$9,-12*$B$8*(1+$B$4)^55)&gt;0,1+$B$3,1))</f>
        <v/>
      </c>
      <c r="BG189">
        <f>IF($B$1+56&gt;90,BF189,(BF189+IF($B$1+56&lt;=$B189,12*$B$9,-12*$B$8*(1+$B$4)^56))*IF(BF189+IF($B$1+56&lt;=$B189,12*$B$9,-12*$B$8*(1+$B$4)^56)&gt;0,1+$B$3,1))</f>
        <v/>
      </c>
      <c r="BH189">
        <f>IF($B$1+57&gt;90,BG189,(BG189+IF($B$1+57&lt;=$B189,12*$B$9,-12*$B$8*(1+$B$4)^57))*IF(BG189+IF($B$1+57&lt;=$B189,12*$B$9,-12*$B$8*(1+$B$4)^57)&gt;0,1+$B$3,1))</f>
        <v/>
      </c>
      <c r="BI189">
        <f>IF($B$1+58&gt;90,BH189,(BH189+IF($B$1+58&lt;=$B189,12*$B$9,-12*$B$8*(1+$B$4)^58))*IF(BH189+IF($B$1+58&lt;=$B189,12*$B$9,-12*$B$8*(1+$B$4)^58)&gt;0,1+$B$3,1))</f>
        <v/>
      </c>
      <c r="BJ189">
        <f>IF($B$1+59&gt;90,BI189,(BI189+IF($B$1+59&lt;=$B189,12*$B$9,-12*$B$8*(1+$B$4)^59))*IF(BI189+IF($B$1+59&lt;=$B189,12*$B$9,-12*$B$8*(1+$B$4)^59)&gt;0,1+$B$3,1))</f>
        <v/>
      </c>
      <c r="BK189">
        <f>IF($B$1+60&gt;90,BJ189,(BJ189+IF($B$1+60&lt;=$B189,12*$B$9,-12*$B$8*(1+$B$4)^60))*IF(BJ189+IF($B$1+60&lt;=$B189,12*$B$9,-12*$B$8*(1+$B$4)^60)&gt;0,1+$B$3,1))</f>
        <v/>
      </c>
      <c r="BL189">
        <f>IF($B$1+61&gt;90,BK189,(BK189+IF($B$1+61&lt;=$B189,12*$B$9,-12*$B$8*(1+$B$4)^61))*IF(BK189+IF($B$1+61&lt;=$B189,12*$B$9,-12*$B$8*(1+$B$4)^61)&gt;0,1+$B$3,1))</f>
        <v/>
      </c>
      <c r="BM189">
        <f>IF($B$1+62&gt;90,BL189,(BL189+IF($B$1+62&lt;=$B189,12*$B$9,-12*$B$8*(1+$B$4)^62))*IF(BL189+IF($B$1+62&lt;=$B189,12*$B$9,-12*$B$8*(1+$B$4)^62)&gt;0,1+$B$3,1))</f>
        <v/>
      </c>
      <c r="BN189">
        <f>IF($B$1+63&gt;90,BM189,(BM189+IF($B$1+63&lt;=$B189,12*$B$9,-12*$B$8*(1+$B$4)^63))*IF(BM189+IF($B$1+63&lt;=$B189,12*$B$9,-12*$B$8*(1+$B$4)^63)&gt;0,1+$B$3,1))</f>
        <v/>
      </c>
      <c r="BO189">
        <f>IF($B$1+64&gt;90,BN189,(BN189+IF($B$1+64&lt;=$B189,12*$B$9,-12*$B$8*(1+$B$4)^64))*IF(BN189+IF($B$1+64&lt;=$B189,12*$B$9,-12*$B$8*(1+$B$4)^64)&gt;0,1+$B$3,1))</f>
        <v/>
      </c>
      <c r="BP189">
        <f>IF($B$1+65&gt;90,BO189,(BO189+IF($B$1+65&lt;=$B189,12*$B$9,-12*$B$8*(1+$B$4)^65))*IF(BO189+IF($B$1+65&lt;=$B189,12*$B$9,-12*$B$8*(1+$B$4)^65)&gt;0,1+$B$3,1))</f>
        <v/>
      </c>
      <c r="BQ189">
        <f>IF($B$1+66&gt;90,BP189,(BP189+IF($B$1+66&lt;=$B189,12*$B$9,-12*$B$8*(1+$B$4)^66))*IF(BP189+IF($B$1+66&lt;=$B189,12*$B$9,-12*$B$8*(1+$B$4)^66)&gt;0,1+$B$3,1))</f>
        <v/>
      </c>
      <c r="BR189">
        <f>IF($B$1+67&gt;90,BQ189,(BQ189+IF($B$1+67&lt;=$B189,12*$B$9,-12*$B$8*(1+$B$4)^67))*IF(BQ189+IF($B$1+67&lt;=$B189,12*$B$9,-12*$B$8*(1+$B$4)^67)&gt;0,1+$B$3,1))</f>
        <v/>
      </c>
      <c r="BS189">
        <f>IF($B$1+68&gt;90,BR189,(BR189+IF($B$1+68&lt;=$B189,12*$B$9,-12*$B$8*(1+$B$4)^68))*IF(BR189+IF($B$1+68&lt;=$B189,12*$B$9,-12*$B$8*(1+$B$4)^68)&gt;0,1+$B$3,1))</f>
        <v/>
      </c>
      <c r="BT189">
        <f>IF($B$1+69&gt;90,BS189,(BS189+IF($B$1+69&lt;=$B189,12*$B$9,-12*$B$8*(1+$B$4)^69))*IF(BS189+IF($B$1+69&lt;=$B189,12*$B$9,-12*$B$8*(1+$B$4)^69)&gt;0,1+$B$3,1))</f>
        <v/>
      </c>
      <c r="BU189">
        <f>IF($B$1+70&gt;90,BT189,(BT189+IF($B$1+70&lt;=$B189,12*$B$9,-12*$B$8*(1+$B$4)^70))*IF(BT189+IF($B$1+70&lt;=$B189,12*$B$9,-12*$B$8*(1+$B$4)^70)&gt;0,1+$B$3,1))</f>
        <v/>
      </c>
      <c r="BV189">
        <f>BU189</f>
        <v/>
      </c>
      <c r="BW189">
        <f>IF(AND($B189&lt;=70,BV189&gt;0),$B189,999)</f>
        <v/>
      </c>
    </row>
    <row r="190">
      <c r="A190" t="n">
        <v>38</v>
      </c>
      <c r="B190">
        <f>$B$1+38</f>
        <v/>
      </c>
      <c r="C190">
        <f>$B$2</f>
        <v/>
      </c>
      <c r="D190">
        <f>IF($B$1+1&gt;90,C190,(C190+IF($B$1+1&lt;=$B190,12*$B$9,-12*$B$8*(1+$B$4)^1))*IF(C190+IF($B$1+1&lt;=$B190,12*$B$9,-12*$B$8*(1+$B$4)^1)&gt;0,1+$B$3,1))</f>
        <v/>
      </c>
      <c r="E190">
        <f>IF($B$1+2&gt;90,D190,(D190+IF($B$1+2&lt;=$B190,12*$B$9,-12*$B$8*(1+$B$4)^2))*IF(D190+IF($B$1+2&lt;=$B190,12*$B$9,-12*$B$8*(1+$B$4)^2)&gt;0,1+$B$3,1))</f>
        <v/>
      </c>
      <c r="F190">
        <f>IF($B$1+3&gt;90,E190,(E190+IF($B$1+3&lt;=$B190,12*$B$9,-12*$B$8*(1+$B$4)^3))*IF(E190+IF($B$1+3&lt;=$B190,12*$B$9,-12*$B$8*(1+$B$4)^3)&gt;0,1+$B$3,1))</f>
        <v/>
      </c>
      <c r="G190">
        <f>IF($B$1+4&gt;90,F190,(F190+IF($B$1+4&lt;=$B190,12*$B$9,-12*$B$8*(1+$B$4)^4))*IF(F190+IF($B$1+4&lt;=$B190,12*$B$9,-12*$B$8*(1+$B$4)^4)&gt;0,1+$B$3,1))</f>
        <v/>
      </c>
      <c r="H190">
        <f>IF($B$1+5&gt;90,G190,(G190+IF($B$1+5&lt;=$B190,12*$B$9,-12*$B$8*(1+$B$4)^5))*IF(G190+IF($B$1+5&lt;=$B190,12*$B$9,-12*$B$8*(1+$B$4)^5)&gt;0,1+$B$3,1))</f>
        <v/>
      </c>
      <c r="I190">
        <f>IF($B$1+6&gt;90,H190,(H190+IF($B$1+6&lt;=$B190,12*$B$9,-12*$B$8*(1+$B$4)^6))*IF(H190+IF($B$1+6&lt;=$B190,12*$B$9,-12*$B$8*(1+$B$4)^6)&gt;0,1+$B$3,1))</f>
        <v/>
      </c>
      <c r="J190">
        <f>IF($B$1+7&gt;90,I190,(I190+IF($B$1+7&lt;=$B190,12*$B$9,-12*$B$8*(1+$B$4)^7))*IF(I190+IF($B$1+7&lt;=$B190,12*$B$9,-12*$B$8*(1+$B$4)^7)&gt;0,1+$B$3,1))</f>
        <v/>
      </c>
      <c r="K190">
        <f>IF($B$1+8&gt;90,J190,(J190+IF($B$1+8&lt;=$B190,12*$B$9,-12*$B$8*(1+$B$4)^8))*IF(J190+IF($B$1+8&lt;=$B190,12*$B$9,-12*$B$8*(1+$B$4)^8)&gt;0,1+$B$3,1))</f>
        <v/>
      </c>
      <c r="L190">
        <f>IF($B$1+9&gt;90,K190,(K190+IF($B$1+9&lt;=$B190,12*$B$9,-12*$B$8*(1+$B$4)^9))*IF(K190+IF($B$1+9&lt;=$B190,12*$B$9,-12*$B$8*(1+$B$4)^9)&gt;0,1+$B$3,1))</f>
        <v/>
      </c>
      <c r="M190">
        <f>IF($B$1+10&gt;90,L190,(L190+IF($B$1+10&lt;=$B190,12*$B$9,-12*$B$8*(1+$B$4)^10))*IF(L190+IF($B$1+10&lt;=$B190,12*$B$9,-12*$B$8*(1+$B$4)^10)&gt;0,1+$B$3,1))</f>
        <v/>
      </c>
      <c r="N190">
        <f>IF($B$1+11&gt;90,M190,(M190+IF($B$1+11&lt;=$B190,12*$B$9,-12*$B$8*(1+$B$4)^11))*IF(M190+IF($B$1+11&lt;=$B190,12*$B$9,-12*$B$8*(1+$B$4)^11)&gt;0,1+$B$3,1))</f>
        <v/>
      </c>
      <c r="O190">
        <f>IF($B$1+12&gt;90,N190,(N190+IF($B$1+12&lt;=$B190,12*$B$9,-12*$B$8*(1+$B$4)^12))*IF(N190+IF($B$1+12&lt;=$B190,12*$B$9,-12*$B$8*(1+$B$4)^12)&gt;0,1+$B$3,1))</f>
        <v/>
      </c>
      <c r="P190">
        <f>IF($B$1+13&gt;90,O190,(O190+IF($B$1+13&lt;=$B190,12*$B$9,-12*$B$8*(1+$B$4)^13))*IF(O190+IF($B$1+13&lt;=$B190,12*$B$9,-12*$B$8*(1+$B$4)^13)&gt;0,1+$B$3,1))</f>
        <v/>
      </c>
      <c r="Q190">
        <f>IF($B$1+14&gt;90,P190,(P190+IF($B$1+14&lt;=$B190,12*$B$9,-12*$B$8*(1+$B$4)^14))*IF(P190+IF($B$1+14&lt;=$B190,12*$B$9,-12*$B$8*(1+$B$4)^14)&gt;0,1+$B$3,1))</f>
        <v/>
      </c>
      <c r="R190">
        <f>IF($B$1+15&gt;90,Q190,(Q190+IF($B$1+15&lt;=$B190,12*$B$9,-12*$B$8*(1+$B$4)^15))*IF(Q190+IF($B$1+15&lt;=$B190,12*$B$9,-12*$B$8*(1+$B$4)^15)&gt;0,1+$B$3,1))</f>
        <v/>
      </c>
      <c r="S190">
        <f>IF($B$1+16&gt;90,R190,(R190+IF($B$1+16&lt;=$B190,12*$B$9,-12*$B$8*(1+$B$4)^16))*IF(R190+IF($B$1+16&lt;=$B190,12*$B$9,-12*$B$8*(1+$B$4)^16)&gt;0,1+$B$3,1))</f>
        <v/>
      </c>
      <c r="T190">
        <f>IF($B$1+17&gt;90,S190,(S190+IF($B$1+17&lt;=$B190,12*$B$9,-12*$B$8*(1+$B$4)^17))*IF(S190+IF($B$1+17&lt;=$B190,12*$B$9,-12*$B$8*(1+$B$4)^17)&gt;0,1+$B$3,1))</f>
        <v/>
      </c>
      <c r="U190">
        <f>IF($B$1+18&gt;90,T190,(T190+IF($B$1+18&lt;=$B190,12*$B$9,-12*$B$8*(1+$B$4)^18))*IF(T190+IF($B$1+18&lt;=$B190,12*$B$9,-12*$B$8*(1+$B$4)^18)&gt;0,1+$B$3,1))</f>
        <v/>
      </c>
      <c r="V190">
        <f>IF($B$1+19&gt;90,U190,(U190+IF($B$1+19&lt;=$B190,12*$B$9,-12*$B$8*(1+$B$4)^19))*IF(U190+IF($B$1+19&lt;=$B190,12*$B$9,-12*$B$8*(1+$B$4)^19)&gt;0,1+$B$3,1))</f>
        <v/>
      </c>
      <c r="W190">
        <f>IF($B$1+20&gt;90,V190,(V190+IF($B$1+20&lt;=$B190,12*$B$9,-12*$B$8*(1+$B$4)^20))*IF(V190+IF($B$1+20&lt;=$B190,12*$B$9,-12*$B$8*(1+$B$4)^20)&gt;0,1+$B$3,1))</f>
        <v/>
      </c>
      <c r="X190">
        <f>IF($B$1+21&gt;90,W190,(W190+IF($B$1+21&lt;=$B190,12*$B$9,-12*$B$8*(1+$B$4)^21))*IF(W190+IF($B$1+21&lt;=$B190,12*$B$9,-12*$B$8*(1+$B$4)^21)&gt;0,1+$B$3,1))</f>
        <v/>
      </c>
      <c r="Y190">
        <f>IF($B$1+22&gt;90,X190,(X190+IF($B$1+22&lt;=$B190,12*$B$9,-12*$B$8*(1+$B$4)^22))*IF(X190+IF($B$1+22&lt;=$B190,12*$B$9,-12*$B$8*(1+$B$4)^22)&gt;0,1+$B$3,1))</f>
        <v/>
      </c>
      <c r="Z190">
        <f>IF($B$1+23&gt;90,Y190,(Y190+IF($B$1+23&lt;=$B190,12*$B$9,-12*$B$8*(1+$B$4)^23))*IF(Y190+IF($B$1+23&lt;=$B190,12*$B$9,-12*$B$8*(1+$B$4)^23)&gt;0,1+$B$3,1))</f>
        <v/>
      </c>
      <c r="AA190">
        <f>IF($B$1+24&gt;90,Z190,(Z190+IF($B$1+24&lt;=$B190,12*$B$9,-12*$B$8*(1+$B$4)^24))*IF(Z190+IF($B$1+24&lt;=$B190,12*$B$9,-12*$B$8*(1+$B$4)^24)&gt;0,1+$B$3,1))</f>
        <v/>
      </c>
      <c r="AB190">
        <f>IF($B$1+25&gt;90,AA190,(AA190+IF($B$1+25&lt;=$B190,12*$B$9,-12*$B$8*(1+$B$4)^25))*IF(AA190+IF($B$1+25&lt;=$B190,12*$B$9,-12*$B$8*(1+$B$4)^25)&gt;0,1+$B$3,1))</f>
        <v/>
      </c>
      <c r="AC190">
        <f>IF($B$1+26&gt;90,AB190,(AB190+IF($B$1+26&lt;=$B190,12*$B$9,-12*$B$8*(1+$B$4)^26))*IF(AB190+IF($B$1+26&lt;=$B190,12*$B$9,-12*$B$8*(1+$B$4)^26)&gt;0,1+$B$3,1))</f>
        <v/>
      </c>
      <c r="AD190">
        <f>IF($B$1+27&gt;90,AC190,(AC190+IF($B$1+27&lt;=$B190,12*$B$9,-12*$B$8*(1+$B$4)^27))*IF(AC190+IF($B$1+27&lt;=$B190,12*$B$9,-12*$B$8*(1+$B$4)^27)&gt;0,1+$B$3,1))</f>
        <v/>
      </c>
      <c r="AE190">
        <f>IF($B$1+28&gt;90,AD190,(AD190+IF($B$1+28&lt;=$B190,12*$B$9,-12*$B$8*(1+$B$4)^28))*IF(AD190+IF($B$1+28&lt;=$B190,12*$B$9,-12*$B$8*(1+$B$4)^28)&gt;0,1+$B$3,1))</f>
        <v/>
      </c>
      <c r="AF190">
        <f>IF($B$1+29&gt;90,AE190,(AE190+IF($B$1+29&lt;=$B190,12*$B$9,-12*$B$8*(1+$B$4)^29))*IF(AE190+IF($B$1+29&lt;=$B190,12*$B$9,-12*$B$8*(1+$B$4)^29)&gt;0,1+$B$3,1))</f>
        <v/>
      </c>
      <c r="AG190">
        <f>IF($B$1+30&gt;90,AF190,(AF190+IF($B$1+30&lt;=$B190,12*$B$9,-12*$B$8*(1+$B$4)^30))*IF(AF190+IF($B$1+30&lt;=$B190,12*$B$9,-12*$B$8*(1+$B$4)^30)&gt;0,1+$B$3,1))</f>
        <v/>
      </c>
      <c r="AH190">
        <f>IF($B$1+31&gt;90,AG190,(AG190+IF($B$1+31&lt;=$B190,12*$B$9,-12*$B$8*(1+$B$4)^31))*IF(AG190+IF($B$1+31&lt;=$B190,12*$B$9,-12*$B$8*(1+$B$4)^31)&gt;0,1+$B$3,1))</f>
        <v/>
      </c>
      <c r="AI190">
        <f>IF($B$1+32&gt;90,AH190,(AH190+IF($B$1+32&lt;=$B190,12*$B$9,-12*$B$8*(1+$B$4)^32))*IF(AH190+IF($B$1+32&lt;=$B190,12*$B$9,-12*$B$8*(1+$B$4)^32)&gt;0,1+$B$3,1))</f>
        <v/>
      </c>
      <c r="AJ190">
        <f>IF($B$1+33&gt;90,AI190,(AI190+IF($B$1+33&lt;=$B190,12*$B$9,-12*$B$8*(1+$B$4)^33))*IF(AI190+IF($B$1+33&lt;=$B190,12*$B$9,-12*$B$8*(1+$B$4)^33)&gt;0,1+$B$3,1))</f>
        <v/>
      </c>
      <c r="AK190">
        <f>IF($B$1+34&gt;90,AJ190,(AJ190+IF($B$1+34&lt;=$B190,12*$B$9,-12*$B$8*(1+$B$4)^34))*IF(AJ190+IF($B$1+34&lt;=$B190,12*$B$9,-12*$B$8*(1+$B$4)^34)&gt;0,1+$B$3,1))</f>
        <v/>
      </c>
      <c r="AL190">
        <f>IF($B$1+35&gt;90,AK190,(AK190+IF($B$1+35&lt;=$B190,12*$B$9,-12*$B$8*(1+$B$4)^35))*IF(AK190+IF($B$1+35&lt;=$B190,12*$B$9,-12*$B$8*(1+$B$4)^35)&gt;0,1+$B$3,1))</f>
        <v/>
      </c>
      <c r="AM190">
        <f>IF($B$1+36&gt;90,AL190,(AL190+IF($B$1+36&lt;=$B190,12*$B$9,-12*$B$8*(1+$B$4)^36))*IF(AL190+IF($B$1+36&lt;=$B190,12*$B$9,-12*$B$8*(1+$B$4)^36)&gt;0,1+$B$3,1))</f>
        <v/>
      </c>
      <c r="AN190">
        <f>IF($B$1+37&gt;90,AM190,(AM190+IF($B$1+37&lt;=$B190,12*$B$9,-12*$B$8*(1+$B$4)^37))*IF(AM190+IF($B$1+37&lt;=$B190,12*$B$9,-12*$B$8*(1+$B$4)^37)&gt;0,1+$B$3,1))</f>
        <v/>
      </c>
      <c r="AO190">
        <f>IF($B$1+38&gt;90,AN190,(AN190+IF($B$1+38&lt;=$B190,12*$B$9,-12*$B$8*(1+$B$4)^38))*IF(AN190+IF($B$1+38&lt;=$B190,12*$B$9,-12*$B$8*(1+$B$4)^38)&gt;0,1+$B$3,1))</f>
        <v/>
      </c>
      <c r="AP190">
        <f>IF($B$1+39&gt;90,AO190,(AO190+IF($B$1+39&lt;=$B190,12*$B$9,-12*$B$8*(1+$B$4)^39))*IF(AO190+IF($B$1+39&lt;=$B190,12*$B$9,-12*$B$8*(1+$B$4)^39)&gt;0,1+$B$3,1))</f>
        <v/>
      </c>
      <c r="AQ190">
        <f>IF($B$1+40&gt;90,AP190,(AP190+IF($B$1+40&lt;=$B190,12*$B$9,-12*$B$8*(1+$B$4)^40))*IF(AP190+IF($B$1+40&lt;=$B190,12*$B$9,-12*$B$8*(1+$B$4)^40)&gt;0,1+$B$3,1))</f>
        <v/>
      </c>
      <c r="AR190">
        <f>IF($B$1+41&gt;90,AQ190,(AQ190+IF($B$1+41&lt;=$B190,12*$B$9,-12*$B$8*(1+$B$4)^41))*IF(AQ190+IF($B$1+41&lt;=$B190,12*$B$9,-12*$B$8*(1+$B$4)^41)&gt;0,1+$B$3,1))</f>
        <v/>
      </c>
      <c r="AS190">
        <f>IF($B$1+42&gt;90,AR190,(AR190+IF($B$1+42&lt;=$B190,12*$B$9,-12*$B$8*(1+$B$4)^42))*IF(AR190+IF($B$1+42&lt;=$B190,12*$B$9,-12*$B$8*(1+$B$4)^42)&gt;0,1+$B$3,1))</f>
        <v/>
      </c>
      <c r="AT190">
        <f>IF($B$1+43&gt;90,AS190,(AS190+IF($B$1+43&lt;=$B190,12*$B$9,-12*$B$8*(1+$B$4)^43))*IF(AS190+IF($B$1+43&lt;=$B190,12*$B$9,-12*$B$8*(1+$B$4)^43)&gt;0,1+$B$3,1))</f>
        <v/>
      </c>
      <c r="AU190">
        <f>IF($B$1+44&gt;90,AT190,(AT190+IF($B$1+44&lt;=$B190,12*$B$9,-12*$B$8*(1+$B$4)^44))*IF(AT190+IF($B$1+44&lt;=$B190,12*$B$9,-12*$B$8*(1+$B$4)^44)&gt;0,1+$B$3,1))</f>
        <v/>
      </c>
      <c r="AV190">
        <f>IF($B$1+45&gt;90,AU190,(AU190+IF($B$1+45&lt;=$B190,12*$B$9,-12*$B$8*(1+$B$4)^45))*IF(AU190+IF($B$1+45&lt;=$B190,12*$B$9,-12*$B$8*(1+$B$4)^45)&gt;0,1+$B$3,1))</f>
        <v/>
      </c>
      <c r="AW190">
        <f>IF($B$1+46&gt;90,AV190,(AV190+IF($B$1+46&lt;=$B190,12*$B$9,-12*$B$8*(1+$B$4)^46))*IF(AV190+IF($B$1+46&lt;=$B190,12*$B$9,-12*$B$8*(1+$B$4)^46)&gt;0,1+$B$3,1))</f>
        <v/>
      </c>
      <c r="AX190">
        <f>IF($B$1+47&gt;90,AW190,(AW190+IF($B$1+47&lt;=$B190,12*$B$9,-12*$B$8*(1+$B$4)^47))*IF(AW190+IF($B$1+47&lt;=$B190,12*$B$9,-12*$B$8*(1+$B$4)^47)&gt;0,1+$B$3,1))</f>
        <v/>
      </c>
      <c r="AY190">
        <f>IF($B$1+48&gt;90,AX190,(AX190+IF($B$1+48&lt;=$B190,12*$B$9,-12*$B$8*(1+$B$4)^48))*IF(AX190+IF($B$1+48&lt;=$B190,12*$B$9,-12*$B$8*(1+$B$4)^48)&gt;0,1+$B$3,1))</f>
        <v/>
      </c>
      <c r="AZ190">
        <f>IF($B$1+49&gt;90,AY190,(AY190+IF($B$1+49&lt;=$B190,12*$B$9,-12*$B$8*(1+$B$4)^49))*IF(AY190+IF($B$1+49&lt;=$B190,12*$B$9,-12*$B$8*(1+$B$4)^49)&gt;0,1+$B$3,1))</f>
        <v/>
      </c>
      <c r="BA190">
        <f>IF($B$1+50&gt;90,AZ190,(AZ190+IF($B$1+50&lt;=$B190,12*$B$9,-12*$B$8*(1+$B$4)^50))*IF(AZ190+IF($B$1+50&lt;=$B190,12*$B$9,-12*$B$8*(1+$B$4)^50)&gt;0,1+$B$3,1))</f>
        <v/>
      </c>
      <c r="BB190">
        <f>IF($B$1+51&gt;90,BA190,(BA190+IF($B$1+51&lt;=$B190,12*$B$9,-12*$B$8*(1+$B$4)^51))*IF(BA190+IF($B$1+51&lt;=$B190,12*$B$9,-12*$B$8*(1+$B$4)^51)&gt;0,1+$B$3,1))</f>
        <v/>
      </c>
      <c r="BC190">
        <f>IF($B$1+52&gt;90,BB190,(BB190+IF($B$1+52&lt;=$B190,12*$B$9,-12*$B$8*(1+$B$4)^52))*IF(BB190+IF($B$1+52&lt;=$B190,12*$B$9,-12*$B$8*(1+$B$4)^52)&gt;0,1+$B$3,1))</f>
        <v/>
      </c>
      <c r="BD190">
        <f>IF($B$1+53&gt;90,BC190,(BC190+IF($B$1+53&lt;=$B190,12*$B$9,-12*$B$8*(1+$B$4)^53))*IF(BC190+IF($B$1+53&lt;=$B190,12*$B$9,-12*$B$8*(1+$B$4)^53)&gt;0,1+$B$3,1))</f>
        <v/>
      </c>
      <c r="BE190">
        <f>IF($B$1+54&gt;90,BD190,(BD190+IF($B$1+54&lt;=$B190,12*$B$9,-12*$B$8*(1+$B$4)^54))*IF(BD190+IF($B$1+54&lt;=$B190,12*$B$9,-12*$B$8*(1+$B$4)^54)&gt;0,1+$B$3,1))</f>
        <v/>
      </c>
      <c r="BF190">
        <f>IF($B$1+55&gt;90,BE190,(BE190+IF($B$1+55&lt;=$B190,12*$B$9,-12*$B$8*(1+$B$4)^55))*IF(BE190+IF($B$1+55&lt;=$B190,12*$B$9,-12*$B$8*(1+$B$4)^55)&gt;0,1+$B$3,1))</f>
        <v/>
      </c>
      <c r="BG190">
        <f>IF($B$1+56&gt;90,BF190,(BF190+IF($B$1+56&lt;=$B190,12*$B$9,-12*$B$8*(1+$B$4)^56))*IF(BF190+IF($B$1+56&lt;=$B190,12*$B$9,-12*$B$8*(1+$B$4)^56)&gt;0,1+$B$3,1))</f>
        <v/>
      </c>
      <c r="BH190">
        <f>IF($B$1+57&gt;90,BG190,(BG190+IF($B$1+57&lt;=$B190,12*$B$9,-12*$B$8*(1+$B$4)^57))*IF(BG190+IF($B$1+57&lt;=$B190,12*$B$9,-12*$B$8*(1+$B$4)^57)&gt;0,1+$B$3,1))</f>
        <v/>
      </c>
      <c r="BI190">
        <f>IF($B$1+58&gt;90,BH190,(BH190+IF($B$1+58&lt;=$B190,12*$B$9,-12*$B$8*(1+$B$4)^58))*IF(BH190+IF($B$1+58&lt;=$B190,12*$B$9,-12*$B$8*(1+$B$4)^58)&gt;0,1+$B$3,1))</f>
        <v/>
      </c>
      <c r="BJ190">
        <f>IF($B$1+59&gt;90,BI190,(BI190+IF($B$1+59&lt;=$B190,12*$B$9,-12*$B$8*(1+$B$4)^59))*IF(BI190+IF($B$1+59&lt;=$B190,12*$B$9,-12*$B$8*(1+$B$4)^59)&gt;0,1+$B$3,1))</f>
        <v/>
      </c>
      <c r="BK190">
        <f>IF($B$1+60&gt;90,BJ190,(BJ190+IF($B$1+60&lt;=$B190,12*$B$9,-12*$B$8*(1+$B$4)^60))*IF(BJ190+IF($B$1+60&lt;=$B190,12*$B$9,-12*$B$8*(1+$B$4)^60)&gt;0,1+$B$3,1))</f>
        <v/>
      </c>
      <c r="BL190">
        <f>IF($B$1+61&gt;90,BK190,(BK190+IF($B$1+61&lt;=$B190,12*$B$9,-12*$B$8*(1+$B$4)^61))*IF(BK190+IF($B$1+61&lt;=$B190,12*$B$9,-12*$B$8*(1+$B$4)^61)&gt;0,1+$B$3,1))</f>
        <v/>
      </c>
      <c r="BM190">
        <f>IF($B$1+62&gt;90,BL190,(BL190+IF($B$1+62&lt;=$B190,12*$B$9,-12*$B$8*(1+$B$4)^62))*IF(BL190+IF($B$1+62&lt;=$B190,12*$B$9,-12*$B$8*(1+$B$4)^62)&gt;0,1+$B$3,1))</f>
        <v/>
      </c>
      <c r="BN190">
        <f>IF($B$1+63&gt;90,BM190,(BM190+IF($B$1+63&lt;=$B190,12*$B$9,-12*$B$8*(1+$B$4)^63))*IF(BM190+IF($B$1+63&lt;=$B190,12*$B$9,-12*$B$8*(1+$B$4)^63)&gt;0,1+$B$3,1))</f>
        <v/>
      </c>
      <c r="BO190">
        <f>IF($B$1+64&gt;90,BN190,(BN190+IF($B$1+64&lt;=$B190,12*$B$9,-12*$B$8*(1+$B$4)^64))*IF(BN190+IF($B$1+64&lt;=$B190,12*$B$9,-12*$B$8*(1+$B$4)^64)&gt;0,1+$B$3,1))</f>
        <v/>
      </c>
      <c r="BP190">
        <f>IF($B$1+65&gt;90,BO190,(BO190+IF($B$1+65&lt;=$B190,12*$B$9,-12*$B$8*(1+$B$4)^65))*IF(BO190+IF($B$1+65&lt;=$B190,12*$B$9,-12*$B$8*(1+$B$4)^65)&gt;0,1+$B$3,1))</f>
        <v/>
      </c>
      <c r="BQ190">
        <f>IF($B$1+66&gt;90,BP190,(BP190+IF($B$1+66&lt;=$B190,12*$B$9,-12*$B$8*(1+$B$4)^66))*IF(BP190+IF($B$1+66&lt;=$B190,12*$B$9,-12*$B$8*(1+$B$4)^66)&gt;0,1+$B$3,1))</f>
        <v/>
      </c>
      <c r="BR190">
        <f>IF($B$1+67&gt;90,BQ190,(BQ190+IF($B$1+67&lt;=$B190,12*$B$9,-12*$B$8*(1+$B$4)^67))*IF(BQ190+IF($B$1+67&lt;=$B190,12*$B$9,-12*$B$8*(1+$B$4)^67)&gt;0,1+$B$3,1))</f>
        <v/>
      </c>
      <c r="BS190">
        <f>IF($B$1+68&gt;90,BR190,(BR190+IF($B$1+68&lt;=$B190,12*$B$9,-12*$B$8*(1+$B$4)^68))*IF(BR190+IF($B$1+68&lt;=$B190,12*$B$9,-12*$B$8*(1+$B$4)^68)&gt;0,1+$B$3,1))</f>
        <v/>
      </c>
      <c r="BT190">
        <f>IF($B$1+69&gt;90,BS190,(BS190+IF($B$1+69&lt;=$B190,12*$B$9,-12*$B$8*(1+$B$4)^69))*IF(BS190+IF($B$1+69&lt;=$B190,12*$B$9,-12*$B$8*(1+$B$4)^69)&gt;0,1+$B$3,1))</f>
        <v/>
      </c>
      <c r="BU190">
        <f>IF($B$1+70&gt;90,BT190,(BT190+IF($B$1+70&lt;=$B190,12*$B$9,-12*$B$8*(1+$B$4)^70))*IF(BT190+IF($B$1+70&lt;=$B190,12*$B$9,-12*$B$8*(1+$B$4)^70)&gt;0,1+$B$3,1))</f>
        <v/>
      </c>
      <c r="BV190">
        <f>BU190</f>
        <v/>
      </c>
      <c r="BW190">
        <f>IF(AND($B190&lt;=70,BV190&gt;0),$B190,999)</f>
        <v/>
      </c>
    </row>
    <row r="191">
      <c r="A191" t="n">
        <v>39</v>
      </c>
      <c r="B191">
        <f>$B$1+39</f>
        <v/>
      </c>
      <c r="C191">
        <f>$B$2</f>
        <v/>
      </c>
      <c r="D191">
        <f>IF($B$1+1&gt;90,C191,(C191+IF($B$1+1&lt;=$B191,12*$B$9,-12*$B$8*(1+$B$4)^1))*IF(C191+IF($B$1+1&lt;=$B191,12*$B$9,-12*$B$8*(1+$B$4)^1)&gt;0,1+$B$3,1))</f>
        <v/>
      </c>
      <c r="E191">
        <f>IF($B$1+2&gt;90,D191,(D191+IF($B$1+2&lt;=$B191,12*$B$9,-12*$B$8*(1+$B$4)^2))*IF(D191+IF($B$1+2&lt;=$B191,12*$B$9,-12*$B$8*(1+$B$4)^2)&gt;0,1+$B$3,1))</f>
        <v/>
      </c>
      <c r="F191">
        <f>IF($B$1+3&gt;90,E191,(E191+IF($B$1+3&lt;=$B191,12*$B$9,-12*$B$8*(1+$B$4)^3))*IF(E191+IF($B$1+3&lt;=$B191,12*$B$9,-12*$B$8*(1+$B$4)^3)&gt;0,1+$B$3,1))</f>
        <v/>
      </c>
      <c r="G191">
        <f>IF($B$1+4&gt;90,F191,(F191+IF($B$1+4&lt;=$B191,12*$B$9,-12*$B$8*(1+$B$4)^4))*IF(F191+IF($B$1+4&lt;=$B191,12*$B$9,-12*$B$8*(1+$B$4)^4)&gt;0,1+$B$3,1))</f>
        <v/>
      </c>
      <c r="H191">
        <f>IF($B$1+5&gt;90,G191,(G191+IF($B$1+5&lt;=$B191,12*$B$9,-12*$B$8*(1+$B$4)^5))*IF(G191+IF($B$1+5&lt;=$B191,12*$B$9,-12*$B$8*(1+$B$4)^5)&gt;0,1+$B$3,1))</f>
        <v/>
      </c>
      <c r="I191">
        <f>IF($B$1+6&gt;90,H191,(H191+IF($B$1+6&lt;=$B191,12*$B$9,-12*$B$8*(1+$B$4)^6))*IF(H191+IF($B$1+6&lt;=$B191,12*$B$9,-12*$B$8*(1+$B$4)^6)&gt;0,1+$B$3,1))</f>
        <v/>
      </c>
      <c r="J191">
        <f>IF($B$1+7&gt;90,I191,(I191+IF($B$1+7&lt;=$B191,12*$B$9,-12*$B$8*(1+$B$4)^7))*IF(I191+IF($B$1+7&lt;=$B191,12*$B$9,-12*$B$8*(1+$B$4)^7)&gt;0,1+$B$3,1))</f>
        <v/>
      </c>
      <c r="K191">
        <f>IF($B$1+8&gt;90,J191,(J191+IF($B$1+8&lt;=$B191,12*$B$9,-12*$B$8*(1+$B$4)^8))*IF(J191+IF($B$1+8&lt;=$B191,12*$B$9,-12*$B$8*(1+$B$4)^8)&gt;0,1+$B$3,1))</f>
        <v/>
      </c>
      <c r="L191">
        <f>IF($B$1+9&gt;90,K191,(K191+IF($B$1+9&lt;=$B191,12*$B$9,-12*$B$8*(1+$B$4)^9))*IF(K191+IF($B$1+9&lt;=$B191,12*$B$9,-12*$B$8*(1+$B$4)^9)&gt;0,1+$B$3,1))</f>
        <v/>
      </c>
      <c r="M191">
        <f>IF($B$1+10&gt;90,L191,(L191+IF($B$1+10&lt;=$B191,12*$B$9,-12*$B$8*(1+$B$4)^10))*IF(L191+IF($B$1+10&lt;=$B191,12*$B$9,-12*$B$8*(1+$B$4)^10)&gt;0,1+$B$3,1))</f>
        <v/>
      </c>
      <c r="N191">
        <f>IF($B$1+11&gt;90,M191,(M191+IF($B$1+11&lt;=$B191,12*$B$9,-12*$B$8*(1+$B$4)^11))*IF(M191+IF($B$1+11&lt;=$B191,12*$B$9,-12*$B$8*(1+$B$4)^11)&gt;0,1+$B$3,1))</f>
        <v/>
      </c>
      <c r="O191">
        <f>IF($B$1+12&gt;90,N191,(N191+IF($B$1+12&lt;=$B191,12*$B$9,-12*$B$8*(1+$B$4)^12))*IF(N191+IF($B$1+12&lt;=$B191,12*$B$9,-12*$B$8*(1+$B$4)^12)&gt;0,1+$B$3,1))</f>
        <v/>
      </c>
      <c r="P191">
        <f>IF($B$1+13&gt;90,O191,(O191+IF($B$1+13&lt;=$B191,12*$B$9,-12*$B$8*(1+$B$4)^13))*IF(O191+IF($B$1+13&lt;=$B191,12*$B$9,-12*$B$8*(1+$B$4)^13)&gt;0,1+$B$3,1))</f>
        <v/>
      </c>
      <c r="Q191">
        <f>IF($B$1+14&gt;90,P191,(P191+IF($B$1+14&lt;=$B191,12*$B$9,-12*$B$8*(1+$B$4)^14))*IF(P191+IF($B$1+14&lt;=$B191,12*$B$9,-12*$B$8*(1+$B$4)^14)&gt;0,1+$B$3,1))</f>
        <v/>
      </c>
      <c r="R191">
        <f>IF($B$1+15&gt;90,Q191,(Q191+IF($B$1+15&lt;=$B191,12*$B$9,-12*$B$8*(1+$B$4)^15))*IF(Q191+IF($B$1+15&lt;=$B191,12*$B$9,-12*$B$8*(1+$B$4)^15)&gt;0,1+$B$3,1))</f>
        <v/>
      </c>
      <c r="S191">
        <f>IF($B$1+16&gt;90,R191,(R191+IF($B$1+16&lt;=$B191,12*$B$9,-12*$B$8*(1+$B$4)^16))*IF(R191+IF($B$1+16&lt;=$B191,12*$B$9,-12*$B$8*(1+$B$4)^16)&gt;0,1+$B$3,1))</f>
        <v/>
      </c>
      <c r="T191">
        <f>IF($B$1+17&gt;90,S191,(S191+IF($B$1+17&lt;=$B191,12*$B$9,-12*$B$8*(1+$B$4)^17))*IF(S191+IF($B$1+17&lt;=$B191,12*$B$9,-12*$B$8*(1+$B$4)^17)&gt;0,1+$B$3,1))</f>
        <v/>
      </c>
      <c r="U191">
        <f>IF($B$1+18&gt;90,T191,(T191+IF($B$1+18&lt;=$B191,12*$B$9,-12*$B$8*(1+$B$4)^18))*IF(T191+IF($B$1+18&lt;=$B191,12*$B$9,-12*$B$8*(1+$B$4)^18)&gt;0,1+$B$3,1))</f>
        <v/>
      </c>
      <c r="V191">
        <f>IF($B$1+19&gt;90,U191,(U191+IF($B$1+19&lt;=$B191,12*$B$9,-12*$B$8*(1+$B$4)^19))*IF(U191+IF($B$1+19&lt;=$B191,12*$B$9,-12*$B$8*(1+$B$4)^19)&gt;0,1+$B$3,1))</f>
        <v/>
      </c>
      <c r="W191">
        <f>IF($B$1+20&gt;90,V191,(V191+IF($B$1+20&lt;=$B191,12*$B$9,-12*$B$8*(1+$B$4)^20))*IF(V191+IF($B$1+20&lt;=$B191,12*$B$9,-12*$B$8*(1+$B$4)^20)&gt;0,1+$B$3,1))</f>
        <v/>
      </c>
      <c r="X191">
        <f>IF($B$1+21&gt;90,W191,(W191+IF($B$1+21&lt;=$B191,12*$B$9,-12*$B$8*(1+$B$4)^21))*IF(W191+IF($B$1+21&lt;=$B191,12*$B$9,-12*$B$8*(1+$B$4)^21)&gt;0,1+$B$3,1))</f>
        <v/>
      </c>
      <c r="Y191">
        <f>IF($B$1+22&gt;90,X191,(X191+IF($B$1+22&lt;=$B191,12*$B$9,-12*$B$8*(1+$B$4)^22))*IF(X191+IF($B$1+22&lt;=$B191,12*$B$9,-12*$B$8*(1+$B$4)^22)&gt;0,1+$B$3,1))</f>
        <v/>
      </c>
      <c r="Z191">
        <f>IF($B$1+23&gt;90,Y191,(Y191+IF($B$1+23&lt;=$B191,12*$B$9,-12*$B$8*(1+$B$4)^23))*IF(Y191+IF($B$1+23&lt;=$B191,12*$B$9,-12*$B$8*(1+$B$4)^23)&gt;0,1+$B$3,1))</f>
        <v/>
      </c>
      <c r="AA191">
        <f>IF($B$1+24&gt;90,Z191,(Z191+IF($B$1+24&lt;=$B191,12*$B$9,-12*$B$8*(1+$B$4)^24))*IF(Z191+IF($B$1+24&lt;=$B191,12*$B$9,-12*$B$8*(1+$B$4)^24)&gt;0,1+$B$3,1))</f>
        <v/>
      </c>
      <c r="AB191">
        <f>IF($B$1+25&gt;90,AA191,(AA191+IF($B$1+25&lt;=$B191,12*$B$9,-12*$B$8*(1+$B$4)^25))*IF(AA191+IF($B$1+25&lt;=$B191,12*$B$9,-12*$B$8*(1+$B$4)^25)&gt;0,1+$B$3,1))</f>
        <v/>
      </c>
      <c r="AC191">
        <f>IF($B$1+26&gt;90,AB191,(AB191+IF($B$1+26&lt;=$B191,12*$B$9,-12*$B$8*(1+$B$4)^26))*IF(AB191+IF($B$1+26&lt;=$B191,12*$B$9,-12*$B$8*(1+$B$4)^26)&gt;0,1+$B$3,1))</f>
        <v/>
      </c>
      <c r="AD191">
        <f>IF($B$1+27&gt;90,AC191,(AC191+IF($B$1+27&lt;=$B191,12*$B$9,-12*$B$8*(1+$B$4)^27))*IF(AC191+IF($B$1+27&lt;=$B191,12*$B$9,-12*$B$8*(1+$B$4)^27)&gt;0,1+$B$3,1))</f>
        <v/>
      </c>
      <c r="AE191">
        <f>IF($B$1+28&gt;90,AD191,(AD191+IF($B$1+28&lt;=$B191,12*$B$9,-12*$B$8*(1+$B$4)^28))*IF(AD191+IF($B$1+28&lt;=$B191,12*$B$9,-12*$B$8*(1+$B$4)^28)&gt;0,1+$B$3,1))</f>
        <v/>
      </c>
      <c r="AF191">
        <f>IF($B$1+29&gt;90,AE191,(AE191+IF($B$1+29&lt;=$B191,12*$B$9,-12*$B$8*(1+$B$4)^29))*IF(AE191+IF($B$1+29&lt;=$B191,12*$B$9,-12*$B$8*(1+$B$4)^29)&gt;0,1+$B$3,1))</f>
        <v/>
      </c>
      <c r="AG191">
        <f>IF($B$1+30&gt;90,AF191,(AF191+IF($B$1+30&lt;=$B191,12*$B$9,-12*$B$8*(1+$B$4)^30))*IF(AF191+IF($B$1+30&lt;=$B191,12*$B$9,-12*$B$8*(1+$B$4)^30)&gt;0,1+$B$3,1))</f>
        <v/>
      </c>
      <c r="AH191">
        <f>IF($B$1+31&gt;90,AG191,(AG191+IF($B$1+31&lt;=$B191,12*$B$9,-12*$B$8*(1+$B$4)^31))*IF(AG191+IF($B$1+31&lt;=$B191,12*$B$9,-12*$B$8*(1+$B$4)^31)&gt;0,1+$B$3,1))</f>
        <v/>
      </c>
      <c r="AI191">
        <f>IF($B$1+32&gt;90,AH191,(AH191+IF($B$1+32&lt;=$B191,12*$B$9,-12*$B$8*(1+$B$4)^32))*IF(AH191+IF($B$1+32&lt;=$B191,12*$B$9,-12*$B$8*(1+$B$4)^32)&gt;0,1+$B$3,1))</f>
        <v/>
      </c>
      <c r="AJ191">
        <f>IF($B$1+33&gt;90,AI191,(AI191+IF($B$1+33&lt;=$B191,12*$B$9,-12*$B$8*(1+$B$4)^33))*IF(AI191+IF($B$1+33&lt;=$B191,12*$B$9,-12*$B$8*(1+$B$4)^33)&gt;0,1+$B$3,1))</f>
        <v/>
      </c>
      <c r="AK191">
        <f>IF($B$1+34&gt;90,AJ191,(AJ191+IF($B$1+34&lt;=$B191,12*$B$9,-12*$B$8*(1+$B$4)^34))*IF(AJ191+IF($B$1+34&lt;=$B191,12*$B$9,-12*$B$8*(1+$B$4)^34)&gt;0,1+$B$3,1))</f>
        <v/>
      </c>
      <c r="AL191">
        <f>IF($B$1+35&gt;90,AK191,(AK191+IF($B$1+35&lt;=$B191,12*$B$9,-12*$B$8*(1+$B$4)^35))*IF(AK191+IF($B$1+35&lt;=$B191,12*$B$9,-12*$B$8*(1+$B$4)^35)&gt;0,1+$B$3,1))</f>
        <v/>
      </c>
      <c r="AM191">
        <f>IF($B$1+36&gt;90,AL191,(AL191+IF($B$1+36&lt;=$B191,12*$B$9,-12*$B$8*(1+$B$4)^36))*IF(AL191+IF($B$1+36&lt;=$B191,12*$B$9,-12*$B$8*(1+$B$4)^36)&gt;0,1+$B$3,1))</f>
        <v/>
      </c>
      <c r="AN191">
        <f>IF($B$1+37&gt;90,AM191,(AM191+IF($B$1+37&lt;=$B191,12*$B$9,-12*$B$8*(1+$B$4)^37))*IF(AM191+IF($B$1+37&lt;=$B191,12*$B$9,-12*$B$8*(1+$B$4)^37)&gt;0,1+$B$3,1))</f>
        <v/>
      </c>
      <c r="AO191">
        <f>IF($B$1+38&gt;90,AN191,(AN191+IF($B$1+38&lt;=$B191,12*$B$9,-12*$B$8*(1+$B$4)^38))*IF(AN191+IF($B$1+38&lt;=$B191,12*$B$9,-12*$B$8*(1+$B$4)^38)&gt;0,1+$B$3,1))</f>
        <v/>
      </c>
      <c r="AP191">
        <f>IF($B$1+39&gt;90,AO191,(AO191+IF($B$1+39&lt;=$B191,12*$B$9,-12*$B$8*(1+$B$4)^39))*IF(AO191+IF($B$1+39&lt;=$B191,12*$B$9,-12*$B$8*(1+$B$4)^39)&gt;0,1+$B$3,1))</f>
        <v/>
      </c>
      <c r="AQ191">
        <f>IF($B$1+40&gt;90,AP191,(AP191+IF($B$1+40&lt;=$B191,12*$B$9,-12*$B$8*(1+$B$4)^40))*IF(AP191+IF($B$1+40&lt;=$B191,12*$B$9,-12*$B$8*(1+$B$4)^40)&gt;0,1+$B$3,1))</f>
        <v/>
      </c>
      <c r="AR191">
        <f>IF($B$1+41&gt;90,AQ191,(AQ191+IF($B$1+41&lt;=$B191,12*$B$9,-12*$B$8*(1+$B$4)^41))*IF(AQ191+IF($B$1+41&lt;=$B191,12*$B$9,-12*$B$8*(1+$B$4)^41)&gt;0,1+$B$3,1))</f>
        <v/>
      </c>
      <c r="AS191">
        <f>IF($B$1+42&gt;90,AR191,(AR191+IF($B$1+42&lt;=$B191,12*$B$9,-12*$B$8*(1+$B$4)^42))*IF(AR191+IF($B$1+42&lt;=$B191,12*$B$9,-12*$B$8*(1+$B$4)^42)&gt;0,1+$B$3,1))</f>
        <v/>
      </c>
      <c r="AT191">
        <f>IF($B$1+43&gt;90,AS191,(AS191+IF($B$1+43&lt;=$B191,12*$B$9,-12*$B$8*(1+$B$4)^43))*IF(AS191+IF($B$1+43&lt;=$B191,12*$B$9,-12*$B$8*(1+$B$4)^43)&gt;0,1+$B$3,1))</f>
        <v/>
      </c>
      <c r="AU191">
        <f>IF($B$1+44&gt;90,AT191,(AT191+IF($B$1+44&lt;=$B191,12*$B$9,-12*$B$8*(1+$B$4)^44))*IF(AT191+IF($B$1+44&lt;=$B191,12*$B$9,-12*$B$8*(1+$B$4)^44)&gt;0,1+$B$3,1))</f>
        <v/>
      </c>
      <c r="AV191">
        <f>IF($B$1+45&gt;90,AU191,(AU191+IF($B$1+45&lt;=$B191,12*$B$9,-12*$B$8*(1+$B$4)^45))*IF(AU191+IF($B$1+45&lt;=$B191,12*$B$9,-12*$B$8*(1+$B$4)^45)&gt;0,1+$B$3,1))</f>
        <v/>
      </c>
      <c r="AW191">
        <f>IF($B$1+46&gt;90,AV191,(AV191+IF($B$1+46&lt;=$B191,12*$B$9,-12*$B$8*(1+$B$4)^46))*IF(AV191+IF($B$1+46&lt;=$B191,12*$B$9,-12*$B$8*(1+$B$4)^46)&gt;0,1+$B$3,1))</f>
        <v/>
      </c>
      <c r="AX191">
        <f>IF($B$1+47&gt;90,AW191,(AW191+IF($B$1+47&lt;=$B191,12*$B$9,-12*$B$8*(1+$B$4)^47))*IF(AW191+IF($B$1+47&lt;=$B191,12*$B$9,-12*$B$8*(1+$B$4)^47)&gt;0,1+$B$3,1))</f>
        <v/>
      </c>
      <c r="AY191">
        <f>IF($B$1+48&gt;90,AX191,(AX191+IF($B$1+48&lt;=$B191,12*$B$9,-12*$B$8*(1+$B$4)^48))*IF(AX191+IF($B$1+48&lt;=$B191,12*$B$9,-12*$B$8*(1+$B$4)^48)&gt;0,1+$B$3,1))</f>
        <v/>
      </c>
      <c r="AZ191">
        <f>IF($B$1+49&gt;90,AY191,(AY191+IF($B$1+49&lt;=$B191,12*$B$9,-12*$B$8*(1+$B$4)^49))*IF(AY191+IF($B$1+49&lt;=$B191,12*$B$9,-12*$B$8*(1+$B$4)^49)&gt;0,1+$B$3,1))</f>
        <v/>
      </c>
      <c r="BA191">
        <f>IF($B$1+50&gt;90,AZ191,(AZ191+IF($B$1+50&lt;=$B191,12*$B$9,-12*$B$8*(1+$B$4)^50))*IF(AZ191+IF($B$1+50&lt;=$B191,12*$B$9,-12*$B$8*(1+$B$4)^50)&gt;0,1+$B$3,1))</f>
        <v/>
      </c>
      <c r="BB191">
        <f>IF($B$1+51&gt;90,BA191,(BA191+IF($B$1+51&lt;=$B191,12*$B$9,-12*$B$8*(1+$B$4)^51))*IF(BA191+IF($B$1+51&lt;=$B191,12*$B$9,-12*$B$8*(1+$B$4)^51)&gt;0,1+$B$3,1))</f>
        <v/>
      </c>
      <c r="BC191">
        <f>IF($B$1+52&gt;90,BB191,(BB191+IF($B$1+52&lt;=$B191,12*$B$9,-12*$B$8*(1+$B$4)^52))*IF(BB191+IF($B$1+52&lt;=$B191,12*$B$9,-12*$B$8*(1+$B$4)^52)&gt;0,1+$B$3,1))</f>
        <v/>
      </c>
      <c r="BD191">
        <f>IF($B$1+53&gt;90,BC191,(BC191+IF($B$1+53&lt;=$B191,12*$B$9,-12*$B$8*(1+$B$4)^53))*IF(BC191+IF($B$1+53&lt;=$B191,12*$B$9,-12*$B$8*(1+$B$4)^53)&gt;0,1+$B$3,1))</f>
        <v/>
      </c>
      <c r="BE191">
        <f>IF($B$1+54&gt;90,BD191,(BD191+IF($B$1+54&lt;=$B191,12*$B$9,-12*$B$8*(1+$B$4)^54))*IF(BD191+IF($B$1+54&lt;=$B191,12*$B$9,-12*$B$8*(1+$B$4)^54)&gt;0,1+$B$3,1))</f>
        <v/>
      </c>
      <c r="BF191">
        <f>IF($B$1+55&gt;90,BE191,(BE191+IF($B$1+55&lt;=$B191,12*$B$9,-12*$B$8*(1+$B$4)^55))*IF(BE191+IF($B$1+55&lt;=$B191,12*$B$9,-12*$B$8*(1+$B$4)^55)&gt;0,1+$B$3,1))</f>
        <v/>
      </c>
      <c r="BG191">
        <f>IF($B$1+56&gt;90,BF191,(BF191+IF($B$1+56&lt;=$B191,12*$B$9,-12*$B$8*(1+$B$4)^56))*IF(BF191+IF($B$1+56&lt;=$B191,12*$B$9,-12*$B$8*(1+$B$4)^56)&gt;0,1+$B$3,1))</f>
        <v/>
      </c>
      <c r="BH191">
        <f>IF($B$1+57&gt;90,BG191,(BG191+IF($B$1+57&lt;=$B191,12*$B$9,-12*$B$8*(1+$B$4)^57))*IF(BG191+IF($B$1+57&lt;=$B191,12*$B$9,-12*$B$8*(1+$B$4)^57)&gt;0,1+$B$3,1))</f>
        <v/>
      </c>
      <c r="BI191">
        <f>IF($B$1+58&gt;90,BH191,(BH191+IF($B$1+58&lt;=$B191,12*$B$9,-12*$B$8*(1+$B$4)^58))*IF(BH191+IF($B$1+58&lt;=$B191,12*$B$9,-12*$B$8*(1+$B$4)^58)&gt;0,1+$B$3,1))</f>
        <v/>
      </c>
      <c r="BJ191">
        <f>IF($B$1+59&gt;90,BI191,(BI191+IF($B$1+59&lt;=$B191,12*$B$9,-12*$B$8*(1+$B$4)^59))*IF(BI191+IF($B$1+59&lt;=$B191,12*$B$9,-12*$B$8*(1+$B$4)^59)&gt;0,1+$B$3,1))</f>
        <v/>
      </c>
      <c r="BK191">
        <f>IF($B$1+60&gt;90,BJ191,(BJ191+IF($B$1+60&lt;=$B191,12*$B$9,-12*$B$8*(1+$B$4)^60))*IF(BJ191+IF($B$1+60&lt;=$B191,12*$B$9,-12*$B$8*(1+$B$4)^60)&gt;0,1+$B$3,1))</f>
        <v/>
      </c>
      <c r="BL191">
        <f>IF($B$1+61&gt;90,BK191,(BK191+IF($B$1+61&lt;=$B191,12*$B$9,-12*$B$8*(1+$B$4)^61))*IF(BK191+IF($B$1+61&lt;=$B191,12*$B$9,-12*$B$8*(1+$B$4)^61)&gt;0,1+$B$3,1))</f>
        <v/>
      </c>
      <c r="BM191">
        <f>IF($B$1+62&gt;90,BL191,(BL191+IF($B$1+62&lt;=$B191,12*$B$9,-12*$B$8*(1+$B$4)^62))*IF(BL191+IF($B$1+62&lt;=$B191,12*$B$9,-12*$B$8*(1+$B$4)^62)&gt;0,1+$B$3,1))</f>
        <v/>
      </c>
      <c r="BN191">
        <f>IF($B$1+63&gt;90,BM191,(BM191+IF($B$1+63&lt;=$B191,12*$B$9,-12*$B$8*(1+$B$4)^63))*IF(BM191+IF($B$1+63&lt;=$B191,12*$B$9,-12*$B$8*(1+$B$4)^63)&gt;0,1+$B$3,1))</f>
        <v/>
      </c>
      <c r="BO191">
        <f>IF($B$1+64&gt;90,BN191,(BN191+IF($B$1+64&lt;=$B191,12*$B$9,-12*$B$8*(1+$B$4)^64))*IF(BN191+IF($B$1+64&lt;=$B191,12*$B$9,-12*$B$8*(1+$B$4)^64)&gt;0,1+$B$3,1))</f>
        <v/>
      </c>
      <c r="BP191">
        <f>IF($B$1+65&gt;90,BO191,(BO191+IF($B$1+65&lt;=$B191,12*$B$9,-12*$B$8*(1+$B$4)^65))*IF(BO191+IF($B$1+65&lt;=$B191,12*$B$9,-12*$B$8*(1+$B$4)^65)&gt;0,1+$B$3,1))</f>
        <v/>
      </c>
      <c r="BQ191">
        <f>IF($B$1+66&gt;90,BP191,(BP191+IF($B$1+66&lt;=$B191,12*$B$9,-12*$B$8*(1+$B$4)^66))*IF(BP191+IF($B$1+66&lt;=$B191,12*$B$9,-12*$B$8*(1+$B$4)^66)&gt;0,1+$B$3,1))</f>
        <v/>
      </c>
      <c r="BR191">
        <f>IF($B$1+67&gt;90,BQ191,(BQ191+IF($B$1+67&lt;=$B191,12*$B$9,-12*$B$8*(1+$B$4)^67))*IF(BQ191+IF($B$1+67&lt;=$B191,12*$B$9,-12*$B$8*(1+$B$4)^67)&gt;0,1+$B$3,1))</f>
        <v/>
      </c>
      <c r="BS191">
        <f>IF($B$1+68&gt;90,BR191,(BR191+IF($B$1+68&lt;=$B191,12*$B$9,-12*$B$8*(1+$B$4)^68))*IF(BR191+IF($B$1+68&lt;=$B191,12*$B$9,-12*$B$8*(1+$B$4)^68)&gt;0,1+$B$3,1))</f>
        <v/>
      </c>
      <c r="BT191">
        <f>IF($B$1+69&gt;90,BS191,(BS191+IF($B$1+69&lt;=$B191,12*$B$9,-12*$B$8*(1+$B$4)^69))*IF(BS191+IF($B$1+69&lt;=$B191,12*$B$9,-12*$B$8*(1+$B$4)^69)&gt;0,1+$B$3,1))</f>
        <v/>
      </c>
      <c r="BU191">
        <f>IF($B$1+70&gt;90,BT191,(BT191+IF($B$1+70&lt;=$B191,12*$B$9,-12*$B$8*(1+$B$4)^70))*IF(BT191+IF($B$1+70&lt;=$B191,12*$B$9,-12*$B$8*(1+$B$4)^70)&gt;0,1+$B$3,1))</f>
        <v/>
      </c>
      <c r="BV191">
        <f>BU191</f>
        <v/>
      </c>
      <c r="BW191">
        <f>IF(AND($B191&lt;=70,BV191&gt;0),$B191,999)</f>
        <v/>
      </c>
    </row>
    <row r="192">
      <c r="A192" t="n">
        <v>40</v>
      </c>
      <c r="B192">
        <f>$B$1+40</f>
        <v/>
      </c>
      <c r="C192">
        <f>$B$2</f>
        <v/>
      </c>
      <c r="D192">
        <f>IF($B$1+1&gt;90,C192,(C192+IF($B$1+1&lt;=$B192,12*$B$9,-12*$B$8*(1+$B$4)^1))*IF(C192+IF($B$1+1&lt;=$B192,12*$B$9,-12*$B$8*(1+$B$4)^1)&gt;0,1+$B$3,1))</f>
        <v/>
      </c>
      <c r="E192">
        <f>IF($B$1+2&gt;90,D192,(D192+IF($B$1+2&lt;=$B192,12*$B$9,-12*$B$8*(1+$B$4)^2))*IF(D192+IF($B$1+2&lt;=$B192,12*$B$9,-12*$B$8*(1+$B$4)^2)&gt;0,1+$B$3,1))</f>
        <v/>
      </c>
      <c r="F192">
        <f>IF($B$1+3&gt;90,E192,(E192+IF($B$1+3&lt;=$B192,12*$B$9,-12*$B$8*(1+$B$4)^3))*IF(E192+IF($B$1+3&lt;=$B192,12*$B$9,-12*$B$8*(1+$B$4)^3)&gt;0,1+$B$3,1))</f>
        <v/>
      </c>
      <c r="G192">
        <f>IF($B$1+4&gt;90,F192,(F192+IF($B$1+4&lt;=$B192,12*$B$9,-12*$B$8*(1+$B$4)^4))*IF(F192+IF($B$1+4&lt;=$B192,12*$B$9,-12*$B$8*(1+$B$4)^4)&gt;0,1+$B$3,1))</f>
        <v/>
      </c>
      <c r="H192">
        <f>IF($B$1+5&gt;90,G192,(G192+IF($B$1+5&lt;=$B192,12*$B$9,-12*$B$8*(1+$B$4)^5))*IF(G192+IF($B$1+5&lt;=$B192,12*$B$9,-12*$B$8*(1+$B$4)^5)&gt;0,1+$B$3,1))</f>
        <v/>
      </c>
      <c r="I192">
        <f>IF($B$1+6&gt;90,H192,(H192+IF($B$1+6&lt;=$B192,12*$B$9,-12*$B$8*(1+$B$4)^6))*IF(H192+IF($B$1+6&lt;=$B192,12*$B$9,-12*$B$8*(1+$B$4)^6)&gt;0,1+$B$3,1))</f>
        <v/>
      </c>
      <c r="J192">
        <f>IF($B$1+7&gt;90,I192,(I192+IF($B$1+7&lt;=$B192,12*$B$9,-12*$B$8*(1+$B$4)^7))*IF(I192+IF($B$1+7&lt;=$B192,12*$B$9,-12*$B$8*(1+$B$4)^7)&gt;0,1+$B$3,1))</f>
        <v/>
      </c>
      <c r="K192">
        <f>IF($B$1+8&gt;90,J192,(J192+IF($B$1+8&lt;=$B192,12*$B$9,-12*$B$8*(1+$B$4)^8))*IF(J192+IF($B$1+8&lt;=$B192,12*$B$9,-12*$B$8*(1+$B$4)^8)&gt;0,1+$B$3,1))</f>
        <v/>
      </c>
      <c r="L192">
        <f>IF($B$1+9&gt;90,K192,(K192+IF($B$1+9&lt;=$B192,12*$B$9,-12*$B$8*(1+$B$4)^9))*IF(K192+IF($B$1+9&lt;=$B192,12*$B$9,-12*$B$8*(1+$B$4)^9)&gt;0,1+$B$3,1))</f>
        <v/>
      </c>
      <c r="M192">
        <f>IF($B$1+10&gt;90,L192,(L192+IF($B$1+10&lt;=$B192,12*$B$9,-12*$B$8*(1+$B$4)^10))*IF(L192+IF($B$1+10&lt;=$B192,12*$B$9,-12*$B$8*(1+$B$4)^10)&gt;0,1+$B$3,1))</f>
        <v/>
      </c>
      <c r="N192">
        <f>IF($B$1+11&gt;90,M192,(M192+IF($B$1+11&lt;=$B192,12*$B$9,-12*$B$8*(1+$B$4)^11))*IF(M192+IF($B$1+11&lt;=$B192,12*$B$9,-12*$B$8*(1+$B$4)^11)&gt;0,1+$B$3,1))</f>
        <v/>
      </c>
      <c r="O192">
        <f>IF($B$1+12&gt;90,N192,(N192+IF($B$1+12&lt;=$B192,12*$B$9,-12*$B$8*(1+$B$4)^12))*IF(N192+IF($B$1+12&lt;=$B192,12*$B$9,-12*$B$8*(1+$B$4)^12)&gt;0,1+$B$3,1))</f>
        <v/>
      </c>
      <c r="P192">
        <f>IF($B$1+13&gt;90,O192,(O192+IF($B$1+13&lt;=$B192,12*$B$9,-12*$B$8*(1+$B$4)^13))*IF(O192+IF($B$1+13&lt;=$B192,12*$B$9,-12*$B$8*(1+$B$4)^13)&gt;0,1+$B$3,1))</f>
        <v/>
      </c>
      <c r="Q192">
        <f>IF($B$1+14&gt;90,P192,(P192+IF($B$1+14&lt;=$B192,12*$B$9,-12*$B$8*(1+$B$4)^14))*IF(P192+IF($B$1+14&lt;=$B192,12*$B$9,-12*$B$8*(1+$B$4)^14)&gt;0,1+$B$3,1))</f>
        <v/>
      </c>
      <c r="R192">
        <f>IF($B$1+15&gt;90,Q192,(Q192+IF($B$1+15&lt;=$B192,12*$B$9,-12*$B$8*(1+$B$4)^15))*IF(Q192+IF($B$1+15&lt;=$B192,12*$B$9,-12*$B$8*(1+$B$4)^15)&gt;0,1+$B$3,1))</f>
        <v/>
      </c>
      <c r="S192">
        <f>IF($B$1+16&gt;90,R192,(R192+IF($B$1+16&lt;=$B192,12*$B$9,-12*$B$8*(1+$B$4)^16))*IF(R192+IF($B$1+16&lt;=$B192,12*$B$9,-12*$B$8*(1+$B$4)^16)&gt;0,1+$B$3,1))</f>
        <v/>
      </c>
      <c r="T192">
        <f>IF($B$1+17&gt;90,S192,(S192+IF($B$1+17&lt;=$B192,12*$B$9,-12*$B$8*(1+$B$4)^17))*IF(S192+IF($B$1+17&lt;=$B192,12*$B$9,-12*$B$8*(1+$B$4)^17)&gt;0,1+$B$3,1))</f>
        <v/>
      </c>
      <c r="U192">
        <f>IF($B$1+18&gt;90,T192,(T192+IF($B$1+18&lt;=$B192,12*$B$9,-12*$B$8*(1+$B$4)^18))*IF(T192+IF($B$1+18&lt;=$B192,12*$B$9,-12*$B$8*(1+$B$4)^18)&gt;0,1+$B$3,1))</f>
        <v/>
      </c>
      <c r="V192">
        <f>IF($B$1+19&gt;90,U192,(U192+IF($B$1+19&lt;=$B192,12*$B$9,-12*$B$8*(1+$B$4)^19))*IF(U192+IF($B$1+19&lt;=$B192,12*$B$9,-12*$B$8*(1+$B$4)^19)&gt;0,1+$B$3,1))</f>
        <v/>
      </c>
      <c r="W192">
        <f>IF($B$1+20&gt;90,V192,(V192+IF($B$1+20&lt;=$B192,12*$B$9,-12*$B$8*(1+$B$4)^20))*IF(V192+IF($B$1+20&lt;=$B192,12*$B$9,-12*$B$8*(1+$B$4)^20)&gt;0,1+$B$3,1))</f>
        <v/>
      </c>
      <c r="X192">
        <f>IF($B$1+21&gt;90,W192,(W192+IF($B$1+21&lt;=$B192,12*$B$9,-12*$B$8*(1+$B$4)^21))*IF(W192+IF($B$1+21&lt;=$B192,12*$B$9,-12*$B$8*(1+$B$4)^21)&gt;0,1+$B$3,1))</f>
        <v/>
      </c>
      <c r="Y192">
        <f>IF($B$1+22&gt;90,X192,(X192+IF($B$1+22&lt;=$B192,12*$B$9,-12*$B$8*(1+$B$4)^22))*IF(X192+IF($B$1+22&lt;=$B192,12*$B$9,-12*$B$8*(1+$B$4)^22)&gt;0,1+$B$3,1))</f>
        <v/>
      </c>
      <c r="Z192">
        <f>IF($B$1+23&gt;90,Y192,(Y192+IF($B$1+23&lt;=$B192,12*$B$9,-12*$B$8*(1+$B$4)^23))*IF(Y192+IF($B$1+23&lt;=$B192,12*$B$9,-12*$B$8*(1+$B$4)^23)&gt;0,1+$B$3,1))</f>
        <v/>
      </c>
      <c r="AA192">
        <f>IF($B$1+24&gt;90,Z192,(Z192+IF($B$1+24&lt;=$B192,12*$B$9,-12*$B$8*(1+$B$4)^24))*IF(Z192+IF($B$1+24&lt;=$B192,12*$B$9,-12*$B$8*(1+$B$4)^24)&gt;0,1+$B$3,1))</f>
        <v/>
      </c>
      <c r="AB192">
        <f>IF($B$1+25&gt;90,AA192,(AA192+IF($B$1+25&lt;=$B192,12*$B$9,-12*$B$8*(1+$B$4)^25))*IF(AA192+IF($B$1+25&lt;=$B192,12*$B$9,-12*$B$8*(1+$B$4)^25)&gt;0,1+$B$3,1))</f>
        <v/>
      </c>
      <c r="AC192">
        <f>IF($B$1+26&gt;90,AB192,(AB192+IF($B$1+26&lt;=$B192,12*$B$9,-12*$B$8*(1+$B$4)^26))*IF(AB192+IF($B$1+26&lt;=$B192,12*$B$9,-12*$B$8*(1+$B$4)^26)&gt;0,1+$B$3,1))</f>
        <v/>
      </c>
      <c r="AD192">
        <f>IF($B$1+27&gt;90,AC192,(AC192+IF($B$1+27&lt;=$B192,12*$B$9,-12*$B$8*(1+$B$4)^27))*IF(AC192+IF($B$1+27&lt;=$B192,12*$B$9,-12*$B$8*(1+$B$4)^27)&gt;0,1+$B$3,1))</f>
        <v/>
      </c>
      <c r="AE192">
        <f>IF($B$1+28&gt;90,AD192,(AD192+IF($B$1+28&lt;=$B192,12*$B$9,-12*$B$8*(1+$B$4)^28))*IF(AD192+IF($B$1+28&lt;=$B192,12*$B$9,-12*$B$8*(1+$B$4)^28)&gt;0,1+$B$3,1))</f>
        <v/>
      </c>
      <c r="AF192">
        <f>IF($B$1+29&gt;90,AE192,(AE192+IF($B$1+29&lt;=$B192,12*$B$9,-12*$B$8*(1+$B$4)^29))*IF(AE192+IF($B$1+29&lt;=$B192,12*$B$9,-12*$B$8*(1+$B$4)^29)&gt;0,1+$B$3,1))</f>
        <v/>
      </c>
      <c r="AG192">
        <f>IF($B$1+30&gt;90,AF192,(AF192+IF($B$1+30&lt;=$B192,12*$B$9,-12*$B$8*(1+$B$4)^30))*IF(AF192+IF($B$1+30&lt;=$B192,12*$B$9,-12*$B$8*(1+$B$4)^30)&gt;0,1+$B$3,1))</f>
        <v/>
      </c>
      <c r="AH192">
        <f>IF($B$1+31&gt;90,AG192,(AG192+IF($B$1+31&lt;=$B192,12*$B$9,-12*$B$8*(1+$B$4)^31))*IF(AG192+IF($B$1+31&lt;=$B192,12*$B$9,-12*$B$8*(1+$B$4)^31)&gt;0,1+$B$3,1))</f>
        <v/>
      </c>
      <c r="AI192">
        <f>IF($B$1+32&gt;90,AH192,(AH192+IF($B$1+32&lt;=$B192,12*$B$9,-12*$B$8*(1+$B$4)^32))*IF(AH192+IF($B$1+32&lt;=$B192,12*$B$9,-12*$B$8*(1+$B$4)^32)&gt;0,1+$B$3,1))</f>
        <v/>
      </c>
      <c r="AJ192">
        <f>IF($B$1+33&gt;90,AI192,(AI192+IF($B$1+33&lt;=$B192,12*$B$9,-12*$B$8*(1+$B$4)^33))*IF(AI192+IF($B$1+33&lt;=$B192,12*$B$9,-12*$B$8*(1+$B$4)^33)&gt;0,1+$B$3,1))</f>
        <v/>
      </c>
      <c r="AK192">
        <f>IF($B$1+34&gt;90,AJ192,(AJ192+IF($B$1+34&lt;=$B192,12*$B$9,-12*$B$8*(1+$B$4)^34))*IF(AJ192+IF($B$1+34&lt;=$B192,12*$B$9,-12*$B$8*(1+$B$4)^34)&gt;0,1+$B$3,1))</f>
        <v/>
      </c>
      <c r="AL192">
        <f>IF($B$1+35&gt;90,AK192,(AK192+IF($B$1+35&lt;=$B192,12*$B$9,-12*$B$8*(1+$B$4)^35))*IF(AK192+IF($B$1+35&lt;=$B192,12*$B$9,-12*$B$8*(1+$B$4)^35)&gt;0,1+$B$3,1))</f>
        <v/>
      </c>
      <c r="AM192">
        <f>IF($B$1+36&gt;90,AL192,(AL192+IF($B$1+36&lt;=$B192,12*$B$9,-12*$B$8*(1+$B$4)^36))*IF(AL192+IF($B$1+36&lt;=$B192,12*$B$9,-12*$B$8*(1+$B$4)^36)&gt;0,1+$B$3,1))</f>
        <v/>
      </c>
      <c r="AN192">
        <f>IF($B$1+37&gt;90,AM192,(AM192+IF($B$1+37&lt;=$B192,12*$B$9,-12*$B$8*(1+$B$4)^37))*IF(AM192+IF($B$1+37&lt;=$B192,12*$B$9,-12*$B$8*(1+$B$4)^37)&gt;0,1+$B$3,1))</f>
        <v/>
      </c>
      <c r="AO192">
        <f>IF($B$1+38&gt;90,AN192,(AN192+IF($B$1+38&lt;=$B192,12*$B$9,-12*$B$8*(1+$B$4)^38))*IF(AN192+IF($B$1+38&lt;=$B192,12*$B$9,-12*$B$8*(1+$B$4)^38)&gt;0,1+$B$3,1))</f>
        <v/>
      </c>
      <c r="AP192">
        <f>IF($B$1+39&gt;90,AO192,(AO192+IF($B$1+39&lt;=$B192,12*$B$9,-12*$B$8*(1+$B$4)^39))*IF(AO192+IF($B$1+39&lt;=$B192,12*$B$9,-12*$B$8*(1+$B$4)^39)&gt;0,1+$B$3,1))</f>
        <v/>
      </c>
      <c r="AQ192">
        <f>IF($B$1+40&gt;90,AP192,(AP192+IF($B$1+40&lt;=$B192,12*$B$9,-12*$B$8*(1+$B$4)^40))*IF(AP192+IF($B$1+40&lt;=$B192,12*$B$9,-12*$B$8*(1+$B$4)^40)&gt;0,1+$B$3,1))</f>
        <v/>
      </c>
      <c r="AR192">
        <f>IF($B$1+41&gt;90,AQ192,(AQ192+IF($B$1+41&lt;=$B192,12*$B$9,-12*$B$8*(1+$B$4)^41))*IF(AQ192+IF($B$1+41&lt;=$B192,12*$B$9,-12*$B$8*(1+$B$4)^41)&gt;0,1+$B$3,1))</f>
        <v/>
      </c>
      <c r="AS192">
        <f>IF($B$1+42&gt;90,AR192,(AR192+IF($B$1+42&lt;=$B192,12*$B$9,-12*$B$8*(1+$B$4)^42))*IF(AR192+IF($B$1+42&lt;=$B192,12*$B$9,-12*$B$8*(1+$B$4)^42)&gt;0,1+$B$3,1))</f>
        <v/>
      </c>
      <c r="AT192">
        <f>IF($B$1+43&gt;90,AS192,(AS192+IF($B$1+43&lt;=$B192,12*$B$9,-12*$B$8*(1+$B$4)^43))*IF(AS192+IF($B$1+43&lt;=$B192,12*$B$9,-12*$B$8*(1+$B$4)^43)&gt;0,1+$B$3,1))</f>
        <v/>
      </c>
      <c r="AU192">
        <f>IF($B$1+44&gt;90,AT192,(AT192+IF($B$1+44&lt;=$B192,12*$B$9,-12*$B$8*(1+$B$4)^44))*IF(AT192+IF($B$1+44&lt;=$B192,12*$B$9,-12*$B$8*(1+$B$4)^44)&gt;0,1+$B$3,1))</f>
        <v/>
      </c>
      <c r="AV192">
        <f>IF($B$1+45&gt;90,AU192,(AU192+IF($B$1+45&lt;=$B192,12*$B$9,-12*$B$8*(1+$B$4)^45))*IF(AU192+IF($B$1+45&lt;=$B192,12*$B$9,-12*$B$8*(1+$B$4)^45)&gt;0,1+$B$3,1))</f>
        <v/>
      </c>
      <c r="AW192">
        <f>IF($B$1+46&gt;90,AV192,(AV192+IF($B$1+46&lt;=$B192,12*$B$9,-12*$B$8*(1+$B$4)^46))*IF(AV192+IF($B$1+46&lt;=$B192,12*$B$9,-12*$B$8*(1+$B$4)^46)&gt;0,1+$B$3,1))</f>
        <v/>
      </c>
      <c r="AX192">
        <f>IF($B$1+47&gt;90,AW192,(AW192+IF($B$1+47&lt;=$B192,12*$B$9,-12*$B$8*(1+$B$4)^47))*IF(AW192+IF($B$1+47&lt;=$B192,12*$B$9,-12*$B$8*(1+$B$4)^47)&gt;0,1+$B$3,1))</f>
        <v/>
      </c>
      <c r="AY192">
        <f>IF($B$1+48&gt;90,AX192,(AX192+IF($B$1+48&lt;=$B192,12*$B$9,-12*$B$8*(1+$B$4)^48))*IF(AX192+IF($B$1+48&lt;=$B192,12*$B$9,-12*$B$8*(1+$B$4)^48)&gt;0,1+$B$3,1))</f>
        <v/>
      </c>
      <c r="AZ192">
        <f>IF($B$1+49&gt;90,AY192,(AY192+IF($B$1+49&lt;=$B192,12*$B$9,-12*$B$8*(1+$B$4)^49))*IF(AY192+IF($B$1+49&lt;=$B192,12*$B$9,-12*$B$8*(1+$B$4)^49)&gt;0,1+$B$3,1))</f>
        <v/>
      </c>
      <c r="BA192">
        <f>IF($B$1+50&gt;90,AZ192,(AZ192+IF($B$1+50&lt;=$B192,12*$B$9,-12*$B$8*(1+$B$4)^50))*IF(AZ192+IF($B$1+50&lt;=$B192,12*$B$9,-12*$B$8*(1+$B$4)^50)&gt;0,1+$B$3,1))</f>
        <v/>
      </c>
      <c r="BB192">
        <f>IF($B$1+51&gt;90,BA192,(BA192+IF($B$1+51&lt;=$B192,12*$B$9,-12*$B$8*(1+$B$4)^51))*IF(BA192+IF($B$1+51&lt;=$B192,12*$B$9,-12*$B$8*(1+$B$4)^51)&gt;0,1+$B$3,1))</f>
        <v/>
      </c>
      <c r="BC192">
        <f>IF($B$1+52&gt;90,BB192,(BB192+IF($B$1+52&lt;=$B192,12*$B$9,-12*$B$8*(1+$B$4)^52))*IF(BB192+IF($B$1+52&lt;=$B192,12*$B$9,-12*$B$8*(1+$B$4)^52)&gt;0,1+$B$3,1))</f>
        <v/>
      </c>
      <c r="BD192">
        <f>IF($B$1+53&gt;90,BC192,(BC192+IF($B$1+53&lt;=$B192,12*$B$9,-12*$B$8*(1+$B$4)^53))*IF(BC192+IF($B$1+53&lt;=$B192,12*$B$9,-12*$B$8*(1+$B$4)^53)&gt;0,1+$B$3,1))</f>
        <v/>
      </c>
      <c r="BE192">
        <f>IF($B$1+54&gt;90,BD192,(BD192+IF($B$1+54&lt;=$B192,12*$B$9,-12*$B$8*(1+$B$4)^54))*IF(BD192+IF($B$1+54&lt;=$B192,12*$B$9,-12*$B$8*(1+$B$4)^54)&gt;0,1+$B$3,1))</f>
        <v/>
      </c>
      <c r="BF192">
        <f>IF($B$1+55&gt;90,BE192,(BE192+IF($B$1+55&lt;=$B192,12*$B$9,-12*$B$8*(1+$B$4)^55))*IF(BE192+IF($B$1+55&lt;=$B192,12*$B$9,-12*$B$8*(1+$B$4)^55)&gt;0,1+$B$3,1))</f>
        <v/>
      </c>
      <c r="BG192">
        <f>IF($B$1+56&gt;90,BF192,(BF192+IF($B$1+56&lt;=$B192,12*$B$9,-12*$B$8*(1+$B$4)^56))*IF(BF192+IF($B$1+56&lt;=$B192,12*$B$9,-12*$B$8*(1+$B$4)^56)&gt;0,1+$B$3,1))</f>
        <v/>
      </c>
      <c r="BH192">
        <f>IF($B$1+57&gt;90,BG192,(BG192+IF($B$1+57&lt;=$B192,12*$B$9,-12*$B$8*(1+$B$4)^57))*IF(BG192+IF($B$1+57&lt;=$B192,12*$B$9,-12*$B$8*(1+$B$4)^57)&gt;0,1+$B$3,1))</f>
        <v/>
      </c>
      <c r="BI192">
        <f>IF($B$1+58&gt;90,BH192,(BH192+IF($B$1+58&lt;=$B192,12*$B$9,-12*$B$8*(1+$B$4)^58))*IF(BH192+IF($B$1+58&lt;=$B192,12*$B$9,-12*$B$8*(1+$B$4)^58)&gt;0,1+$B$3,1))</f>
        <v/>
      </c>
      <c r="BJ192">
        <f>IF($B$1+59&gt;90,BI192,(BI192+IF($B$1+59&lt;=$B192,12*$B$9,-12*$B$8*(1+$B$4)^59))*IF(BI192+IF($B$1+59&lt;=$B192,12*$B$9,-12*$B$8*(1+$B$4)^59)&gt;0,1+$B$3,1))</f>
        <v/>
      </c>
      <c r="BK192">
        <f>IF($B$1+60&gt;90,BJ192,(BJ192+IF($B$1+60&lt;=$B192,12*$B$9,-12*$B$8*(1+$B$4)^60))*IF(BJ192+IF($B$1+60&lt;=$B192,12*$B$9,-12*$B$8*(1+$B$4)^60)&gt;0,1+$B$3,1))</f>
        <v/>
      </c>
      <c r="BL192">
        <f>IF($B$1+61&gt;90,BK192,(BK192+IF($B$1+61&lt;=$B192,12*$B$9,-12*$B$8*(1+$B$4)^61))*IF(BK192+IF($B$1+61&lt;=$B192,12*$B$9,-12*$B$8*(1+$B$4)^61)&gt;0,1+$B$3,1))</f>
        <v/>
      </c>
      <c r="BM192">
        <f>IF($B$1+62&gt;90,BL192,(BL192+IF($B$1+62&lt;=$B192,12*$B$9,-12*$B$8*(1+$B$4)^62))*IF(BL192+IF($B$1+62&lt;=$B192,12*$B$9,-12*$B$8*(1+$B$4)^62)&gt;0,1+$B$3,1))</f>
        <v/>
      </c>
      <c r="BN192">
        <f>IF($B$1+63&gt;90,BM192,(BM192+IF($B$1+63&lt;=$B192,12*$B$9,-12*$B$8*(1+$B$4)^63))*IF(BM192+IF($B$1+63&lt;=$B192,12*$B$9,-12*$B$8*(1+$B$4)^63)&gt;0,1+$B$3,1))</f>
        <v/>
      </c>
      <c r="BO192">
        <f>IF($B$1+64&gt;90,BN192,(BN192+IF($B$1+64&lt;=$B192,12*$B$9,-12*$B$8*(1+$B$4)^64))*IF(BN192+IF($B$1+64&lt;=$B192,12*$B$9,-12*$B$8*(1+$B$4)^64)&gt;0,1+$B$3,1))</f>
        <v/>
      </c>
      <c r="BP192">
        <f>IF($B$1+65&gt;90,BO192,(BO192+IF($B$1+65&lt;=$B192,12*$B$9,-12*$B$8*(1+$B$4)^65))*IF(BO192+IF($B$1+65&lt;=$B192,12*$B$9,-12*$B$8*(1+$B$4)^65)&gt;0,1+$B$3,1))</f>
        <v/>
      </c>
      <c r="BQ192">
        <f>IF($B$1+66&gt;90,BP192,(BP192+IF($B$1+66&lt;=$B192,12*$B$9,-12*$B$8*(1+$B$4)^66))*IF(BP192+IF($B$1+66&lt;=$B192,12*$B$9,-12*$B$8*(1+$B$4)^66)&gt;0,1+$B$3,1))</f>
        <v/>
      </c>
      <c r="BR192">
        <f>IF($B$1+67&gt;90,BQ192,(BQ192+IF($B$1+67&lt;=$B192,12*$B$9,-12*$B$8*(1+$B$4)^67))*IF(BQ192+IF($B$1+67&lt;=$B192,12*$B$9,-12*$B$8*(1+$B$4)^67)&gt;0,1+$B$3,1))</f>
        <v/>
      </c>
      <c r="BS192">
        <f>IF($B$1+68&gt;90,BR192,(BR192+IF($B$1+68&lt;=$B192,12*$B$9,-12*$B$8*(1+$B$4)^68))*IF(BR192+IF($B$1+68&lt;=$B192,12*$B$9,-12*$B$8*(1+$B$4)^68)&gt;0,1+$B$3,1))</f>
        <v/>
      </c>
      <c r="BT192">
        <f>IF($B$1+69&gt;90,BS192,(BS192+IF($B$1+69&lt;=$B192,12*$B$9,-12*$B$8*(1+$B$4)^69))*IF(BS192+IF($B$1+69&lt;=$B192,12*$B$9,-12*$B$8*(1+$B$4)^69)&gt;0,1+$B$3,1))</f>
        <v/>
      </c>
      <c r="BU192">
        <f>IF($B$1+70&gt;90,BT192,(BT192+IF($B$1+70&lt;=$B192,12*$B$9,-12*$B$8*(1+$B$4)^70))*IF(BT192+IF($B$1+70&lt;=$B192,12*$B$9,-12*$B$8*(1+$B$4)^70)&gt;0,1+$B$3,1))</f>
        <v/>
      </c>
      <c r="BV192">
        <f>BU192</f>
        <v/>
      </c>
      <c r="BW192">
        <f>IF(AND($B192&lt;=70,BV192&gt;0),$B192,999)</f>
        <v/>
      </c>
    </row>
    <row r="193">
      <c r="A193" t="n">
        <v>41</v>
      </c>
      <c r="B193">
        <f>$B$1+41</f>
        <v/>
      </c>
      <c r="C193">
        <f>$B$2</f>
        <v/>
      </c>
      <c r="D193">
        <f>IF($B$1+1&gt;90,C193,(C193+IF($B$1+1&lt;=$B193,12*$B$9,-12*$B$8*(1+$B$4)^1))*IF(C193+IF($B$1+1&lt;=$B193,12*$B$9,-12*$B$8*(1+$B$4)^1)&gt;0,1+$B$3,1))</f>
        <v/>
      </c>
      <c r="E193">
        <f>IF($B$1+2&gt;90,D193,(D193+IF($B$1+2&lt;=$B193,12*$B$9,-12*$B$8*(1+$B$4)^2))*IF(D193+IF($B$1+2&lt;=$B193,12*$B$9,-12*$B$8*(1+$B$4)^2)&gt;0,1+$B$3,1))</f>
        <v/>
      </c>
      <c r="F193">
        <f>IF($B$1+3&gt;90,E193,(E193+IF($B$1+3&lt;=$B193,12*$B$9,-12*$B$8*(1+$B$4)^3))*IF(E193+IF($B$1+3&lt;=$B193,12*$B$9,-12*$B$8*(1+$B$4)^3)&gt;0,1+$B$3,1))</f>
        <v/>
      </c>
      <c r="G193">
        <f>IF($B$1+4&gt;90,F193,(F193+IF($B$1+4&lt;=$B193,12*$B$9,-12*$B$8*(1+$B$4)^4))*IF(F193+IF($B$1+4&lt;=$B193,12*$B$9,-12*$B$8*(1+$B$4)^4)&gt;0,1+$B$3,1))</f>
        <v/>
      </c>
      <c r="H193">
        <f>IF($B$1+5&gt;90,G193,(G193+IF($B$1+5&lt;=$B193,12*$B$9,-12*$B$8*(1+$B$4)^5))*IF(G193+IF($B$1+5&lt;=$B193,12*$B$9,-12*$B$8*(1+$B$4)^5)&gt;0,1+$B$3,1))</f>
        <v/>
      </c>
      <c r="I193">
        <f>IF($B$1+6&gt;90,H193,(H193+IF($B$1+6&lt;=$B193,12*$B$9,-12*$B$8*(1+$B$4)^6))*IF(H193+IF($B$1+6&lt;=$B193,12*$B$9,-12*$B$8*(1+$B$4)^6)&gt;0,1+$B$3,1))</f>
        <v/>
      </c>
      <c r="J193">
        <f>IF($B$1+7&gt;90,I193,(I193+IF($B$1+7&lt;=$B193,12*$B$9,-12*$B$8*(1+$B$4)^7))*IF(I193+IF($B$1+7&lt;=$B193,12*$B$9,-12*$B$8*(1+$B$4)^7)&gt;0,1+$B$3,1))</f>
        <v/>
      </c>
      <c r="K193">
        <f>IF($B$1+8&gt;90,J193,(J193+IF($B$1+8&lt;=$B193,12*$B$9,-12*$B$8*(1+$B$4)^8))*IF(J193+IF($B$1+8&lt;=$B193,12*$B$9,-12*$B$8*(1+$B$4)^8)&gt;0,1+$B$3,1))</f>
        <v/>
      </c>
      <c r="L193">
        <f>IF($B$1+9&gt;90,K193,(K193+IF($B$1+9&lt;=$B193,12*$B$9,-12*$B$8*(1+$B$4)^9))*IF(K193+IF($B$1+9&lt;=$B193,12*$B$9,-12*$B$8*(1+$B$4)^9)&gt;0,1+$B$3,1))</f>
        <v/>
      </c>
      <c r="M193">
        <f>IF($B$1+10&gt;90,L193,(L193+IF($B$1+10&lt;=$B193,12*$B$9,-12*$B$8*(1+$B$4)^10))*IF(L193+IF($B$1+10&lt;=$B193,12*$B$9,-12*$B$8*(1+$B$4)^10)&gt;0,1+$B$3,1))</f>
        <v/>
      </c>
      <c r="N193">
        <f>IF($B$1+11&gt;90,M193,(M193+IF($B$1+11&lt;=$B193,12*$B$9,-12*$B$8*(1+$B$4)^11))*IF(M193+IF($B$1+11&lt;=$B193,12*$B$9,-12*$B$8*(1+$B$4)^11)&gt;0,1+$B$3,1))</f>
        <v/>
      </c>
      <c r="O193">
        <f>IF($B$1+12&gt;90,N193,(N193+IF($B$1+12&lt;=$B193,12*$B$9,-12*$B$8*(1+$B$4)^12))*IF(N193+IF($B$1+12&lt;=$B193,12*$B$9,-12*$B$8*(1+$B$4)^12)&gt;0,1+$B$3,1))</f>
        <v/>
      </c>
      <c r="P193">
        <f>IF($B$1+13&gt;90,O193,(O193+IF($B$1+13&lt;=$B193,12*$B$9,-12*$B$8*(1+$B$4)^13))*IF(O193+IF($B$1+13&lt;=$B193,12*$B$9,-12*$B$8*(1+$B$4)^13)&gt;0,1+$B$3,1))</f>
        <v/>
      </c>
      <c r="Q193">
        <f>IF($B$1+14&gt;90,P193,(P193+IF($B$1+14&lt;=$B193,12*$B$9,-12*$B$8*(1+$B$4)^14))*IF(P193+IF($B$1+14&lt;=$B193,12*$B$9,-12*$B$8*(1+$B$4)^14)&gt;0,1+$B$3,1))</f>
        <v/>
      </c>
      <c r="R193">
        <f>IF($B$1+15&gt;90,Q193,(Q193+IF($B$1+15&lt;=$B193,12*$B$9,-12*$B$8*(1+$B$4)^15))*IF(Q193+IF($B$1+15&lt;=$B193,12*$B$9,-12*$B$8*(1+$B$4)^15)&gt;0,1+$B$3,1))</f>
        <v/>
      </c>
      <c r="S193">
        <f>IF($B$1+16&gt;90,R193,(R193+IF($B$1+16&lt;=$B193,12*$B$9,-12*$B$8*(1+$B$4)^16))*IF(R193+IF($B$1+16&lt;=$B193,12*$B$9,-12*$B$8*(1+$B$4)^16)&gt;0,1+$B$3,1))</f>
        <v/>
      </c>
      <c r="T193">
        <f>IF($B$1+17&gt;90,S193,(S193+IF($B$1+17&lt;=$B193,12*$B$9,-12*$B$8*(1+$B$4)^17))*IF(S193+IF($B$1+17&lt;=$B193,12*$B$9,-12*$B$8*(1+$B$4)^17)&gt;0,1+$B$3,1))</f>
        <v/>
      </c>
      <c r="U193">
        <f>IF($B$1+18&gt;90,T193,(T193+IF($B$1+18&lt;=$B193,12*$B$9,-12*$B$8*(1+$B$4)^18))*IF(T193+IF($B$1+18&lt;=$B193,12*$B$9,-12*$B$8*(1+$B$4)^18)&gt;0,1+$B$3,1))</f>
        <v/>
      </c>
      <c r="V193">
        <f>IF($B$1+19&gt;90,U193,(U193+IF($B$1+19&lt;=$B193,12*$B$9,-12*$B$8*(1+$B$4)^19))*IF(U193+IF($B$1+19&lt;=$B193,12*$B$9,-12*$B$8*(1+$B$4)^19)&gt;0,1+$B$3,1))</f>
        <v/>
      </c>
      <c r="W193">
        <f>IF($B$1+20&gt;90,V193,(V193+IF($B$1+20&lt;=$B193,12*$B$9,-12*$B$8*(1+$B$4)^20))*IF(V193+IF($B$1+20&lt;=$B193,12*$B$9,-12*$B$8*(1+$B$4)^20)&gt;0,1+$B$3,1))</f>
        <v/>
      </c>
      <c r="X193">
        <f>IF($B$1+21&gt;90,W193,(W193+IF($B$1+21&lt;=$B193,12*$B$9,-12*$B$8*(1+$B$4)^21))*IF(W193+IF($B$1+21&lt;=$B193,12*$B$9,-12*$B$8*(1+$B$4)^21)&gt;0,1+$B$3,1))</f>
        <v/>
      </c>
      <c r="Y193">
        <f>IF($B$1+22&gt;90,X193,(X193+IF($B$1+22&lt;=$B193,12*$B$9,-12*$B$8*(1+$B$4)^22))*IF(X193+IF($B$1+22&lt;=$B193,12*$B$9,-12*$B$8*(1+$B$4)^22)&gt;0,1+$B$3,1))</f>
        <v/>
      </c>
      <c r="Z193">
        <f>IF($B$1+23&gt;90,Y193,(Y193+IF($B$1+23&lt;=$B193,12*$B$9,-12*$B$8*(1+$B$4)^23))*IF(Y193+IF($B$1+23&lt;=$B193,12*$B$9,-12*$B$8*(1+$B$4)^23)&gt;0,1+$B$3,1))</f>
        <v/>
      </c>
      <c r="AA193">
        <f>IF($B$1+24&gt;90,Z193,(Z193+IF($B$1+24&lt;=$B193,12*$B$9,-12*$B$8*(1+$B$4)^24))*IF(Z193+IF($B$1+24&lt;=$B193,12*$B$9,-12*$B$8*(1+$B$4)^24)&gt;0,1+$B$3,1))</f>
        <v/>
      </c>
      <c r="AB193">
        <f>IF($B$1+25&gt;90,AA193,(AA193+IF($B$1+25&lt;=$B193,12*$B$9,-12*$B$8*(1+$B$4)^25))*IF(AA193+IF($B$1+25&lt;=$B193,12*$B$9,-12*$B$8*(1+$B$4)^25)&gt;0,1+$B$3,1))</f>
        <v/>
      </c>
      <c r="AC193">
        <f>IF($B$1+26&gt;90,AB193,(AB193+IF($B$1+26&lt;=$B193,12*$B$9,-12*$B$8*(1+$B$4)^26))*IF(AB193+IF($B$1+26&lt;=$B193,12*$B$9,-12*$B$8*(1+$B$4)^26)&gt;0,1+$B$3,1))</f>
        <v/>
      </c>
      <c r="AD193">
        <f>IF($B$1+27&gt;90,AC193,(AC193+IF($B$1+27&lt;=$B193,12*$B$9,-12*$B$8*(1+$B$4)^27))*IF(AC193+IF($B$1+27&lt;=$B193,12*$B$9,-12*$B$8*(1+$B$4)^27)&gt;0,1+$B$3,1))</f>
        <v/>
      </c>
      <c r="AE193">
        <f>IF($B$1+28&gt;90,AD193,(AD193+IF($B$1+28&lt;=$B193,12*$B$9,-12*$B$8*(1+$B$4)^28))*IF(AD193+IF($B$1+28&lt;=$B193,12*$B$9,-12*$B$8*(1+$B$4)^28)&gt;0,1+$B$3,1))</f>
        <v/>
      </c>
      <c r="AF193">
        <f>IF($B$1+29&gt;90,AE193,(AE193+IF($B$1+29&lt;=$B193,12*$B$9,-12*$B$8*(1+$B$4)^29))*IF(AE193+IF($B$1+29&lt;=$B193,12*$B$9,-12*$B$8*(1+$B$4)^29)&gt;0,1+$B$3,1))</f>
        <v/>
      </c>
      <c r="AG193">
        <f>IF($B$1+30&gt;90,AF193,(AF193+IF($B$1+30&lt;=$B193,12*$B$9,-12*$B$8*(1+$B$4)^30))*IF(AF193+IF($B$1+30&lt;=$B193,12*$B$9,-12*$B$8*(1+$B$4)^30)&gt;0,1+$B$3,1))</f>
        <v/>
      </c>
      <c r="AH193">
        <f>IF($B$1+31&gt;90,AG193,(AG193+IF($B$1+31&lt;=$B193,12*$B$9,-12*$B$8*(1+$B$4)^31))*IF(AG193+IF($B$1+31&lt;=$B193,12*$B$9,-12*$B$8*(1+$B$4)^31)&gt;0,1+$B$3,1))</f>
        <v/>
      </c>
      <c r="AI193">
        <f>IF($B$1+32&gt;90,AH193,(AH193+IF($B$1+32&lt;=$B193,12*$B$9,-12*$B$8*(1+$B$4)^32))*IF(AH193+IF($B$1+32&lt;=$B193,12*$B$9,-12*$B$8*(1+$B$4)^32)&gt;0,1+$B$3,1))</f>
        <v/>
      </c>
      <c r="AJ193">
        <f>IF($B$1+33&gt;90,AI193,(AI193+IF($B$1+33&lt;=$B193,12*$B$9,-12*$B$8*(1+$B$4)^33))*IF(AI193+IF($B$1+33&lt;=$B193,12*$B$9,-12*$B$8*(1+$B$4)^33)&gt;0,1+$B$3,1))</f>
        <v/>
      </c>
      <c r="AK193">
        <f>IF($B$1+34&gt;90,AJ193,(AJ193+IF($B$1+34&lt;=$B193,12*$B$9,-12*$B$8*(1+$B$4)^34))*IF(AJ193+IF($B$1+34&lt;=$B193,12*$B$9,-12*$B$8*(1+$B$4)^34)&gt;0,1+$B$3,1))</f>
        <v/>
      </c>
      <c r="AL193">
        <f>IF($B$1+35&gt;90,AK193,(AK193+IF($B$1+35&lt;=$B193,12*$B$9,-12*$B$8*(1+$B$4)^35))*IF(AK193+IF($B$1+35&lt;=$B193,12*$B$9,-12*$B$8*(1+$B$4)^35)&gt;0,1+$B$3,1))</f>
        <v/>
      </c>
      <c r="AM193">
        <f>IF($B$1+36&gt;90,AL193,(AL193+IF($B$1+36&lt;=$B193,12*$B$9,-12*$B$8*(1+$B$4)^36))*IF(AL193+IF($B$1+36&lt;=$B193,12*$B$9,-12*$B$8*(1+$B$4)^36)&gt;0,1+$B$3,1))</f>
        <v/>
      </c>
      <c r="AN193">
        <f>IF($B$1+37&gt;90,AM193,(AM193+IF($B$1+37&lt;=$B193,12*$B$9,-12*$B$8*(1+$B$4)^37))*IF(AM193+IF($B$1+37&lt;=$B193,12*$B$9,-12*$B$8*(1+$B$4)^37)&gt;0,1+$B$3,1))</f>
        <v/>
      </c>
      <c r="AO193">
        <f>IF($B$1+38&gt;90,AN193,(AN193+IF($B$1+38&lt;=$B193,12*$B$9,-12*$B$8*(1+$B$4)^38))*IF(AN193+IF($B$1+38&lt;=$B193,12*$B$9,-12*$B$8*(1+$B$4)^38)&gt;0,1+$B$3,1))</f>
        <v/>
      </c>
      <c r="AP193">
        <f>IF($B$1+39&gt;90,AO193,(AO193+IF($B$1+39&lt;=$B193,12*$B$9,-12*$B$8*(1+$B$4)^39))*IF(AO193+IF($B$1+39&lt;=$B193,12*$B$9,-12*$B$8*(1+$B$4)^39)&gt;0,1+$B$3,1))</f>
        <v/>
      </c>
      <c r="AQ193">
        <f>IF($B$1+40&gt;90,AP193,(AP193+IF($B$1+40&lt;=$B193,12*$B$9,-12*$B$8*(1+$B$4)^40))*IF(AP193+IF($B$1+40&lt;=$B193,12*$B$9,-12*$B$8*(1+$B$4)^40)&gt;0,1+$B$3,1))</f>
        <v/>
      </c>
      <c r="AR193">
        <f>IF($B$1+41&gt;90,AQ193,(AQ193+IF($B$1+41&lt;=$B193,12*$B$9,-12*$B$8*(1+$B$4)^41))*IF(AQ193+IF($B$1+41&lt;=$B193,12*$B$9,-12*$B$8*(1+$B$4)^41)&gt;0,1+$B$3,1))</f>
        <v/>
      </c>
      <c r="AS193">
        <f>IF($B$1+42&gt;90,AR193,(AR193+IF($B$1+42&lt;=$B193,12*$B$9,-12*$B$8*(1+$B$4)^42))*IF(AR193+IF($B$1+42&lt;=$B193,12*$B$9,-12*$B$8*(1+$B$4)^42)&gt;0,1+$B$3,1))</f>
        <v/>
      </c>
      <c r="AT193">
        <f>IF($B$1+43&gt;90,AS193,(AS193+IF($B$1+43&lt;=$B193,12*$B$9,-12*$B$8*(1+$B$4)^43))*IF(AS193+IF($B$1+43&lt;=$B193,12*$B$9,-12*$B$8*(1+$B$4)^43)&gt;0,1+$B$3,1))</f>
        <v/>
      </c>
      <c r="AU193">
        <f>IF($B$1+44&gt;90,AT193,(AT193+IF($B$1+44&lt;=$B193,12*$B$9,-12*$B$8*(1+$B$4)^44))*IF(AT193+IF($B$1+44&lt;=$B193,12*$B$9,-12*$B$8*(1+$B$4)^44)&gt;0,1+$B$3,1))</f>
        <v/>
      </c>
      <c r="AV193">
        <f>IF($B$1+45&gt;90,AU193,(AU193+IF($B$1+45&lt;=$B193,12*$B$9,-12*$B$8*(1+$B$4)^45))*IF(AU193+IF($B$1+45&lt;=$B193,12*$B$9,-12*$B$8*(1+$B$4)^45)&gt;0,1+$B$3,1))</f>
        <v/>
      </c>
      <c r="AW193">
        <f>IF($B$1+46&gt;90,AV193,(AV193+IF($B$1+46&lt;=$B193,12*$B$9,-12*$B$8*(1+$B$4)^46))*IF(AV193+IF($B$1+46&lt;=$B193,12*$B$9,-12*$B$8*(1+$B$4)^46)&gt;0,1+$B$3,1))</f>
        <v/>
      </c>
      <c r="AX193">
        <f>IF($B$1+47&gt;90,AW193,(AW193+IF($B$1+47&lt;=$B193,12*$B$9,-12*$B$8*(1+$B$4)^47))*IF(AW193+IF($B$1+47&lt;=$B193,12*$B$9,-12*$B$8*(1+$B$4)^47)&gt;0,1+$B$3,1))</f>
        <v/>
      </c>
      <c r="AY193">
        <f>IF($B$1+48&gt;90,AX193,(AX193+IF($B$1+48&lt;=$B193,12*$B$9,-12*$B$8*(1+$B$4)^48))*IF(AX193+IF($B$1+48&lt;=$B193,12*$B$9,-12*$B$8*(1+$B$4)^48)&gt;0,1+$B$3,1))</f>
        <v/>
      </c>
      <c r="AZ193">
        <f>IF($B$1+49&gt;90,AY193,(AY193+IF($B$1+49&lt;=$B193,12*$B$9,-12*$B$8*(1+$B$4)^49))*IF(AY193+IF($B$1+49&lt;=$B193,12*$B$9,-12*$B$8*(1+$B$4)^49)&gt;0,1+$B$3,1))</f>
        <v/>
      </c>
      <c r="BA193">
        <f>IF($B$1+50&gt;90,AZ193,(AZ193+IF($B$1+50&lt;=$B193,12*$B$9,-12*$B$8*(1+$B$4)^50))*IF(AZ193+IF($B$1+50&lt;=$B193,12*$B$9,-12*$B$8*(1+$B$4)^50)&gt;0,1+$B$3,1))</f>
        <v/>
      </c>
      <c r="BB193">
        <f>IF($B$1+51&gt;90,BA193,(BA193+IF($B$1+51&lt;=$B193,12*$B$9,-12*$B$8*(1+$B$4)^51))*IF(BA193+IF($B$1+51&lt;=$B193,12*$B$9,-12*$B$8*(1+$B$4)^51)&gt;0,1+$B$3,1))</f>
        <v/>
      </c>
      <c r="BC193">
        <f>IF($B$1+52&gt;90,BB193,(BB193+IF($B$1+52&lt;=$B193,12*$B$9,-12*$B$8*(1+$B$4)^52))*IF(BB193+IF($B$1+52&lt;=$B193,12*$B$9,-12*$B$8*(1+$B$4)^52)&gt;0,1+$B$3,1))</f>
        <v/>
      </c>
      <c r="BD193">
        <f>IF($B$1+53&gt;90,BC193,(BC193+IF($B$1+53&lt;=$B193,12*$B$9,-12*$B$8*(1+$B$4)^53))*IF(BC193+IF($B$1+53&lt;=$B193,12*$B$9,-12*$B$8*(1+$B$4)^53)&gt;0,1+$B$3,1))</f>
        <v/>
      </c>
      <c r="BE193">
        <f>IF($B$1+54&gt;90,BD193,(BD193+IF($B$1+54&lt;=$B193,12*$B$9,-12*$B$8*(1+$B$4)^54))*IF(BD193+IF($B$1+54&lt;=$B193,12*$B$9,-12*$B$8*(1+$B$4)^54)&gt;0,1+$B$3,1))</f>
        <v/>
      </c>
      <c r="BF193">
        <f>IF($B$1+55&gt;90,BE193,(BE193+IF($B$1+55&lt;=$B193,12*$B$9,-12*$B$8*(1+$B$4)^55))*IF(BE193+IF($B$1+55&lt;=$B193,12*$B$9,-12*$B$8*(1+$B$4)^55)&gt;0,1+$B$3,1))</f>
        <v/>
      </c>
      <c r="BG193">
        <f>IF($B$1+56&gt;90,BF193,(BF193+IF($B$1+56&lt;=$B193,12*$B$9,-12*$B$8*(1+$B$4)^56))*IF(BF193+IF($B$1+56&lt;=$B193,12*$B$9,-12*$B$8*(1+$B$4)^56)&gt;0,1+$B$3,1))</f>
        <v/>
      </c>
      <c r="BH193">
        <f>IF($B$1+57&gt;90,BG193,(BG193+IF($B$1+57&lt;=$B193,12*$B$9,-12*$B$8*(1+$B$4)^57))*IF(BG193+IF($B$1+57&lt;=$B193,12*$B$9,-12*$B$8*(1+$B$4)^57)&gt;0,1+$B$3,1))</f>
        <v/>
      </c>
      <c r="BI193">
        <f>IF($B$1+58&gt;90,BH193,(BH193+IF($B$1+58&lt;=$B193,12*$B$9,-12*$B$8*(1+$B$4)^58))*IF(BH193+IF($B$1+58&lt;=$B193,12*$B$9,-12*$B$8*(1+$B$4)^58)&gt;0,1+$B$3,1))</f>
        <v/>
      </c>
      <c r="BJ193">
        <f>IF($B$1+59&gt;90,BI193,(BI193+IF($B$1+59&lt;=$B193,12*$B$9,-12*$B$8*(1+$B$4)^59))*IF(BI193+IF($B$1+59&lt;=$B193,12*$B$9,-12*$B$8*(1+$B$4)^59)&gt;0,1+$B$3,1))</f>
        <v/>
      </c>
      <c r="BK193">
        <f>IF($B$1+60&gt;90,BJ193,(BJ193+IF($B$1+60&lt;=$B193,12*$B$9,-12*$B$8*(1+$B$4)^60))*IF(BJ193+IF($B$1+60&lt;=$B193,12*$B$9,-12*$B$8*(1+$B$4)^60)&gt;0,1+$B$3,1))</f>
        <v/>
      </c>
      <c r="BL193">
        <f>IF($B$1+61&gt;90,BK193,(BK193+IF($B$1+61&lt;=$B193,12*$B$9,-12*$B$8*(1+$B$4)^61))*IF(BK193+IF($B$1+61&lt;=$B193,12*$B$9,-12*$B$8*(1+$B$4)^61)&gt;0,1+$B$3,1))</f>
        <v/>
      </c>
      <c r="BM193">
        <f>IF($B$1+62&gt;90,BL193,(BL193+IF($B$1+62&lt;=$B193,12*$B$9,-12*$B$8*(1+$B$4)^62))*IF(BL193+IF($B$1+62&lt;=$B193,12*$B$9,-12*$B$8*(1+$B$4)^62)&gt;0,1+$B$3,1))</f>
        <v/>
      </c>
      <c r="BN193">
        <f>IF($B$1+63&gt;90,BM193,(BM193+IF($B$1+63&lt;=$B193,12*$B$9,-12*$B$8*(1+$B$4)^63))*IF(BM193+IF($B$1+63&lt;=$B193,12*$B$9,-12*$B$8*(1+$B$4)^63)&gt;0,1+$B$3,1))</f>
        <v/>
      </c>
      <c r="BO193">
        <f>IF($B$1+64&gt;90,BN193,(BN193+IF($B$1+64&lt;=$B193,12*$B$9,-12*$B$8*(1+$B$4)^64))*IF(BN193+IF($B$1+64&lt;=$B193,12*$B$9,-12*$B$8*(1+$B$4)^64)&gt;0,1+$B$3,1))</f>
        <v/>
      </c>
      <c r="BP193">
        <f>IF($B$1+65&gt;90,BO193,(BO193+IF($B$1+65&lt;=$B193,12*$B$9,-12*$B$8*(1+$B$4)^65))*IF(BO193+IF($B$1+65&lt;=$B193,12*$B$9,-12*$B$8*(1+$B$4)^65)&gt;0,1+$B$3,1))</f>
        <v/>
      </c>
      <c r="BQ193">
        <f>IF($B$1+66&gt;90,BP193,(BP193+IF($B$1+66&lt;=$B193,12*$B$9,-12*$B$8*(1+$B$4)^66))*IF(BP193+IF($B$1+66&lt;=$B193,12*$B$9,-12*$B$8*(1+$B$4)^66)&gt;0,1+$B$3,1))</f>
        <v/>
      </c>
      <c r="BR193">
        <f>IF($B$1+67&gt;90,BQ193,(BQ193+IF($B$1+67&lt;=$B193,12*$B$9,-12*$B$8*(1+$B$4)^67))*IF(BQ193+IF($B$1+67&lt;=$B193,12*$B$9,-12*$B$8*(1+$B$4)^67)&gt;0,1+$B$3,1))</f>
        <v/>
      </c>
      <c r="BS193">
        <f>IF($B$1+68&gt;90,BR193,(BR193+IF($B$1+68&lt;=$B193,12*$B$9,-12*$B$8*(1+$B$4)^68))*IF(BR193+IF($B$1+68&lt;=$B193,12*$B$9,-12*$B$8*(1+$B$4)^68)&gt;0,1+$B$3,1))</f>
        <v/>
      </c>
      <c r="BT193">
        <f>IF($B$1+69&gt;90,BS193,(BS193+IF($B$1+69&lt;=$B193,12*$B$9,-12*$B$8*(1+$B$4)^69))*IF(BS193+IF($B$1+69&lt;=$B193,12*$B$9,-12*$B$8*(1+$B$4)^69)&gt;0,1+$B$3,1))</f>
        <v/>
      </c>
      <c r="BU193">
        <f>IF($B$1+70&gt;90,BT193,(BT193+IF($B$1+70&lt;=$B193,12*$B$9,-12*$B$8*(1+$B$4)^70))*IF(BT193+IF($B$1+70&lt;=$B193,12*$B$9,-12*$B$8*(1+$B$4)^70)&gt;0,1+$B$3,1))</f>
        <v/>
      </c>
      <c r="BV193">
        <f>BU193</f>
        <v/>
      </c>
      <c r="BW193">
        <f>IF(AND($B193&lt;=70,BV193&gt;0),$B193,999)</f>
        <v/>
      </c>
    </row>
    <row r="194">
      <c r="A194" t="n">
        <v>42</v>
      </c>
      <c r="B194">
        <f>$B$1+42</f>
        <v/>
      </c>
      <c r="C194">
        <f>$B$2</f>
        <v/>
      </c>
      <c r="D194">
        <f>IF($B$1+1&gt;90,C194,(C194+IF($B$1+1&lt;=$B194,12*$B$9,-12*$B$8*(1+$B$4)^1))*IF(C194+IF($B$1+1&lt;=$B194,12*$B$9,-12*$B$8*(1+$B$4)^1)&gt;0,1+$B$3,1))</f>
        <v/>
      </c>
      <c r="E194">
        <f>IF($B$1+2&gt;90,D194,(D194+IF($B$1+2&lt;=$B194,12*$B$9,-12*$B$8*(1+$B$4)^2))*IF(D194+IF($B$1+2&lt;=$B194,12*$B$9,-12*$B$8*(1+$B$4)^2)&gt;0,1+$B$3,1))</f>
        <v/>
      </c>
      <c r="F194">
        <f>IF($B$1+3&gt;90,E194,(E194+IF($B$1+3&lt;=$B194,12*$B$9,-12*$B$8*(1+$B$4)^3))*IF(E194+IF($B$1+3&lt;=$B194,12*$B$9,-12*$B$8*(1+$B$4)^3)&gt;0,1+$B$3,1))</f>
        <v/>
      </c>
      <c r="G194">
        <f>IF($B$1+4&gt;90,F194,(F194+IF($B$1+4&lt;=$B194,12*$B$9,-12*$B$8*(1+$B$4)^4))*IF(F194+IF($B$1+4&lt;=$B194,12*$B$9,-12*$B$8*(1+$B$4)^4)&gt;0,1+$B$3,1))</f>
        <v/>
      </c>
      <c r="H194">
        <f>IF($B$1+5&gt;90,G194,(G194+IF($B$1+5&lt;=$B194,12*$B$9,-12*$B$8*(1+$B$4)^5))*IF(G194+IF($B$1+5&lt;=$B194,12*$B$9,-12*$B$8*(1+$B$4)^5)&gt;0,1+$B$3,1))</f>
        <v/>
      </c>
      <c r="I194">
        <f>IF($B$1+6&gt;90,H194,(H194+IF($B$1+6&lt;=$B194,12*$B$9,-12*$B$8*(1+$B$4)^6))*IF(H194+IF($B$1+6&lt;=$B194,12*$B$9,-12*$B$8*(1+$B$4)^6)&gt;0,1+$B$3,1))</f>
        <v/>
      </c>
      <c r="J194">
        <f>IF($B$1+7&gt;90,I194,(I194+IF($B$1+7&lt;=$B194,12*$B$9,-12*$B$8*(1+$B$4)^7))*IF(I194+IF($B$1+7&lt;=$B194,12*$B$9,-12*$B$8*(1+$B$4)^7)&gt;0,1+$B$3,1))</f>
        <v/>
      </c>
      <c r="K194">
        <f>IF($B$1+8&gt;90,J194,(J194+IF($B$1+8&lt;=$B194,12*$B$9,-12*$B$8*(1+$B$4)^8))*IF(J194+IF($B$1+8&lt;=$B194,12*$B$9,-12*$B$8*(1+$B$4)^8)&gt;0,1+$B$3,1))</f>
        <v/>
      </c>
      <c r="L194">
        <f>IF($B$1+9&gt;90,K194,(K194+IF($B$1+9&lt;=$B194,12*$B$9,-12*$B$8*(1+$B$4)^9))*IF(K194+IF($B$1+9&lt;=$B194,12*$B$9,-12*$B$8*(1+$B$4)^9)&gt;0,1+$B$3,1))</f>
        <v/>
      </c>
      <c r="M194">
        <f>IF($B$1+10&gt;90,L194,(L194+IF($B$1+10&lt;=$B194,12*$B$9,-12*$B$8*(1+$B$4)^10))*IF(L194+IF($B$1+10&lt;=$B194,12*$B$9,-12*$B$8*(1+$B$4)^10)&gt;0,1+$B$3,1))</f>
        <v/>
      </c>
      <c r="N194">
        <f>IF($B$1+11&gt;90,M194,(M194+IF($B$1+11&lt;=$B194,12*$B$9,-12*$B$8*(1+$B$4)^11))*IF(M194+IF($B$1+11&lt;=$B194,12*$B$9,-12*$B$8*(1+$B$4)^11)&gt;0,1+$B$3,1))</f>
        <v/>
      </c>
      <c r="O194">
        <f>IF($B$1+12&gt;90,N194,(N194+IF($B$1+12&lt;=$B194,12*$B$9,-12*$B$8*(1+$B$4)^12))*IF(N194+IF($B$1+12&lt;=$B194,12*$B$9,-12*$B$8*(1+$B$4)^12)&gt;0,1+$B$3,1))</f>
        <v/>
      </c>
      <c r="P194">
        <f>IF($B$1+13&gt;90,O194,(O194+IF($B$1+13&lt;=$B194,12*$B$9,-12*$B$8*(1+$B$4)^13))*IF(O194+IF($B$1+13&lt;=$B194,12*$B$9,-12*$B$8*(1+$B$4)^13)&gt;0,1+$B$3,1))</f>
        <v/>
      </c>
      <c r="Q194">
        <f>IF($B$1+14&gt;90,P194,(P194+IF($B$1+14&lt;=$B194,12*$B$9,-12*$B$8*(1+$B$4)^14))*IF(P194+IF($B$1+14&lt;=$B194,12*$B$9,-12*$B$8*(1+$B$4)^14)&gt;0,1+$B$3,1))</f>
        <v/>
      </c>
      <c r="R194">
        <f>IF($B$1+15&gt;90,Q194,(Q194+IF($B$1+15&lt;=$B194,12*$B$9,-12*$B$8*(1+$B$4)^15))*IF(Q194+IF($B$1+15&lt;=$B194,12*$B$9,-12*$B$8*(1+$B$4)^15)&gt;0,1+$B$3,1))</f>
        <v/>
      </c>
      <c r="S194">
        <f>IF($B$1+16&gt;90,R194,(R194+IF($B$1+16&lt;=$B194,12*$B$9,-12*$B$8*(1+$B$4)^16))*IF(R194+IF($B$1+16&lt;=$B194,12*$B$9,-12*$B$8*(1+$B$4)^16)&gt;0,1+$B$3,1))</f>
        <v/>
      </c>
      <c r="T194">
        <f>IF($B$1+17&gt;90,S194,(S194+IF($B$1+17&lt;=$B194,12*$B$9,-12*$B$8*(1+$B$4)^17))*IF(S194+IF($B$1+17&lt;=$B194,12*$B$9,-12*$B$8*(1+$B$4)^17)&gt;0,1+$B$3,1))</f>
        <v/>
      </c>
      <c r="U194">
        <f>IF($B$1+18&gt;90,T194,(T194+IF($B$1+18&lt;=$B194,12*$B$9,-12*$B$8*(1+$B$4)^18))*IF(T194+IF($B$1+18&lt;=$B194,12*$B$9,-12*$B$8*(1+$B$4)^18)&gt;0,1+$B$3,1))</f>
        <v/>
      </c>
      <c r="V194">
        <f>IF($B$1+19&gt;90,U194,(U194+IF($B$1+19&lt;=$B194,12*$B$9,-12*$B$8*(1+$B$4)^19))*IF(U194+IF($B$1+19&lt;=$B194,12*$B$9,-12*$B$8*(1+$B$4)^19)&gt;0,1+$B$3,1))</f>
        <v/>
      </c>
      <c r="W194">
        <f>IF($B$1+20&gt;90,V194,(V194+IF($B$1+20&lt;=$B194,12*$B$9,-12*$B$8*(1+$B$4)^20))*IF(V194+IF($B$1+20&lt;=$B194,12*$B$9,-12*$B$8*(1+$B$4)^20)&gt;0,1+$B$3,1))</f>
        <v/>
      </c>
      <c r="X194">
        <f>IF($B$1+21&gt;90,W194,(W194+IF($B$1+21&lt;=$B194,12*$B$9,-12*$B$8*(1+$B$4)^21))*IF(W194+IF($B$1+21&lt;=$B194,12*$B$9,-12*$B$8*(1+$B$4)^21)&gt;0,1+$B$3,1))</f>
        <v/>
      </c>
      <c r="Y194">
        <f>IF($B$1+22&gt;90,X194,(X194+IF($B$1+22&lt;=$B194,12*$B$9,-12*$B$8*(1+$B$4)^22))*IF(X194+IF($B$1+22&lt;=$B194,12*$B$9,-12*$B$8*(1+$B$4)^22)&gt;0,1+$B$3,1))</f>
        <v/>
      </c>
      <c r="Z194">
        <f>IF($B$1+23&gt;90,Y194,(Y194+IF($B$1+23&lt;=$B194,12*$B$9,-12*$B$8*(1+$B$4)^23))*IF(Y194+IF($B$1+23&lt;=$B194,12*$B$9,-12*$B$8*(1+$B$4)^23)&gt;0,1+$B$3,1))</f>
        <v/>
      </c>
      <c r="AA194">
        <f>IF($B$1+24&gt;90,Z194,(Z194+IF($B$1+24&lt;=$B194,12*$B$9,-12*$B$8*(1+$B$4)^24))*IF(Z194+IF($B$1+24&lt;=$B194,12*$B$9,-12*$B$8*(1+$B$4)^24)&gt;0,1+$B$3,1))</f>
        <v/>
      </c>
      <c r="AB194">
        <f>IF($B$1+25&gt;90,AA194,(AA194+IF($B$1+25&lt;=$B194,12*$B$9,-12*$B$8*(1+$B$4)^25))*IF(AA194+IF($B$1+25&lt;=$B194,12*$B$9,-12*$B$8*(1+$B$4)^25)&gt;0,1+$B$3,1))</f>
        <v/>
      </c>
      <c r="AC194">
        <f>IF($B$1+26&gt;90,AB194,(AB194+IF($B$1+26&lt;=$B194,12*$B$9,-12*$B$8*(1+$B$4)^26))*IF(AB194+IF($B$1+26&lt;=$B194,12*$B$9,-12*$B$8*(1+$B$4)^26)&gt;0,1+$B$3,1))</f>
        <v/>
      </c>
      <c r="AD194">
        <f>IF($B$1+27&gt;90,AC194,(AC194+IF($B$1+27&lt;=$B194,12*$B$9,-12*$B$8*(1+$B$4)^27))*IF(AC194+IF($B$1+27&lt;=$B194,12*$B$9,-12*$B$8*(1+$B$4)^27)&gt;0,1+$B$3,1))</f>
        <v/>
      </c>
      <c r="AE194">
        <f>IF($B$1+28&gt;90,AD194,(AD194+IF($B$1+28&lt;=$B194,12*$B$9,-12*$B$8*(1+$B$4)^28))*IF(AD194+IF($B$1+28&lt;=$B194,12*$B$9,-12*$B$8*(1+$B$4)^28)&gt;0,1+$B$3,1))</f>
        <v/>
      </c>
      <c r="AF194">
        <f>IF($B$1+29&gt;90,AE194,(AE194+IF($B$1+29&lt;=$B194,12*$B$9,-12*$B$8*(1+$B$4)^29))*IF(AE194+IF($B$1+29&lt;=$B194,12*$B$9,-12*$B$8*(1+$B$4)^29)&gt;0,1+$B$3,1))</f>
        <v/>
      </c>
      <c r="AG194">
        <f>IF($B$1+30&gt;90,AF194,(AF194+IF($B$1+30&lt;=$B194,12*$B$9,-12*$B$8*(1+$B$4)^30))*IF(AF194+IF($B$1+30&lt;=$B194,12*$B$9,-12*$B$8*(1+$B$4)^30)&gt;0,1+$B$3,1))</f>
        <v/>
      </c>
      <c r="AH194">
        <f>IF($B$1+31&gt;90,AG194,(AG194+IF($B$1+31&lt;=$B194,12*$B$9,-12*$B$8*(1+$B$4)^31))*IF(AG194+IF($B$1+31&lt;=$B194,12*$B$9,-12*$B$8*(1+$B$4)^31)&gt;0,1+$B$3,1))</f>
        <v/>
      </c>
      <c r="AI194">
        <f>IF($B$1+32&gt;90,AH194,(AH194+IF($B$1+32&lt;=$B194,12*$B$9,-12*$B$8*(1+$B$4)^32))*IF(AH194+IF($B$1+32&lt;=$B194,12*$B$9,-12*$B$8*(1+$B$4)^32)&gt;0,1+$B$3,1))</f>
        <v/>
      </c>
      <c r="AJ194">
        <f>IF($B$1+33&gt;90,AI194,(AI194+IF($B$1+33&lt;=$B194,12*$B$9,-12*$B$8*(1+$B$4)^33))*IF(AI194+IF($B$1+33&lt;=$B194,12*$B$9,-12*$B$8*(1+$B$4)^33)&gt;0,1+$B$3,1))</f>
        <v/>
      </c>
      <c r="AK194">
        <f>IF($B$1+34&gt;90,AJ194,(AJ194+IF($B$1+34&lt;=$B194,12*$B$9,-12*$B$8*(1+$B$4)^34))*IF(AJ194+IF($B$1+34&lt;=$B194,12*$B$9,-12*$B$8*(1+$B$4)^34)&gt;0,1+$B$3,1))</f>
        <v/>
      </c>
      <c r="AL194">
        <f>IF($B$1+35&gt;90,AK194,(AK194+IF($B$1+35&lt;=$B194,12*$B$9,-12*$B$8*(1+$B$4)^35))*IF(AK194+IF($B$1+35&lt;=$B194,12*$B$9,-12*$B$8*(1+$B$4)^35)&gt;0,1+$B$3,1))</f>
        <v/>
      </c>
      <c r="AM194">
        <f>IF($B$1+36&gt;90,AL194,(AL194+IF($B$1+36&lt;=$B194,12*$B$9,-12*$B$8*(1+$B$4)^36))*IF(AL194+IF($B$1+36&lt;=$B194,12*$B$9,-12*$B$8*(1+$B$4)^36)&gt;0,1+$B$3,1))</f>
        <v/>
      </c>
      <c r="AN194">
        <f>IF($B$1+37&gt;90,AM194,(AM194+IF($B$1+37&lt;=$B194,12*$B$9,-12*$B$8*(1+$B$4)^37))*IF(AM194+IF($B$1+37&lt;=$B194,12*$B$9,-12*$B$8*(1+$B$4)^37)&gt;0,1+$B$3,1))</f>
        <v/>
      </c>
      <c r="AO194">
        <f>IF($B$1+38&gt;90,AN194,(AN194+IF($B$1+38&lt;=$B194,12*$B$9,-12*$B$8*(1+$B$4)^38))*IF(AN194+IF($B$1+38&lt;=$B194,12*$B$9,-12*$B$8*(1+$B$4)^38)&gt;0,1+$B$3,1))</f>
        <v/>
      </c>
      <c r="AP194">
        <f>IF($B$1+39&gt;90,AO194,(AO194+IF($B$1+39&lt;=$B194,12*$B$9,-12*$B$8*(1+$B$4)^39))*IF(AO194+IF($B$1+39&lt;=$B194,12*$B$9,-12*$B$8*(1+$B$4)^39)&gt;0,1+$B$3,1))</f>
        <v/>
      </c>
      <c r="AQ194">
        <f>IF($B$1+40&gt;90,AP194,(AP194+IF($B$1+40&lt;=$B194,12*$B$9,-12*$B$8*(1+$B$4)^40))*IF(AP194+IF($B$1+40&lt;=$B194,12*$B$9,-12*$B$8*(1+$B$4)^40)&gt;0,1+$B$3,1))</f>
        <v/>
      </c>
      <c r="AR194">
        <f>IF($B$1+41&gt;90,AQ194,(AQ194+IF($B$1+41&lt;=$B194,12*$B$9,-12*$B$8*(1+$B$4)^41))*IF(AQ194+IF($B$1+41&lt;=$B194,12*$B$9,-12*$B$8*(1+$B$4)^41)&gt;0,1+$B$3,1))</f>
        <v/>
      </c>
      <c r="AS194">
        <f>IF($B$1+42&gt;90,AR194,(AR194+IF($B$1+42&lt;=$B194,12*$B$9,-12*$B$8*(1+$B$4)^42))*IF(AR194+IF($B$1+42&lt;=$B194,12*$B$9,-12*$B$8*(1+$B$4)^42)&gt;0,1+$B$3,1))</f>
        <v/>
      </c>
      <c r="AT194">
        <f>IF($B$1+43&gt;90,AS194,(AS194+IF($B$1+43&lt;=$B194,12*$B$9,-12*$B$8*(1+$B$4)^43))*IF(AS194+IF($B$1+43&lt;=$B194,12*$B$9,-12*$B$8*(1+$B$4)^43)&gt;0,1+$B$3,1))</f>
        <v/>
      </c>
      <c r="AU194">
        <f>IF($B$1+44&gt;90,AT194,(AT194+IF($B$1+44&lt;=$B194,12*$B$9,-12*$B$8*(1+$B$4)^44))*IF(AT194+IF($B$1+44&lt;=$B194,12*$B$9,-12*$B$8*(1+$B$4)^44)&gt;0,1+$B$3,1))</f>
        <v/>
      </c>
      <c r="AV194">
        <f>IF($B$1+45&gt;90,AU194,(AU194+IF($B$1+45&lt;=$B194,12*$B$9,-12*$B$8*(1+$B$4)^45))*IF(AU194+IF($B$1+45&lt;=$B194,12*$B$9,-12*$B$8*(1+$B$4)^45)&gt;0,1+$B$3,1))</f>
        <v/>
      </c>
      <c r="AW194">
        <f>IF($B$1+46&gt;90,AV194,(AV194+IF($B$1+46&lt;=$B194,12*$B$9,-12*$B$8*(1+$B$4)^46))*IF(AV194+IF($B$1+46&lt;=$B194,12*$B$9,-12*$B$8*(1+$B$4)^46)&gt;0,1+$B$3,1))</f>
        <v/>
      </c>
      <c r="AX194">
        <f>IF($B$1+47&gt;90,AW194,(AW194+IF($B$1+47&lt;=$B194,12*$B$9,-12*$B$8*(1+$B$4)^47))*IF(AW194+IF($B$1+47&lt;=$B194,12*$B$9,-12*$B$8*(1+$B$4)^47)&gt;0,1+$B$3,1))</f>
        <v/>
      </c>
      <c r="AY194">
        <f>IF($B$1+48&gt;90,AX194,(AX194+IF($B$1+48&lt;=$B194,12*$B$9,-12*$B$8*(1+$B$4)^48))*IF(AX194+IF($B$1+48&lt;=$B194,12*$B$9,-12*$B$8*(1+$B$4)^48)&gt;0,1+$B$3,1))</f>
        <v/>
      </c>
      <c r="AZ194">
        <f>IF($B$1+49&gt;90,AY194,(AY194+IF($B$1+49&lt;=$B194,12*$B$9,-12*$B$8*(1+$B$4)^49))*IF(AY194+IF($B$1+49&lt;=$B194,12*$B$9,-12*$B$8*(1+$B$4)^49)&gt;0,1+$B$3,1))</f>
        <v/>
      </c>
      <c r="BA194">
        <f>IF($B$1+50&gt;90,AZ194,(AZ194+IF($B$1+50&lt;=$B194,12*$B$9,-12*$B$8*(1+$B$4)^50))*IF(AZ194+IF($B$1+50&lt;=$B194,12*$B$9,-12*$B$8*(1+$B$4)^50)&gt;0,1+$B$3,1))</f>
        <v/>
      </c>
      <c r="BB194">
        <f>IF($B$1+51&gt;90,BA194,(BA194+IF($B$1+51&lt;=$B194,12*$B$9,-12*$B$8*(1+$B$4)^51))*IF(BA194+IF($B$1+51&lt;=$B194,12*$B$9,-12*$B$8*(1+$B$4)^51)&gt;0,1+$B$3,1))</f>
        <v/>
      </c>
      <c r="BC194">
        <f>IF($B$1+52&gt;90,BB194,(BB194+IF($B$1+52&lt;=$B194,12*$B$9,-12*$B$8*(1+$B$4)^52))*IF(BB194+IF($B$1+52&lt;=$B194,12*$B$9,-12*$B$8*(1+$B$4)^52)&gt;0,1+$B$3,1))</f>
        <v/>
      </c>
      <c r="BD194">
        <f>IF($B$1+53&gt;90,BC194,(BC194+IF($B$1+53&lt;=$B194,12*$B$9,-12*$B$8*(1+$B$4)^53))*IF(BC194+IF($B$1+53&lt;=$B194,12*$B$9,-12*$B$8*(1+$B$4)^53)&gt;0,1+$B$3,1))</f>
        <v/>
      </c>
      <c r="BE194">
        <f>IF($B$1+54&gt;90,BD194,(BD194+IF($B$1+54&lt;=$B194,12*$B$9,-12*$B$8*(1+$B$4)^54))*IF(BD194+IF($B$1+54&lt;=$B194,12*$B$9,-12*$B$8*(1+$B$4)^54)&gt;0,1+$B$3,1))</f>
        <v/>
      </c>
      <c r="BF194">
        <f>IF($B$1+55&gt;90,BE194,(BE194+IF($B$1+55&lt;=$B194,12*$B$9,-12*$B$8*(1+$B$4)^55))*IF(BE194+IF($B$1+55&lt;=$B194,12*$B$9,-12*$B$8*(1+$B$4)^55)&gt;0,1+$B$3,1))</f>
        <v/>
      </c>
      <c r="BG194">
        <f>IF($B$1+56&gt;90,BF194,(BF194+IF($B$1+56&lt;=$B194,12*$B$9,-12*$B$8*(1+$B$4)^56))*IF(BF194+IF($B$1+56&lt;=$B194,12*$B$9,-12*$B$8*(1+$B$4)^56)&gt;0,1+$B$3,1))</f>
        <v/>
      </c>
      <c r="BH194">
        <f>IF($B$1+57&gt;90,BG194,(BG194+IF($B$1+57&lt;=$B194,12*$B$9,-12*$B$8*(1+$B$4)^57))*IF(BG194+IF($B$1+57&lt;=$B194,12*$B$9,-12*$B$8*(1+$B$4)^57)&gt;0,1+$B$3,1))</f>
        <v/>
      </c>
      <c r="BI194">
        <f>IF($B$1+58&gt;90,BH194,(BH194+IF($B$1+58&lt;=$B194,12*$B$9,-12*$B$8*(1+$B$4)^58))*IF(BH194+IF($B$1+58&lt;=$B194,12*$B$9,-12*$B$8*(1+$B$4)^58)&gt;0,1+$B$3,1))</f>
        <v/>
      </c>
      <c r="BJ194">
        <f>IF($B$1+59&gt;90,BI194,(BI194+IF($B$1+59&lt;=$B194,12*$B$9,-12*$B$8*(1+$B$4)^59))*IF(BI194+IF($B$1+59&lt;=$B194,12*$B$9,-12*$B$8*(1+$B$4)^59)&gt;0,1+$B$3,1))</f>
        <v/>
      </c>
      <c r="BK194">
        <f>IF($B$1+60&gt;90,BJ194,(BJ194+IF($B$1+60&lt;=$B194,12*$B$9,-12*$B$8*(1+$B$4)^60))*IF(BJ194+IF($B$1+60&lt;=$B194,12*$B$9,-12*$B$8*(1+$B$4)^60)&gt;0,1+$B$3,1))</f>
        <v/>
      </c>
      <c r="BL194">
        <f>IF($B$1+61&gt;90,BK194,(BK194+IF($B$1+61&lt;=$B194,12*$B$9,-12*$B$8*(1+$B$4)^61))*IF(BK194+IF($B$1+61&lt;=$B194,12*$B$9,-12*$B$8*(1+$B$4)^61)&gt;0,1+$B$3,1))</f>
        <v/>
      </c>
      <c r="BM194">
        <f>IF($B$1+62&gt;90,BL194,(BL194+IF($B$1+62&lt;=$B194,12*$B$9,-12*$B$8*(1+$B$4)^62))*IF(BL194+IF($B$1+62&lt;=$B194,12*$B$9,-12*$B$8*(1+$B$4)^62)&gt;0,1+$B$3,1))</f>
        <v/>
      </c>
      <c r="BN194">
        <f>IF($B$1+63&gt;90,BM194,(BM194+IF($B$1+63&lt;=$B194,12*$B$9,-12*$B$8*(1+$B$4)^63))*IF(BM194+IF($B$1+63&lt;=$B194,12*$B$9,-12*$B$8*(1+$B$4)^63)&gt;0,1+$B$3,1))</f>
        <v/>
      </c>
      <c r="BO194">
        <f>IF($B$1+64&gt;90,BN194,(BN194+IF($B$1+64&lt;=$B194,12*$B$9,-12*$B$8*(1+$B$4)^64))*IF(BN194+IF($B$1+64&lt;=$B194,12*$B$9,-12*$B$8*(1+$B$4)^64)&gt;0,1+$B$3,1))</f>
        <v/>
      </c>
      <c r="BP194">
        <f>IF($B$1+65&gt;90,BO194,(BO194+IF($B$1+65&lt;=$B194,12*$B$9,-12*$B$8*(1+$B$4)^65))*IF(BO194+IF($B$1+65&lt;=$B194,12*$B$9,-12*$B$8*(1+$B$4)^65)&gt;0,1+$B$3,1))</f>
        <v/>
      </c>
      <c r="BQ194">
        <f>IF($B$1+66&gt;90,BP194,(BP194+IF($B$1+66&lt;=$B194,12*$B$9,-12*$B$8*(1+$B$4)^66))*IF(BP194+IF($B$1+66&lt;=$B194,12*$B$9,-12*$B$8*(1+$B$4)^66)&gt;0,1+$B$3,1))</f>
        <v/>
      </c>
      <c r="BR194">
        <f>IF($B$1+67&gt;90,BQ194,(BQ194+IF($B$1+67&lt;=$B194,12*$B$9,-12*$B$8*(1+$B$4)^67))*IF(BQ194+IF($B$1+67&lt;=$B194,12*$B$9,-12*$B$8*(1+$B$4)^67)&gt;0,1+$B$3,1))</f>
        <v/>
      </c>
      <c r="BS194">
        <f>IF($B$1+68&gt;90,BR194,(BR194+IF($B$1+68&lt;=$B194,12*$B$9,-12*$B$8*(1+$B$4)^68))*IF(BR194+IF($B$1+68&lt;=$B194,12*$B$9,-12*$B$8*(1+$B$4)^68)&gt;0,1+$B$3,1))</f>
        <v/>
      </c>
      <c r="BT194">
        <f>IF($B$1+69&gt;90,BS194,(BS194+IF($B$1+69&lt;=$B194,12*$B$9,-12*$B$8*(1+$B$4)^69))*IF(BS194+IF($B$1+69&lt;=$B194,12*$B$9,-12*$B$8*(1+$B$4)^69)&gt;0,1+$B$3,1))</f>
        <v/>
      </c>
      <c r="BU194">
        <f>IF($B$1+70&gt;90,BT194,(BT194+IF($B$1+70&lt;=$B194,12*$B$9,-12*$B$8*(1+$B$4)^70))*IF(BT194+IF($B$1+70&lt;=$B194,12*$B$9,-12*$B$8*(1+$B$4)^70)&gt;0,1+$B$3,1))</f>
        <v/>
      </c>
      <c r="BV194">
        <f>BU194</f>
        <v/>
      </c>
      <c r="BW194">
        <f>IF(AND($B194&lt;=70,BV194&gt;0),$B194,999)</f>
        <v/>
      </c>
    </row>
    <row r="195">
      <c r="A195" t="n">
        <v>43</v>
      </c>
      <c r="B195">
        <f>$B$1+43</f>
        <v/>
      </c>
      <c r="C195">
        <f>$B$2</f>
        <v/>
      </c>
      <c r="D195">
        <f>IF($B$1+1&gt;90,C195,(C195+IF($B$1+1&lt;=$B195,12*$B$9,-12*$B$8*(1+$B$4)^1))*IF(C195+IF($B$1+1&lt;=$B195,12*$B$9,-12*$B$8*(1+$B$4)^1)&gt;0,1+$B$3,1))</f>
        <v/>
      </c>
      <c r="E195">
        <f>IF($B$1+2&gt;90,D195,(D195+IF($B$1+2&lt;=$B195,12*$B$9,-12*$B$8*(1+$B$4)^2))*IF(D195+IF($B$1+2&lt;=$B195,12*$B$9,-12*$B$8*(1+$B$4)^2)&gt;0,1+$B$3,1))</f>
        <v/>
      </c>
      <c r="F195">
        <f>IF($B$1+3&gt;90,E195,(E195+IF($B$1+3&lt;=$B195,12*$B$9,-12*$B$8*(1+$B$4)^3))*IF(E195+IF($B$1+3&lt;=$B195,12*$B$9,-12*$B$8*(1+$B$4)^3)&gt;0,1+$B$3,1))</f>
        <v/>
      </c>
      <c r="G195">
        <f>IF($B$1+4&gt;90,F195,(F195+IF($B$1+4&lt;=$B195,12*$B$9,-12*$B$8*(1+$B$4)^4))*IF(F195+IF($B$1+4&lt;=$B195,12*$B$9,-12*$B$8*(1+$B$4)^4)&gt;0,1+$B$3,1))</f>
        <v/>
      </c>
      <c r="H195">
        <f>IF($B$1+5&gt;90,G195,(G195+IF($B$1+5&lt;=$B195,12*$B$9,-12*$B$8*(1+$B$4)^5))*IF(G195+IF($B$1+5&lt;=$B195,12*$B$9,-12*$B$8*(1+$B$4)^5)&gt;0,1+$B$3,1))</f>
        <v/>
      </c>
      <c r="I195">
        <f>IF($B$1+6&gt;90,H195,(H195+IF($B$1+6&lt;=$B195,12*$B$9,-12*$B$8*(1+$B$4)^6))*IF(H195+IF($B$1+6&lt;=$B195,12*$B$9,-12*$B$8*(1+$B$4)^6)&gt;0,1+$B$3,1))</f>
        <v/>
      </c>
      <c r="J195">
        <f>IF($B$1+7&gt;90,I195,(I195+IF($B$1+7&lt;=$B195,12*$B$9,-12*$B$8*(1+$B$4)^7))*IF(I195+IF($B$1+7&lt;=$B195,12*$B$9,-12*$B$8*(1+$B$4)^7)&gt;0,1+$B$3,1))</f>
        <v/>
      </c>
      <c r="K195">
        <f>IF($B$1+8&gt;90,J195,(J195+IF($B$1+8&lt;=$B195,12*$B$9,-12*$B$8*(1+$B$4)^8))*IF(J195+IF($B$1+8&lt;=$B195,12*$B$9,-12*$B$8*(1+$B$4)^8)&gt;0,1+$B$3,1))</f>
        <v/>
      </c>
      <c r="L195">
        <f>IF($B$1+9&gt;90,K195,(K195+IF($B$1+9&lt;=$B195,12*$B$9,-12*$B$8*(1+$B$4)^9))*IF(K195+IF($B$1+9&lt;=$B195,12*$B$9,-12*$B$8*(1+$B$4)^9)&gt;0,1+$B$3,1))</f>
        <v/>
      </c>
      <c r="M195">
        <f>IF($B$1+10&gt;90,L195,(L195+IF($B$1+10&lt;=$B195,12*$B$9,-12*$B$8*(1+$B$4)^10))*IF(L195+IF($B$1+10&lt;=$B195,12*$B$9,-12*$B$8*(1+$B$4)^10)&gt;0,1+$B$3,1))</f>
        <v/>
      </c>
      <c r="N195">
        <f>IF($B$1+11&gt;90,M195,(M195+IF($B$1+11&lt;=$B195,12*$B$9,-12*$B$8*(1+$B$4)^11))*IF(M195+IF($B$1+11&lt;=$B195,12*$B$9,-12*$B$8*(1+$B$4)^11)&gt;0,1+$B$3,1))</f>
        <v/>
      </c>
      <c r="O195">
        <f>IF($B$1+12&gt;90,N195,(N195+IF($B$1+12&lt;=$B195,12*$B$9,-12*$B$8*(1+$B$4)^12))*IF(N195+IF($B$1+12&lt;=$B195,12*$B$9,-12*$B$8*(1+$B$4)^12)&gt;0,1+$B$3,1))</f>
        <v/>
      </c>
      <c r="P195">
        <f>IF($B$1+13&gt;90,O195,(O195+IF($B$1+13&lt;=$B195,12*$B$9,-12*$B$8*(1+$B$4)^13))*IF(O195+IF($B$1+13&lt;=$B195,12*$B$9,-12*$B$8*(1+$B$4)^13)&gt;0,1+$B$3,1))</f>
        <v/>
      </c>
      <c r="Q195">
        <f>IF($B$1+14&gt;90,P195,(P195+IF($B$1+14&lt;=$B195,12*$B$9,-12*$B$8*(1+$B$4)^14))*IF(P195+IF($B$1+14&lt;=$B195,12*$B$9,-12*$B$8*(1+$B$4)^14)&gt;0,1+$B$3,1))</f>
        <v/>
      </c>
      <c r="R195">
        <f>IF($B$1+15&gt;90,Q195,(Q195+IF($B$1+15&lt;=$B195,12*$B$9,-12*$B$8*(1+$B$4)^15))*IF(Q195+IF($B$1+15&lt;=$B195,12*$B$9,-12*$B$8*(1+$B$4)^15)&gt;0,1+$B$3,1))</f>
        <v/>
      </c>
      <c r="S195">
        <f>IF($B$1+16&gt;90,R195,(R195+IF($B$1+16&lt;=$B195,12*$B$9,-12*$B$8*(1+$B$4)^16))*IF(R195+IF($B$1+16&lt;=$B195,12*$B$9,-12*$B$8*(1+$B$4)^16)&gt;0,1+$B$3,1))</f>
        <v/>
      </c>
      <c r="T195">
        <f>IF($B$1+17&gt;90,S195,(S195+IF($B$1+17&lt;=$B195,12*$B$9,-12*$B$8*(1+$B$4)^17))*IF(S195+IF($B$1+17&lt;=$B195,12*$B$9,-12*$B$8*(1+$B$4)^17)&gt;0,1+$B$3,1))</f>
        <v/>
      </c>
      <c r="U195">
        <f>IF($B$1+18&gt;90,T195,(T195+IF($B$1+18&lt;=$B195,12*$B$9,-12*$B$8*(1+$B$4)^18))*IF(T195+IF($B$1+18&lt;=$B195,12*$B$9,-12*$B$8*(1+$B$4)^18)&gt;0,1+$B$3,1))</f>
        <v/>
      </c>
      <c r="V195">
        <f>IF($B$1+19&gt;90,U195,(U195+IF($B$1+19&lt;=$B195,12*$B$9,-12*$B$8*(1+$B$4)^19))*IF(U195+IF($B$1+19&lt;=$B195,12*$B$9,-12*$B$8*(1+$B$4)^19)&gt;0,1+$B$3,1))</f>
        <v/>
      </c>
      <c r="W195">
        <f>IF($B$1+20&gt;90,V195,(V195+IF($B$1+20&lt;=$B195,12*$B$9,-12*$B$8*(1+$B$4)^20))*IF(V195+IF($B$1+20&lt;=$B195,12*$B$9,-12*$B$8*(1+$B$4)^20)&gt;0,1+$B$3,1))</f>
        <v/>
      </c>
      <c r="X195">
        <f>IF($B$1+21&gt;90,W195,(W195+IF($B$1+21&lt;=$B195,12*$B$9,-12*$B$8*(1+$B$4)^21))*IF(W195+IF($B$1+21&lt;=$B195,12*$B$9,-12*$B$8*(1+$B$4)^21)&gt;0,1+$B$3,1))</f>
        <v/>
      </c>
      <c r="Y195">
        <f>IF($B$1+22&gt;90,X195,(X195+IF($B$1+22&lt;=$B195,12*$B$9,-12*$B$8*(1+$B$4)^22))*IF(X195+IF($B$1+22&lt;=$B195,12*$B$9,-12*$B$8*(1+$B$4)^22)&gt;0,1+$B$3,1))</f>
        <v/>
      </c>
      <c r="Z195">
        <f>IF($B$1+23&gt;90,Y195,(Y195+IF($B$1+23&lt;=$B195,12*$B$9,-12*$B$8*(1+$B$4)^23))*IF(Y195+IF($B$1+23&lt;=$B195,12*$B$9,-12*$B$8*(1+$B$4)^23)&gt;0,1+$B$3,1))</f>
        <v/>
      </c>
      <c r="AA195">
        <f>IF($B$1+24&gt;90,Z195,(Z195+IF($B$1+24&lt;=$B195,12*$B$9,-12*$B$8*(1+$B$4)^24))*IF(Z195+IF($B$1+24&lt;=$B195,12*$B$9,-12*$B$8*(1+$B$4)^24)&gt;0,1+$B$3,1))</f>
        <v/>
      </c>
      <c r="AB195">
        <f>IF($B$1+25&gt;90,AA195,(AA195+IF($B$1+25&lt;=$B195,12*$B$9,-12*$B$8*(1+$B$4)^25))*IF(AA195+IF($B$1+25&lt;=$B195,12*$B$9,-12*$B$8*(1+$B$4)^25)&gt;0,1+$B$3,1))</f>
        <v/>
      </c>
      <c r="AC195">
        <f>IF($B$1+26&gt;90,AB195,(AB195+IF($B$1+26&lt;=$B195,12*$B$9,-12*$B$8*(1+$B$4)^26))*IF(AB195+IF($B$1+26&lt;=$B195,12*$B$9,-12*$B$8*(1+$B$4)^26)&gt;0,1+$B$3,1))</f>
        <v/>
      </c>
      <c r="AD195">
        <f>IF($B$1+27&gt;90,AC195,(AC195+IF($B$1+27&lt;=$B195,12*$B$9,-12*$B$8*(1+$B$4)^27))*IF(AC195+IF($B$1+27&lt;=$B195,12*$B$9,-12*$B$8*(1+$B$4)^27)&gt;0,1+$B$3,1))</f>
        <v/>
      </c>
      <c r="AE195">
        <f>IF($B$1+28&gt;90,AD195,(AD195+IF($B$1+28&lt;=$B195,12*$B$9,-12*$B$8*(1+$B$4)^28))*IF(AD195+IF($B$1+28&lt;=$B195,12*$B$9,-12*$B$8*(1+$B$4)^28)&gt;0,1+$B$3,1))</f>
        <v/>
      </c>
      <c r="AF195">
        <f>IF($B$1+29&gt;90,AE195,(AE195+IF($B$1+29&lt;=$B195,12*$B$9,-12*$B$8*(1+$B$4)^29))*IF(AE195+IF($B$1+29&lt;=$B195,12*$B$9,-12*$B$8*(1+$B$4)^29)&gt;0,1+$B$3,1))</f>
        <v/>
      </c>
      <c r="AG195">
        <f>IF($B$1+30&gt;90,AF195,(AF195+IF($B$1+30&lt;=$B195,12*$B$9,-12*$B$8*(1+$B$4)^30))*IF(AF195+IF($B$1+30&lt;=$B195,12*$B$9,-12*$B$8*(1+$B$4)^30)&gt;0,1+$B$3,1))</f>
        <v/>
      </c>
      <c r="AH195">
        <f>IF($B$1+31&gt;90,AG195,(AG195+IF($B$1+31&lt;=$B195,12*$B$9,-12*$B$8*(1+$B$4)^31))*IF(AG195+IF($B$1+31&lt;=$B195,12*$B$9,-12*$B$8*(1+$B$4)^31)&gt;0,1+$B$3,1))</f>
        <v/>
      </c>
      <c r="AI195">
        <f>IF($B$1+32&gt;90,AH195,(AH195+IF($B$1+32&lt;=$B195,12*$B$9,-12*$B$8*(1+$B$4)^32))*IF(AH195+IF($B$1+32&lt;=$B195,12*$B$9,-12*$B$8*(1+$B$4)^32)&gt;0,1+$B$3,1))</f>
        <v/>
      </c>
      <c r="AJ195">
        <f>IF($B$1+33&gt;90,AI195,(AI195+IF($B$1+33&lt;=$B195,12*$B$9,-12*$B$8*(1+$B$4)^33))*IF(AI195+IF($B$1+33&lt;=$B195,12*$B$9,-12*$B$8*(1+$B$4)^33)&gt;0,1+$B$3,1))</f>
        <v/>
      </c>
      <c r="AK195">
        <f>IF($B$1+34&gt;90,AJ195,(AJ195+IF($B$1+34&lt;=$B195,12*$B$9,-12*$B$8*(1+$B$4)^34))*IF(AJ195+IF($B$1+34&lt;=$B195,12*$B$9,-12*$B$8*(1+$B$4)^34)&gt;0,1+$B$3,1))</f>
        <v/>
      </c>
      <c r="AL195">
        <f>IF($B$1+35&gt;90,AK195,(AK195+IF($B$1+35&lt;=$B195,12*$B$9,-12*$B$8*(1+$B$4)^35))*IF(AK195+IF($B$1+35&lt;=$B195,12*$B$9,-12*$B$8*(1+$B$4)^35)&gt;0,1+$B$3,1))</f>
        <v/>
      </c>
      <c r="AM195">
        <f>IF($B$1+36&gt;90,AL195,(AL195+IF($B$1+36&lt;=$B195,12*$B$9,-12*$B$8*(1+$B$4)^36))*IF(AL195+IF($B$1+36&lt;=$B195,12*$B$9,-12*$B$8*(1+$B$4)^36)&gt;0,1+$B$3,1))</f>
        <v/>
      </c>
      <c r="AN195">
        <f>IF($B$1+37&gt;90,AM195,(AM195+IF($B$1+37&lt;=$B195,12*$B$9,-12*$B$8*(1+$B$4)^37))*IF(AM195+IF($B$1+37&lt;=$B195,12*$B$9,-12*$B$8*(1+$B$4)^37)&gt;0,1+$B$3,1))</f>
        <v/>
      </c>
      <c r="AO195">
        <f>IF($B$1+38&gt;90,AN195,(AN195+IF($B$1+38&lt;=$B195,12*$B$9,-12*$B$8*(1+$B$4)^38))*IF(AN195+IF($B$1+38&lt;=$B195,12*$B$9,-12*$B$8*(1+$B$4)^38)&gt;0,1+$B$3,1))</f>
        <v/>
      </c>
      <c r="AP195">
        <f>IF($B$1+39&gt;90,AO195,(AO195+IF($B$1+39&lt;=$B195,12*$B$9,-12*$B$8*(1+$B$4)^39))*IF(AO195+IF($B$1+39&lt;=$B195,12*$B$9,-12*$B$8*(1+$B$4)^39)&gt;0,1+$B$3,1))</f>
        <v/>
      </c>
      <c r="AQ195">
        <f>IF($B$1+40&gt;90,AP195,(AP195+IF($B$1+40&lt;=$B195,12*$B$9,-12*$B$8*(1+$B$4)^40))*IF(AP195+IF($B$1+40&lt;=$B195,12*$B$9,-12*$B$8*(1+$B$4)^40)&gt;0,1+$B$3,1))</f>
        <v/>
      </c>
      <c r="AR195">
        <f>IF($B$1+41&gt;90,AQ195,(AQ195+IF($B$1+41&lt;=$B195,12*$B$9,-12*$B$8*(1+$B$4)^41))*IF(AQ195+IF($B$1+41&lt;=$B195,12*$B$9,-12*$B$8*(1+$B$4)^41)&gt;0,1+$B$3,1))</f>
        <v/>
      </c>
      <c r="AS195">
        <f>IF($B$1+42&gt;90,AR195,(AR195+IF($B$1+42&lt;=$B195,12*$B$9,-12*$B$8*(1+$B$4)^42))*IF(AR195+IF($B$1+42&lt;=$B195,12*$B$9,-12*$B$8*(1+$B$4)^42)&gt;0,1+$B$3,1))</f>
        <v/>
      </c>
      <c r="AT195">
        <f>IF($B$1+43&gt;90,AS195,(AS195+IF($B$1+43&lt;=$B195,12*$B$9,-12*$B$8*(1+$B$4)^43))*IF(AS195+IF($B$1+43&lt;=$B195,12*$B$9,-12*$B$8*(1+$B$4)^43)&gt;0,1+$B$3,1))</f>
        <v/>
      </c>
      <c r="AU195">
        <f>IF($B$1+44&gt;90,AT195,(AT195+IF($B$1+44&lt;=$B195,12*$B$9,-12*$B$8*(1+$B$4)^44))*IF(AT195+IF($B$1+44&lt;=$B195,12*$B$9,-12*$B$8*(1+$B$4)^44)&gt;0,1+$B$3,1))</f>
        <v/>
      </c>
      <c r="AV195">
        <f>IF($B$1+45&gt;90,AU195,(AU195+IF($B$1+45&lt;=$B195,12*$B$9,-12*$B$8*(1+$B$4)^45))*IF(AU195+IF($B$1+45&lt;=$B195,12*$B$9,-12*$B$8*(1+$B$4)^45)&gt;0,1+$B$3,1))</f>
        <v/>
      </c>
      <c r="AW195">
        <f>IF($B$1+46&gt;90,AV195,(AV195+IF($B$1+46&lt;=$B195,12*$B$9,-12*$B$8*(1+$B$4)^46))*IF(AV195+IF($B$1+46&lt;=$B195,12*$B$9,-12*$B$8*(1+$B$4)^46)&gt;0,1+$B$3,1))</f>
        <v/>
      </c>
      <c r="AX195">
        <f>IF($B$1+47&gt;90,AW195,(AW195+IF($B$1+47&lt;=$B195,12*$B$9,-12*$B$8*(1+$B$4)^47))*IF(AW195+IF($B$1+47&lt;=$B195,12*$B$9,-12*$B$8*(1+$B$4)^47)&gt;0,1+$B$3,1))</f>
        <v/>
      </c>
      <c r="AY195">
        <f>IF($B$1+48&gt;90,AX195,(AX195+IF($B$1+48&lt;=$B195,12*$B$9,-12*$B$8*(1+$B$4)^48))*IF(AX195+IF($B$1+48&lt;=$B195,12*$B$9,-12*$B$8*(1+$B$4)^48)&gt;0,1+$B$3,1))</f>
        <v/>
      </c>
      <c r="AZ195">
        <f>IF($B$1+49&gt;90,AY195,(AY195+IF($B$1+49&lt;=$B195,12*$B$9,-12*$B$8*(1+$B$4)^49))*IF(AY195+IF($B$1+49&lt;=$B195,12*$B$9,-12*$B$8*(1+$B$4)^49)&gt;0,1+$B$3,1))</f>
        <v/>
      </c>
      <c r="BA195">
        <f>IF($B$1+50&gt;90,AZ195,(AZ195+IF($B$1+50&lt;=$B195,12*$B$9,-12*$B$8*(1+$B$4)^50))*IF(AZ195+IF($B$1+50&lt;=$B195,12*$B$9,-12*$B$8*(1+$B$4)^50)&gt;0,1+$B$3,1))</f>
        <v/>
      </c>
      <c r="BB195">
        <f>IF($B$1+51&gt;90,BA195,(BA195+IF($B$1+51&lt;=$B195,12*$B$9,-12*$B$8*(1+$B$4)^51))*IF(BA195+IF($B$1+51&lt;=$B195,12*$B$9,-12*$B$8*(1+$B$4)^51)&gt;0,1+$B$3,1))</f>
        <v/>
      </c>
      <c r="BC195">
        <f>IF($B$1+52&gt;90,BB195,(BB195+IF($B$1+52&lt;=$B195,12*$B$9,-12*$B$8*(1+$B$4)^52))*IF(BB195+IF($B$1+52&lt;=$B195,12*$B$9,-12*$B$8*(1+$B$4)^52)&gt;0,1+$B$3,1))</f>
        <v/>
      </c>
      <c r="BD195">
        <f>IF($B$1+53&gt;90,BC195,(BC195+IF($B$1+53&lt;=$B195,12*$B$9,-12*$B$8*(1+$B$4)^53))*IF(BC195+IF($B$1+53&lt;=$B195,12*$B$9,-12*$B$8*(1+$B$4)^53)&gt;0,1+$B$3,1))</f>
        <v/>
      </c>
      <c r="BE195">
        <f>IF($B$1+54&gt;90,BD195,(BD195+IF($B$1+54&lt;=$B195,12*$B$9,-12*$B$8*(1+$B$4)^54))*IF(BD195+IF($B$1+54&lt;=$B195,12*$B$9,-12*$B$8*(1+$B$4)^54)&gt;0,1+$B$3,1))</f>
        <v/>
      </c>
      <c r="BF195">
        <f>IF($B$1+55&gt;90,BE195,(BE195+IF($B$1+55&lt;=$B195,12*$B$9,-12*$B$8*(1+$B$4)^55))*IF(BE195+IF($B$1+55&lt;=$B195,12*$B$9,-12*$B$8*(1+$B$4)^55)&gt;0,1+$B$3,1))</f>
        <v/>
      </c>
      <c r="BG195">
        <f>IF($B$1+56&gt;90,BF195,(BF195+IF($B$1+56&lt;=$B195,12*$B$9,-12*$B$8*(1+$B$4)^56))*IF(BF195+IF($B$1+56&lt;=$B195,12*$B$9,-12*$B$8*(1+$B$4)^56)&gt;0,1+$B$3,1))</f>
        <v/>
      </c>
      <c r="BH195">
        <f>IF($B$1+57&gt;90,BG195,(BG195+IF($B$1+57&lt;=$B195,12*$B$9,-12*$B$8*(1+$B$4)^57))*IF(BG195+IF($B$1+57&lt;=$B195,12*$B$9,-12*$B$8*(1+$B$4)^57)&gt;0,1+$B$3,1))</f>
        <v/>
      </c>
      <c r="BI195">
        <f>IF($B$1+58&gt;90,BH195,(BH195+IF($B$1+58&lt;=$B195,12*$B$9,-12*$B$8*(1+$B$4)^58))*IF(BH195+IF($B$1+58&lt;=$B195,12*$B$9,-12*$B$8*(1+$B$4)^58)&gt;0,1+$B$3,1))</f>
        <v/>
      </c>
      <c r="BJ195">
        <f>IF($B$1+59&gt;90,BI195,(BI195+IF($B$1+59&lt;=$B195,12*$B$9,-12*$B$8*(1+$B$4)^59))*IF(BI195+IF($B$1+59&lt;=$B195,12*$B$9,-12*$B$8*(1+$B$4)^59)&gt;0,1+$B$3,1))</f>
        <v/>
      </c>
      <c r="BK195">
        <f>IF($B$1+60&gt;90,BJ195,(BJ195+IF($B$1+60&lt;=$B195,12*$B$9,-12*$B$8*(1+$B$4)^60))*IF(BJ195+IF($B$1+60&lt;=$B195,12*$B$9,-12*$B$8*(1+$B$4)^60)&gt;0,1+$B$3,1))</f>
        <v/>
      </c>
      <c r="BL195">
        <f>IF($B$1+61&gt;90,BK195,(BK195+IF($B$1+61&lt;=$B195,12*$B$9,-12*$B$8*(1+$B$4)^61))*IF(BK195+IF($B$1+61&lt;=$B195,12*$B$9,-12*$B$8*(1+$B$4)^61)&gt;0,1+$B$3,1))</f>
        <v/>
      </c>
      <c r="BM195">
        <f>IF($B$1+62&gt;90,BL195,(BL195+IF($B$1+62&lt;=$B195,12*$B$9,-12*$B$8*(1+$B$4)^62))*IF(BL195+IF($B$1+62&lt;=$B195,12*$B$9,-12*$B$8*(1+$B$4)^62)&gt;0,1+$B$3,1))</f>
        <v/>
      </c>
      <c r="BN195">
        <f>IF($B$1+63&gt;90,BM195,(BM195+IF($B$1+63&lt;=$B195,12*$B$9,-12*$B$8*(1+$B$4)^63))*IF(BM195+IF($B$1+63&lt;=$B195,12*$B$9,-12*$B$8*(1+$B$4)^63)&gt;0,1+$B$3,1))</f>
        <v/>
      </c>
      <c r="BO195">
        <f>IF($B$1+64&gt;90,BN195,(BN195+IF($B$1+64&lt;=$B195,12*$B$9,-12*$B$8*(1+$B$4)^64))*IF(BN195+IF($B$1+64&lt;=$B195,12*$B$9,-12*$B$8*(1+$B$4)^64)&gt;0,1+$B$3,1))</f>
        <v/>
      </c>
      <c r="BP195">
        <f>IF($B$1+65&gt;90,BO195,(BO195+IF($B$1+65&lt;=$B195,12*$B$9,-12*$B$8*(1+$B$4)^65))*IF(BO195+IF($B$1+65&lt;=$B195,12*$B$9,-12*$B$8*(1+$B$4)^65)&gt;0,1+$B$3,1))</f>
        <v/>
      </c>
      <c r="BQ195">
        <f>IF($B$1+66&gt;90,BP195,(BP195+IF($B$1+66&lt;=$B195,12*$B$9,-12*$B$8*(1+$B$4)^66))*IF(BP195+IF($B$1+66&lt;=$B195,12*$B$9,-12*$B$8*(1+$B$4)^66)&gt;0,1+$B$3,1))</f>
        <v/>
      </c>
      <c r="BR195">
        <f>IF($B$1+67&gt;90,BQ195,(BQ195+IF($B$1+67&lt;=$B195,12*$B$9,-12*$B$8*(1+$B$4)^67))*IF(BQ195+IF($B$1+67&lt;=$B195,12*$B$9,-12*$B$8*(1+$B$4)^67)&gt;0,1+$B$3,1))</f>
        <v/>
      </c>
      <c r="BS195">
        <f>IF($B$1+68&gt;90,BR195,(BR195+IF($B$1+68&lt;=$B195,12*$B$9,-12*$B$8*(1+$B$4)^68))*IF(BR195+IF($B$1+68&lt;=$B195,12*$B$9,-12*$B$8*(1+$B$4)^68)&gt;0,1+$B$3,1))</f>
        <v/>
      </c>
      <c r="BT195">
        <f>IF($B$1+69&gt;90,BS195,(BS195+IF($B$1+69&lt;=$B195,12*$B$9,-12*$B$8*(1+$B$4)^69))*IF(BS195+IF($B$1+69&lt;=$B195,12*$B$9,-12*$B$8*(1+$B$4)^69)&gt;0,1+$B$3,1))</f>
        <v/>
      </c>
      <c r="BU195">
        <f>IF($B$1+70&gt;90,BT195,(BT195+IF($B$1+70&lt;=$B195,12*$B$9,-12*$B$8*(1+$B$4)^70))*IF(BT195+IF($B$1+70&lt;=$B195,12*$B$9,-12*$B$8*(1+$B$4)^70)&gt;0,1+$B$3,1))</f>
        <v/>
      </c>
      <c r="BV195">
        <f>BU195</f>
        <v/>
      </c>
      <c r="BW195">
        <f>IF(AND($B195&lt;=70,BV195&gt;0),$B195,999)</f>
        <v/>
      </c>
    </row>
    <row r="196">
      <c r="A196" t="n">
        <v>44</v>
      </c>
      <c r="B196">
        <f>$B$1+44</f>
        <v/>
      </c>
      <c r="C196">
        <f>$B$2</f>
        <v/>
      </c>
      <c r="D196">
        <f>IF($B$1+1&gt;90,C196,(C196+IF($B$1+1&lt;=$B196,12*$B$9,-12*$B$8*(1+$B$4)^1))*IF(C196+IF($B$1+1&lt;=$B196,12*$B$9,-12*$B$8*(1+$B$4)^1)&gt;0,1+$B$3,1))</f>
        <v/>
      </c>
      <c r="E196">
        <f>IF($B$1+2&gt;90,D196,(D196+IF($B$1+2&lt;=$B196,12*$B$9,-12*$B$8*(1+$B$4)^2))*IF(D196+IF($B$1+2&lt;=$B196,12*$B$9,-12*$B$8*(1+$B$4)^2)&gt;0,1+$B$3,1))</f>
        <v/>
      </c>
      <c r="F196">
        <f>IF($B$1+3&gt;90,E196,(E196+IF($B$1+3&lt;=$B196,12*$B$9,-12*$B$8*(1+$B$4)^3))*IF(E196+IF($B$1+3&lt;=$B196,12*$B$9,-12*$B$8*(1+$B$4)^3)&gt;0,1+$B$3,1))</f>
        <v/>
      </c>
      <c r="G196">
        <f>IF($B$1+4&gt;90,F196,(F196+IF($B$1+4&lt;=$B196,12*$B$9,-12*$B$8*(1+$B$4)^4))*IF(F196+IF($B$1+4&lt;=$B196,12*$B$9,-12*$B$8*(1+$B$4)^4)&gt;0,1+$B$3,1))</f>
        <v/>
      </c>
      <c r="H196">
        <f>IF($B$1+5&gt;90,G196,(G196+IF($B$1+5&lt;=$B196,12*$B$9,-12*$B$8*(1+$B$4)^5))*IF(G196+IF($B$1+5&lt;=$B196,12*$B$9,-12*$B$8*(1+$B$4)^5)&gt;0,1+$B$3,1))</f>
        <v/>
      </c>
      <c r="I196">
        <f>IF($B$1+6&gt;90,H196,(H196+IF($B$1+6&lt;=$B196,12*$B$9,-12*$B$8*(1+$B$4)^6))*IF(H196+IF($B$1+6&lt;=$B196,12*$B$9,-12*$B$8*(1+$B$4)^6)&gt;0,1+$B$3,1))</f>
        <v/>
      </c>
      <c r="J196">
        <f>IF($B$1+7&gt;90,I196,(I196+IF($B$1+7&lt;=$B196,12*$B$9,-12*$B$8*(1+$B$4)^7))*IF(I196+IF($B$1+7&lt;=$B196,12*$B$9,-12*$B$8*(1+$B$4)^7)&gt;0,1+$B$3,1))</f>
        <v/>
      </c>
      <c r="K196">
        <f>IF($B$1+8&gt;90,J196,(J196+IF($B$1+8&lt;=$B196,12*$B$9,-12*$B$8*(1+$B$4)^8))*IF(J196+IF($B$1+8&lt;=$B196,12*$B$9,-12*$B$8*(1+$B$4)^8)&gt;0,1+$B$3,1))</f>
        <v/>
      </c>
      <c r="L196">
        <f>IF($B$1+9&gt;90,K196,(K196+IF($B$1+9&lt;=$B196,12*$B$9,-12*$B$8*(1+$B$4)^9))*IF(K196+IF($B$1+9&lt;=$B196,12*$B$9,-12*$B$8*(1+$B$4)^9)&gt;0,1+$B$3,1))</f>
        <v/>
      </c>
      <c r="M196">
        <f>IF($B$1+10&gt;90,L196,(L196+IF($B$1+10&lt;=$B196,12*$B$9,-12*$B$8*(1+$B$4)^10))*IF(L196+IF($B$1+10&lt;=$B196,12*$B$9,-12*$B$8*(1+$B$4)^10)&gt;0,1+$B$3,1))</f>
        <v/>
      </c>
      <c r="N196">
        <f>IF($B$1+11&gt;90,M196,(M196+IF($B$1+11&lt;=$B196,12*$B$9,-12*$B$8*(1+$B$4)^11))*IF(M196+IF($B$1+11&lt;=$B196,12*$B$9,-12*$B$8*(1+$B$4)^11)&gt;0,1+$B$3,1))</f>
        <v/>
      </c>
      <c r="O196">
        <f>IF($B$1+12&gt;90,N196,(N196+IF($B$1+12&lt;=$B196,12*$B$9,-12*$B$8*(1+$B$4)^12))*IF(N196+IF($B$1+12&lt;=$B196,12*$B$9,-12*$B$8*(1+$B$4)^12)&gt;0,1+$B$3,1))</f>
        <v/>
      </c>
      <c r="P196">
        <f>IF($B$1+13&gt;90,O196,(O196+IF($B$1+13&lt;=$B196,12*$B$9,-12*$B$8*(1+$B$4)^13))*IF(O196+IF($B$1+13&lt;=$B196,12*$B$9,-12*$B$8*(1+$B$4)^13)&gt;0,1+$B$3,1))</f>
        <v/>
      </c>
      <c r="Q196">
        <f>IF($B$1+14&gt;90,P196,(P196+IF($B$1+14&lt;=$B196,12*$B$9,-12*$B$8*(1+$B$4)^14))*IF(P196+IF($B$1+14&lt;=$B196,12*$B$9,-12*$B$8*(1+$B$4)^14)&gt;0,1+$B$3,1))</f>
        <v/>
      </c>
      <c r="R196">
        <f>IF($B$1+15&gt;90,Q196,(Q196+IF($B$1+15&lt;=$B196,12*$B$9,-12*$B$8*(1+$B$4)^15))*IF(Q196+IF($B$1+15&lt;=$B196,12*$B$9,-12*$B$8*(1+$B$4)^15)&gt;0,1+$B$3,1))</f>
        <v/>
      </c>
      <c r="S196">
        <f>IF($B$1+16&gt;90,R196,(R196+IF($B$1+16&lt;=$B196,12*$B$9,-12*$B$8*(1+$B$4)^16))*IF(R196+IF($B$1+16&lt;=$B196,12*$B$9,-12*$B$8*(1+$B$4)^16)&gt;0,1+$B$3,1))</f>
        <v/>
      </c>
      <c r="T196">
        <f>IF($B$1+17&gt;90,S196,(S196+IF($B$1+17&lt;=$B196,12*$B$9,-12*$B$8*(1+$B$4)^17))*IF(S196+IF($B$1+17&lt;=$B196,12*$B$9,-12*$B$8*(1+$B$4)^17)&gt;0,1+$B$3,1))</f>
        <v/>
      </c>
      <c r="U196">
        <f>IF($B$1+18&gt;90,T196,(T196+IF($B$1+18&lt;=$B196,12*$B$9,-12*$B$8*(1+$B$4)^18))*IF(T196+IF($B$1+18&lt;=$B196,12*$B$9,-12*$B$8*(1+$B$4)^18)&gt;0,1+$B$3,1))</f>
        <v/>
      </c>
      <c r="V196">
        <f>IF($B$1+19&gt;90,U196,(U196+IF($B$1+19&lt;=$B196,12*$B$9,-12*$B$8*(1+$B$4)^19))*IF(U196+IF($B$1+19&lt;=$B196,12*$B$9,-12*$B$8*(1+$B$4)^19)&gt;0,1+$B$3,1))</f>
        <v/>
      </c>
      <c r="W196">
        <f>IF($B$1+20&gt;90,V196,(V196+IF($B$1+20&lt;=$B196,12*$B$9,-12*$B$8*(1+$B$4)^20))*IF(V196+IF($B$1+20&lt;=$B196,12*$B$9,-12*$B$8*(1+$B$4)^20)&gt;0,1+$B$3,1))</f>
        <v/>
      </c>
      <c r="X196">
        <f>IF($B$1+21&gt;90,W196,(W196+IF($B$1+21&lt;=$B196,12*$B$9,-12*$B$8*(1+$B$4)^21))*IF(W196+IF($B$1+21&lt;=$B196,12*$B$9,-12*$B$8*(1+$B$4)^21)&gt;0,1+$B$3,1))</f>
        <v/>
      </c>
      <c r="Y196">
        <f>IF($B$1+22&gt;90,X196,(X196+IF($B$1+22&lt;=$B196,12*$B$9,-12*$B$8*(1+$B$4)^22))*IF(X196+IF($B$1+22&lt;=$B196,12*$B$9,-12*$B$8*(1+$B$4)^22)&gt;0,1+$B$3,1))</f>
        <v/>
      </c>
      <c r="Z196">
        <f>IF($B$1+23&gt;90,Y196,(Y196+IF($B$1+23&lt;=$B196,12*$B$9,-12*$B$8*(1+$B$4)^23))*IF(Y196+IF($B$1+23&lt;=$B196,12*$B$9,-12*$B$8*(1+$B$4)^23)&gt;0,1+$B$3,1))</f>
        <v/>
      </c>
      <c r="AA196">
        <f>IF($B$1+24&gt;90,Z196,(Z196+IF($B$1+24&lt;=$B196,12*$B$9,-12*$B$8*(1+$B$4)^24))*IF(Z196+IF($B$1+24&lt;=$B196,12*$B$9,-12*$B$8*(1+$B$4)^24)&gt;0,1+$B$3,1))</f>
        <v/>
      </c>
      <c r="AB196">
        <f>IF($B$1+25&gt;90,AA196,(AA196+IF($B$1+25&lt;=$B196,12*$B$9,-12*$B$8*(1+$B$4)^25))*IF(AA196+IF($B$1+25&lt;=$B196,12*$B$9,-12*$B$8*(1+$B$4)^25)&gt;0,1+$B$3,1))</f>
        <v/>
      </c>
      <c r="AC196">
        <f>IF($B$1+26&gt;90,AB196,(AB196+IF($B$1+26&lt;=$B196,12*$B$9,-12*$B$8*(1+$B$4)^26))*IF(AB196+IF($B$1+26&lt;=$B196,12*$B$9,-12*$B$8*(1+$B$4)^26)&gt;0,1+$B$3,1))</f>
        <v/>
      </c>
      <c r="AD196">
        <f>IF($B$1+27&gt;90,AC196,(AC196+IF($B$1+27&lt;=$B196,12*$B$9,-12*$B$8*(1+$B$4)^27))*IF(AC196+IF($B$1+27&lt;=$B196,12*$B$9,-12*$B$8*(1+$B$4)^27)&gt;0,1+$B$3,1))</f>
        <v/>
      </c>
      <c r="AE196">
        <f>IF($B$1+28&gt;90,AD196,(AD196+IF($B$1+28&lt;=$B196,12*$B$9,-12*$B$8*(1+$B$4)^28))*IF(AD196+IF($B$1+28&lt;=$B196,12*$B$9,-12*$B$8*(1+$B$4)^28)&gt;0,1+$B$3,1))</f>
        <v/>
      </c>
      <c r="AF196">
        <f>IF($B$1+29&gt;90,AE196,(AE196+IF($B$1+29&lt;=$B196,12*$B$9,-12*$B$8*(1+$B$4)^29))*IF(AE196+IF($B$1+29&lt;=$B196,12*$B$9,-12*$B$8*(1+$B$4)^29)&gt;0,1+$B$3,1))</f>
        <v/>
      </c>
      <c r="AG196">
        <f>IF($B$1+30&gt;90,AF196,(AF196+IF($B$1+30&lt;=$B196,12*$B$9,-12*$B$8*(1+$B$4)^30))*IF(AF196+IF($B$1+30&lt;=$B196,12*$B$9,-12*$B$8*(1+$B$4)^30)&gt;0,1+$B$3,1))</f>
        <v/>
      </c>
      <c r="AH196">
        <f>IF($B$1+31&gt;90,AG196,(AG196+IF($B$1+31&lt;=$B196,12*$B$9,-12*$B$8*(1+$B$4)^31))*IF(AG196+IF($B$1+31&lt;=$B196,12*$B$9,-12*$B$8*(1+$B$4)^31)&gt;0,1+$B$3,1))</f>
        <v/>
      </c>
      <c r="AI196">
        <f>IF($B$1+32&gt;90,AH196,(AH196+IF($B$1+32&lt;=$B196,12*$B$9,-12*$B$8*(1+$B$4)^32))*IF(AH196+IF($B$1+32&lt;=$B196,12*$B$9,-12*$B$8*(1+$B$4)^32)&gt;0,1+$B$3,1))</f>
        <v/>
      </c>
      <c r="AJ196">
        <f>IF($B$1+33&gt;90,AI196,(AI196+IF($B$1+33&lt;=$B196,12*$B$9,-12*$B$8*(1+$B$4)^33))*IF(AI196+IF($B$1+33&lt;=$B196,12*$B$9,-12*$B$8*(1+$B$4)^33)&gt;0,1+$B$3,1))</f>
        <v/>
      </c>
      <c r="AK196">
        <f>IF($B$1+34&gt;90,AJ196,(AJ196+IF($B$1+34&lt;=$B196,12*$B$9,-12*$B$8*(1+$B$4)^34))*IF(AJ196+IF($B$1+34&lt;=$B196,12*$B$9,-12*$B$8*(1+$B$4)^34)&gt;0,1+$B$3,1))</f>
        <v/>
      </c>
      <c r="AL196">
        <f>IF($B$1+35&gt;90,AK196,(AK196+IF($B$1+35&lt;=$B196,12*$B$9,-12*$B$8*(1+$B$4)^35))*IF(AK196+IF($B$1+35&lt;=$B196,12*$B$9,-12*$B$8*(1+$B$4)^35)&gt;0,1+$B$3,1))</f>
        <v/>
      </c>
      <c r="AM196">
        <f>IF($B$1+36&gt;90,AL196,(AL196+IF($B$1+36&lt;=$B196,12*$B$9,-12*$B$8*(1+$B$4)^36))*IF(AL196+IF($B$1+36&lt;=$B196,12*$B$9,-12*$B$8*(1+$B$4)^36)&gt;0,1+$B$3,1))</f>
        <v/>
      </c>
      <c r="AN196">
        <f>IF($B$1+37&gt;90,AM196,(AM196+IF($B$1+37&lt;=$B196,12*$B$9,-12*$B$8*(1+$B$4)^37))*IF(AM196+IF($B$1+37&lt;=$B196,12*$B$9,-12*$B$8*(1+$B$4)^37)&gt;0,1+$B$3,1))</f>
        <v/>
      </c>
      <c r="AO196">
        <f>IF($B$1+38&gt;90,AN196,(AN196+IF($B$1+38&lt;=$B196,12*$B$9,-12*$B$8*(1+$B$4)^38))*IF(AN196+IF($B$1+38&lt;=$B196,12*$B$9,-12*$B$8*(1+$B$4)^38)&gt;0,1+$B$3,1))</f>
        <v/>
      </c>
      <c r="AP196">
        <f>IF($B$1+39&gt;90,AO196,(AO196+IF($B$1+39&lt;=$B196,12*$B$9,-12*$B$8*(1+$B$4)^39))*IF(AO196+IF($B$1+39&lt;=$B196,12*$B$9,-12*$B$8*(1+$B$4)^39)&gt;0,1+$B$3,1))</f>
        <v/>
      </c>
      <c r="AQ196">
        <f>IF($B$1+40&gt;90,AP196,(AP196+IF($B$1+40&lt;=$B196,12*$B$9,-12*$B$8*(1+$B$4)^40))*IF(AP196+IF($B$1+40&lt;=$B196,12*$B$9,-12*$B$8*(1+$B$4)^40)&gt;0,1+$B$3,1))</f>
        <v/>
      </c>
      <c r="AR196">
        <f>IF($B$1+41&gt;90,AQ196,(AQ196+IF($B$1+41&lt;=$B196,12*$B$9,-12*$B$8*(1+$B$4)^41))*IF(AQ196+IF($B$1+41&lt;=$B196,12*$B$9,-12*$B$8*(1+$B$4)^41)&gt;0,1+$B$3,1))</f>
        <v/>
      </c>
      <c r="AS196">
        <f>IF($B$1+42&gt;90,AR196,(AR196+IF($B$1+42&lt;=$B196,12*$B$9,-12*$B$8*(1+$B$4)^42))*IF(AR196+IF($B$1+42&lt;=$B196,12*$B$9,-12*$B$8*(1+$B$4)^42)&gt;0,1+$B$3,1))</f>
        <v/>
      </c>
      <c r="AT196">
        <f>IF($B$1+43&gt;90,AS196,(AS196+IF($B$1+43&lt;=$B196,12*$B$9,-12*$B$8*(1+$B$4)^43))*IF(AS196+IF($B$1+43&lt;=$B196,12*$B$9,-12*$B$8*(1+$B$4)^43)&gt;0,1+$B$3,1))</f>
        <v/>
      </c>
      <c r="AU196">
        <f>IF($B$1+44&gt;90,AT196,(AT196+IF($B$1+44&lt;=$B196,12*$B$9,-12*$B$8*(1+$B$4)^44))*IF(AT196+IF($B$1+44&lt;=$B196,12*$B$9,-12*$B$8*(1+$B$4)^44)&gt;0,1+$B$3,1))</f>
        <v/>
      </c>
      <c r="AV196">
        <f>IF($B$1+45&gt;90,AU196,(AU196+IF($B$1+45&lt;=$B196,12*$B$9,-12*$B$8*(1+$B$4)^45))*IF(AU196+IF($B$1+45&lt;=$B196,12*$B$9,-12*$B$8*(1+$B$4)^45)&gt;0,1+$B$3,1))</f>
        <v/>
      </c>
      <c r="AW196">
        <f>IF($B$1+46&gt;90,AV196,(AV196+IF($B$1+46&lt;=$B196,12*$B$9,-12*$B$8*(1+$B$4)^46))*IF(AV196+IF($B$1+46&lt;=$B196,12*$B$9,-12*$B$8*(1+$B$4)^46)&gt;0,1+$B$3,1))</f>
        <v/>
      </c>
      <c r="AX196">
        <f>IF($B$1+47&gt;90,AW196,(AW196+IF($B$1+47&lt;=$B196,12*$B$9,-12*$B$8*(1+$B$4)^47))*IF(AW196+IF($B$1+47&lt;=$B196,12*$B$9,-12*$B$8*(1+$B$4)^47)&gt;0,1+$B$3,1))</f>
        <v/>
      </c>
      <c r="AY196">
        <f>IF($B$1+48&gt;90,AX196,(AX196+IF($B$1+48&lt;=$B196,12*$B$9,-12*$B$8*(1+$B$4)^48))*IF(AX196+IF($B$1+48&lt;=$B196,12*$B$9,-12*$B$8*(1+$B$4)^48)&gt;0,1+$B$3,1))</f>
        <v/>
      </c>
      <c r="AZ196">
        <f>IF($B$1+49&gt;90,AY196,(AY196+IF($B$1+49&lt;=$B196,12*$B$9,-12*$B$8*(1+$B$4)^49))*IF(AY196+IF($B$1+49&lt;=$B196,12*$B$9,-12*$B$8*(1+$B$4)^49)&gt;0,1+$B$3,1))</f>
        <v/>
      </c>
      <c r="BA196">
        <f>IF($B$1+50&gt;90,AZ196,(AZ196+IF($B$1+50&lt;=$B196,12*$B$9,-12*$B$8*(1+$B$4)^50))*IF(AZ196+IF($B$1+50&lt;=$B196,12*$B$9,-12*$B$8*(1+$B$4)^50)&gt;0,1+$B$3,1))</f>
        <v/>
      </c>
      <c r="BB196">
        <f>IF($B$1+51&gt;90,BA196,(BA196+IF($B$1+51&lt;=$B196,12*$B$9,-12*$B$8*(1+$B$4)^51))*IF(BA196+IF($B$1+51&lt;=$B196,12*$B$9,-12*$B$8*(1+$B$4)^51)&gt;0,1+$B$3,1))</f>
        <v/>
      </c>
      <c r="BC196">
        <f>IF($B$1+52&gt;90,BB196,(BB196+IF($B$1+52&lt;=$B196,12*$B$9,-12*$B$8*(1+$B$4)^52))*IF(BB196+IF($B$1+52&lt;=$B196,12*$B$9,-12*$B$8*(1+$B$4)^52)&gt;0,1+$B$3,1))</f>
        <v/>
      </c>
      <c r="BD196">
        <f>IF($B$1+53&gt;90,BC196,(BC196+IF($B$1+53&lt;=$B196,12*$B$9,-12*$B$8*(1+$B$4)^53))*IF(BC196+IF($B$1+53&lt;=$B196,12*$B$9,-12*$B$8*(1+$B$4)^53)&gt;0,1+$B$3,1))</f>
        <v/>
      </c>
      <c r="BE196">
        <f>IF($B$1+54&gt;90,BD196,(BD196+IF($B$1+54&lt;=$B196,12*$B$9,-12*$B$8*(1+$B$4)^54))*IF(BD196+IF($B$1+54&lt;=$B196,12*$B$9,-12*$B$8*(1+$B$4)^54)&gt;0,1+$B$3,1))</f>
        <v/>
      </c>
      <c r="BF196">
        <f>IF($B$1+55&gt;90,BE196,(BE196+IF($B$1+55&lt;=$B196,12*$B$9,-12*$B$8*(1+$B$4)^55))*IF(BE196+IF($B$1+55&lt;=$B196,12*$B$9,-12*$B$8*(1+$B$4)^55)&gt;0,1+$B$3,1))</f>
        <v/>
      </c>
      <c r="BG196">
        <f>IF($B$1+56&gt;90,BF196,(BF196+IF($B$1+56&lt;=$B196,12*$B$9,-12*$B$8*(1+$B$4)^56))*IF(BF196+IF($B$1+56&lt;=$B196,12*$B$9,-12*$B$8*(1+$B$4)^56)&gt;0,1+$B$3,1))</f>
        <v/>
      </c>
      <c r="BH196">
        <f>IF($B$1+57&gt;90,BG196,(BG196+IF($B$1+57&lt;=$B196,12*$B$9,-12*$B$8*(1+$B$4)^57))*IF(BG196+IF($B$1+57&lt;=$B196,12*$B$9,-12*$B$8*(1+$B$4)^57)&gt;0,1+$B$3,1))</f>
        <v/>
      </c>
      <c r="BI196">
        <f>IF($B$1+58&gt;90,BH196,(BH196+IF($B$1+58&lt;=$B196,12*$B$9,-12*$B$8*(1+$B$4)^58))*IF(BH196+IF($B$1+58&lt;=$B196,12*$B$9,-12*$B$8*(1+$B$4)^58)&gt;0,1+$B$3,1))</f>
        <v/>
      </c>
      <c r="BJ196">
        <f>IF($B$1+59&gt;90,BI196,(BI196+IF($B$1+59&lt;=$B196,12*$B$9,-12*$B$8*(1+$B$4)^59))*IF(BI196+IF($B$1+59&lt;=$B196,12*$B$9,-12*$B$8*(1+$B$4)^59)&gt;0,1+$B$3,1))</f>
        <v/>
      </c>
      <c r="BK196">
        <f>IF($B$1+60&gt;90,BJ196,(BJ196+IF($B$1+60&lt;=$B196,12*$B$9,-12*$B$8*(1+$B$4)^60))*IF(BJ196+IF($B$1+60&lt;=$B196,12*$B$9,-12*$B$8*(1+$B$4)^60)&gt;0,1+$B$3,1))</f>
        <v/>
      </c>
      <c r="BL196">
        <f>IF($B$1+61&gt;90,BK196,(BK196+IF($B$1+61&lt;=$B196,12*$B$9,-12*$B$8*(1+$B$4)^61))*IF(BK196+IF($B$1+61&lt;=$B196,12*$B$9,-12*$B$8*(1+$B$4)^61)&gt;0,1+$B$3,1))</f>
        <v/>
      </c>
      <c r="BM196">
        <f>IF($B$1+62&gt;90,BL196,(BL196+IF($B$1+62&lt;=$B196,12*$B$9,-12*$B$8*(1+$B$4)^62))*IF(BL196+IF($B$1+62&lt;=$B196,12*$B$9,-12*$B$8*(1+$B$4)^62)&gt;0,1+$B$3,1))</f>
        <v/>
      </c>
      <c r="BN196">
        <f>IF($B$1+63&gt;90,BM196,(BM196+IF($B$1+63&lt;=$B196,12*$B$9,-12*$B$8*(1+$B$4)^63))*IF(BM196+IF($B$1+63&lt;=$B196,12*$B$9,-12*$B$8*(1+$B$4)^63)&gt;0,1+$B$3,1))</f>
        <v/>
      </c>
      <c r="BO196">
        <f>IF($B$1+64&gt;90,BN196,(BN196+IF($B$1+64&lt;=$B196,12*$B$9,-12*$B$8*(1+$B$4)^64))*IF(BN196+IF($B$1+64&lt;=$B196,12*$B$9,-12*$B$8*(1+$B$4)^64)&gt;0,1+$B$3,1))</f>
        <v/>
      </c>
      <c r="BP196">
        <f>IF($B$1+65&gt;90,BO196,(BO196+IF($B$1+65&lt;=$B196,12*$B$9,-12*$B$8*(1+$B$4)^65))*IF(BO196+IF($B$1+65&lt;=$B196,12*$B$9,-12*$B$8*(1+$B$4)^65)&gt;0,1+$B$3,1))</f>
        <v/>
      </c>
      <c r="BQ196">
        <f>IF($B$1+66&gt;90,BP196,(BP196+IF($B$1+66&lt;=$B196,12*$B$9,-12*$B$8*(1+$B$4)^66))*IF(BP196+IF($B$1+66&lt;=$B196,12*$B$9,-12*$B$8*(1+$B$4)^66)&gt;0,1+$B$3,1))</f>
        <v/>
      </c>
      <c r="BR196">
        <f>IF($B$1+67&gt;90,BQ196,(BQ196+IF($B$1+67&lt;=$B196,12*$B$9,-12*$B$8*(1+$B$4)^67))*IF(BQ196+IF($B$1+67&lt;=$B196,12*$B$9,-12*$B$8*(1+$B$4)^67)&gt;0,1+$B$3,1))</f>
        <v/>
      </c>
      <c r="BS196">
        <f>IF($B$1+68&gt;90,BR196,(BR196+IF($B$1+68&lt;=$B196,12*$B$9,-12*$B$8*(1+$B$4)^68))*IF(BR196+IF($B$1+68&lt;=$B196,12*$B$9,-12*$B$8*(1+$B$4)^68)&gt;0,1+$B$3,1))</f>
        <v/>
      </c>
      <c r="BT196">
        <f>IF($B$1+69&gt;90,BS196,(BS196+IF($B$1+69&lt;=$B196,12*$B$9,-12*$B$8*(1+$B$4)^69))*IF(BS196+IF($B$1+69&lt;=$B196,12*$B$9,-12*$B$8*(1+$B$4)^69)&gt;0,1+$B$3,1))</f>
        <v/>
      </c>
      <c r="BU196">
        <f>IF($B$1+70&gt;90,BT196,(BT196+IF($B$1+70&lt;=$B196,12*$B$9,-12*$B$8*(1+$B$4)^70))*IF(BT196+IF($B$1+70&lt;=$B196,12*$B$9,-12*$B$8*(1+$B$4)^70)&gt;0,1+$B$3,1))</f>
        <v/>
      </c>
      <c r="BV196">
        <f>BU196</f>
        <v/>
      </c>
      <c r="BW196">
        <f>IF(AND($B196&lt;=70,BV196&gt;0),$B196,999)</f>
        <v/>
      </c>
    </row>
    <row r="197">
      <c r="A197" t="n">
        <v>45</v>
      </c>
      <c r="B197">
        <f>$B$1+45</f>
        <v/>
      </c>
      <c r="C197">
        <f>$B$2</f>
        <v/>
      </c>
      <c r="D197">
        <f>IF($B$1+1&gt;90,C197,(C197+IF($B$1+1&lt;=$B197,12*$B$9,-12*$B$8*(1+$B$4)^1))*IF(C197+IF($B$1+1&lt;=$B197,12*$B$9,-12*$B$8*(1+$B$4)^1)&gt;0,1+$B$3,1))</f>
        <v/>
      </c>
      <c r="E197">
        <f>IF($B$1+2&gt;90,D197,(D197+IF($B$1+2&lt;=$B197,12*$B$9,-12*$B$8*(1+$B$4)^2))*IF(D197+IF($B$1+2&lt;=$B197,12*$B$9,-12*$B$8*(1+$B$4)^2)&gt;0,1+$B$3,1))</f>
        <v/>
      </c>
      <c r="F197">
        <f>IF($B$1+3&gt;90,E197,(E197+IF($B$1+3&lt;=$B197,12*$B$9,-12*$B$8*(1+$B$4)^3))*IF(E197+IF($B$1+3&lt;=$B197,12*$B$9,-12*$B$8*(1+$B$4)^3)&gt;0,1+$B$3,1))</f>
        <v/>
      </c>
      <c r="G197">
        <f>IF($B$1+4&gt;90,F197,(F197+IF($B$1+4&lt;=$B197,12*$B$9,-12*$B$8*(1+$B$4)^4))*IF(F197+IF($B$1+4&lt;=$B197,12*$B$9,-12*$B$8*(1+$B$4)^4)&gt;0,1+$B$3,1))</f>
        <v/>
      </c>
      <c r="H197">
        <f>IF($B$1+5&gt;90,G197,(G197+IF($B$1+5&lt;=$B197,12*$B$9,-12*$B$8*(1+$B$4)^5))*IF(G197+IF($B$1+5&lt;=$B197,12*$B$9,-12*$B$8*(1+$B$4)^5)&gt;0,1+$B$3,1))</f>
        <v/>
      </c>
      <c r="I197">
        <f>IF($B$1+6&gt;90,H197,(H197+IF($B$1+6&lt;=$B197,12*$B$9,-12*$B$8*(1+$B$4)^6))*IF(H197+IF($B$1+6&lt;=$B197,12*$B$9,-12*$B$8*(1+$B$4)^6)&gt;0,1+$B$3,1))</f>
        <v/>
      </c>
      <c r="J197">
        <f>IF($B$1+7&gt;90,I197,(I197+IF($B$1+7&lt;=$B197,12*$B$9,-12*$B$8*(1+$B$4)^7))*IF(I197+IF($B$1+7&lt;=$B197,12*$B$9,-12*$B$8*(1+$B$4)^7)&gt;0,1+$B$3,1))</f>
        <v/>
      </c>
      <c r="K197">
        <f>IF($B$1+8&gt;90,J197,(J197+IF($B$1+8&lt;=$B197,12*$B$9,-12*$B$8*(1+$B$4)^8))*IF(J197+IF($B$1+8&lt;=$B197,12*$B$9,-12*$B$8*(1+$B$4)^8)&gt;0,1+$B$3,1))</f>
        <v/>
      </c>
      <c r="L197">
        <f>IF($B$1+9&gt;90,K197,(K197+IF($B$1+9&lt;=$B197,12*$B$9,-12*$B$8*(1+$B$4)^9))*IF(K197+IF($B$1+9&lt;=$B197,12*$B$9,-12*$B$8*(1+$B$4)^9)&gt;0,1+$B$3,1))</f>
        <v/>
      </c>
      <c r="M197">
        <f>IF($B$1+10&gt;90,L197,(L197+IF($B$1+10&lt;=$B197,12*$B$9,-12*$B$8*(1+$B$4)^10))*IF(L197+IF($B$1+10&lt;=$B197,12*$B$9,-12*$B$8*(1+$B$4)^10)&gt;0,1+$B$3,1))</f>
        <v/>
      </c>
      <c r="N197">
        <f>IF($B$1+11&gt;90,M197,(M197+IF($B$1+11&lt;=$B197,12*$B$9,-12*$B$8*(1+$B$4)^11))*IF(M197+IF($B$1+11&lt;=$B197,12*$B$9,-12*$B$8*(1+$B$4)^11)&gt;0,1+$B$3,1))</f>
        <v/>
      </c>
      <c r="O197">
        <f>IF($B$1+12&gt;90,N197,(N197+IF($B$1+12&lt;=$B197,12*$B$9,-12*$B$8*(1+$B$4)^12))*IF(N197+IF($B$1+12&lt;=$B197,12*$B$9,-12*$B$8*(1+$B$4)^12)&gt;0,1+$B$3,1))</f>
        <v/>
      </c>
      <c r="P197">
        <f>IF($B$1+13&gt;90,O197,(O197+IF($B$1+13&lt;=$B197,12*$B$9,-12*$B$8*(1+$B$4)^13))*IF(O197+IF($B$1+13&lt;=$B197,12*$B$9,-12*$B$8*(1+$B$4)^13)&gt;0,1+$B$3,1))</f>
        <v/>
      </c>
      <c r="Q197">
        <f>IF($B$1+14&gt;90,P197,(P197+IF($B$1+14&lt;=$B197,12*$B$9,-12*$B$8*(1+$B$4)^14))*IF(P197+IF($B$1+14&lt;=$B197,12*$B$9,-12*$B$8*(1+$B$4)^14)&gt;0,1+$B$3,1))</f>
        <v/>
      </c>
      <c r="R197">
        <f>IF($B$1+15&gt;90,Q197,(Q197+IF($B$1+15&lt;=$B197,12*$B$9,-12*$B$8*(1+$B$4)^15))*IF(Q197+IF($B$1+15&lt;=$B197,12*$B$9,-12*$B$8*(1+$B$4)^15)&gt;0,1+$B$3,1))</f>
        <v/>
      </c>
      <c r="S197">
        <f>IF($B$1+16&gt;90,R197,(R197+IF($B$1+16&lt;=$B197,12*$B$9,-12*$B$8*(1+$B$4)^16))*IF(R197+IF($B$1+16&lt;=$B197,12*$B$9,-12*$B$8*(1+$B$4)^16)&gt;0,1+$B$3,1))</f>
        <v/>
      </c>
      <c r="T197">
        <f>IF($B$1+17&gt;90,S197,(S197+IF($B$1+17&lt;=$B197,12*$B$9,-12*$B$8*(1+$B$4)^17))*IF(S197+IF($B$1+17&lt;=$B197,12*$B$9,-12*$B$8*(1+$B$4)^17)&gt;0,1+$B$3,1))</f>
        <v/>
      </c>
      <c r="U197">
        <f>IF($B$1+18&gt;90,T197,(T197+IF($B$1+18&lt;=$B197,12*$B$9,-12*$B$8*(1+$B$4)^18))*IF(T197+IF($B$1+18&lt;=$B197,12*$B$9,-12*$B$8*(1+$B$4)^18)&gt;0,1+$B$3,1))</f>
        <v/>
      </c>
      <c r="V197">
        <f>IF($B$1+19&gt;90,U197,(U197+IF($B$1+19&lt;=$B197,12*$B$9,-12*$B$8*(1+$B$4)^19))*IF(U197+IF($B$1+19&lt;=$B197,12*$B$9,-12*$B$8*(1+$B$4)^19)&gt;0,1+$B$3,1))</f>
        <v/>
      </c>
      <c r="W197">
        <f>IF($B$1+20&gt;90,V197,(V197+IF($B$1+20&lt;=$B197,12*$B$9,-12*$B$8*(1+$B$4)^20))*IF(V197+IF($B$1+20&lt;=$B197,12*$B$9,-12*$B$8*(1+$B$4)^20)&gt;0,1+$B$3,1))</f>
        <v/>
      </c>
      <c r="X197">
        <f>IF($B$1+21&gt;90,W197,(W197+IF($B$1+21&lt;=$B197,12*$B$9,-12*$B$8*(1+$B$4)^21))*IF(W197+IF($B$1+21&lt;=$B197,12*$B$9,-12*$B$8*(1+$B$4)^21)&gt;0,1+$B$3,1))</f>
        <v/>
      </c>
      <c r="Y197">
        <f>IF($B$1+22&gt;90,X197,(X197+IF($B$1+22&lt;=$B197,12*$B$9,-12*$B$8*(1+$B$4)^22))*IF(X197+IF($B$1+22&lt;=$B197,12*$B$9,-12*$B$8*(1+$B$4)^22)&gt;0,1+$B$3,1))</f>
        <v/>
      </c>
      <c r="Z197">
        <f>IF($B$1+23&gt;90,Y197,(Y197+IF($B$1+23&lt;=$B197,12*$B$9,-12*$B$8*(1+$B$4)^23))*IF(Y197+IF($B$1+23&lt;=$B197,12*$B$9,-12*$B$8*(1+$B$4)^23)&gt;0,1+$B$3,1))</f>
        <v/>
      </c>
      <c r="AA197">
        <f>IF($B$1+24&gt;90,Z197,(Z197+IF($B$1+24&lt;=$B197,12*$B$9,-12*$B$8*(1+$B$4)^24))*IF(Z197+IF($B$1+24&lt;=$B197,12*$B$9,-12*$B$8*(1+$B$4)^24)&gt;0,1+$B$3,1))</f>
        <v/>
      </c>
      <c r="AB197">
        <f>IF($B$1+25&gt;90,AA197,(AA197+IF($B$1+25&lt;=$B197,12*$B$9,-12*$B$8*(1+$B$4)^25))*IF(AA197+IF($B$1+25&lt;=$B197,12*$B$9,-12*$B$8*(1+$B$4)^25)&gt;0,1+$B$3,1))</f>
        <v/>
      </c>
      <c r="AC197">
        <f>IF($B$1+26&gt;90,AB197,(AB197+IF($B$1+26&lt;=$B197,12*$B$9,-12*$B$8*(1+$B$4)^26))*IF(AB197+IF($B$1+26&lt;=$B197,12*$B$9,-12*$B$8*(1+$B$4)^26)&gt;0,1+$B$3,1))</f>
        <v/>
      </c>
      <c r="AD197">
        <f>IF($B$1+27&gt;90,AC197,(AC197+IF($B$1+27&lt;=$B197,12*$B$9,-12*$B$8*(1+$B$4)^27))*IF(AC197+IF($B$1+27&lt;=$B197,12*$B$9,-12*$B$8*(1+$B$4)^27)&gt;0,1+$B$3,1))</f>
        <v/>
      </c>
      <c r="AE197">
        <f>IF($B$1+28&gt;90,AD197,(AD197+IF($B$1+28&lt;=$B197,12*$B$9,-12*$B$8*(1+$B$4)^28))*IF(AD197+IF($B$1+28&lt;=$B197,12*$B$9,-12*$B$8*(1+$B$4)^28)&gt;0,1+$B$3,1))</f>
        <v/>
      </c>
      <c r="AF197">
        <f>IF($B$1+29&gt;90,AE197,(AE197+IF($B$1+29&lt;=$B197,12*$B$9,-12*$B$8*(1+$B$4)^29))*IF(AE197+IF($B$1+29&lt;=$B197,12*$B$9,-12*$B$8*(1+$B$4)^29)&gt;0,1+$B$3,1))</f>
        <v/>
      </c>
      <c r="AG197">
        <f>IF($B$1+30&gt;90,AF197,(AF197+IF($B$1+30&lt;=$B197,12*$B$9,-12*$B$8*(1+$B$4)^30))*IF(AF197+IF($B$1+30&lt;=$B197,12*$B$9,-12*$B$8*(1+$B$4)^30)&gt;0,1+$B$3,1))</f>
        <v/>
      </c>
      <c r="AH197">
        <f>IF($B$1+31&gt;90,AG197,(AG197+IF($B$1+31&lt;=$B197,12*$B$9,-12*$B$8*(1+$B$4)^31))*IF(AG197+IF($B$1+31&lt;=$B197,12*$B$9,-12*$B$8*(1+$B$4)^31)&gt;0,1+$B$3,1))</f>
        <v/>
      </c>
      <c r="AI197">
        <f>IF($B$1+32&gt;90,AH197,(AH197+IF($B$1+32&lt;=$B197,12*$B$9,-12*$B$8*(1+$B$4)^32))*IF(AH197+IF($B$1+32&lt;=$B197,12*$B$9,-12*$B$8*(1+$B$4)^32)&gt;0,1+$B$3,1))</f>
        <v/>
      </c>
      <c r="AJ197">
        <f>IF($B$1+33&gt;90,AI197,(AI197+IF($B$1+33&lt;=$B197,12*$B$9,-12*$B$8*(1+$B$4)^33))*IF(AI197+IF($B$1+33&lt;=$B197,12*$B$9,-12*$B$8*(1+$B$4)^33)&gt;0,1+$B$3,1))</f>
        <v/>
      </c>
      <c r="AK197">
        <f>IF($B$1+34&gt;90,AJ197,(AJ197+IF($B$1+34&lt;=$B197,12*$B$9,-12*$B$8*(1+$B$4)^34))*IF(AJ197+IF($B$1+34&lt;=$B197,12*$B$9,-12*$B$8*(1+$B$4)^34)&gt;0,1+$B$3,1))</f>
        <v/>
      </c>
      <c r="AL197">
        <f>IF($B$1+35&gt;90,AK197,(AK197+IF($B$1+35&lt;=$B197,12*$B$9,-12*$B$8*(1+$B$4)^35))*IF(AK197+IF($B$1+35&lt;=$B197,12*$B$9,-12*$B$8*(1+$B$4)^35)&gt;0,1+$B$3,1))</f>
        <v/>
      </c>
      <c r="AM197">
        <f>IF($B$1+36&gt;90,AL197,(AL197+IF($B$1+36&lt;=$B197,12*$B$9,-12*$B$8*(1+$B$4)^36))*IF(AL197+IF($B$1+36&lt;=$B197,12*$B$9,-12*$B$8*(1+$B$4)^36)&gt;0,1+$B$3,1))</f>
        <v/>
      </c>
      <c r="AN197">
        <f>IF($B$1+37&gt;90,AM197,(AM197+IF($B$1+37&lt;=$B197,12*$B$9,-12*$B$8*(1+$B$4)^37))*IF(AM197+IF($B$1+37&lt;=$B197,12*$B$9,-12*$B$8*(1+$B$4)^37)&gt;0,1+$B$3,1))</f>
        <v/>
      </c>
      <c r="AO197">
        <f>IF($B$1+38&gt;90,AN197,(AN197+IF($B$1+38&lt;=$B197,12*$B$9,-12*$B$8*(1+$B$4)^38))*IF(AN197+IF($B$1+38&lt;=$B197,12*$B$9,-12*$B$8*(1+$B$4)^38)&gt;0,1+$B$3,1))</f>
        <v/>
      </c>
      <c r="AP197">
        <f>IF($B$1+39&gt;90,AO197,(AO197+IF($B$1+39&lt;=$B197,12*$B$9,-12*$B$8*(1+$B$4)^39))*IF(AO197+IF($B$1+39&lt;=$B197,12*$B$9,-12*$B$8*(1+$B$4)^39)&gt;0,1+$B$3,1))</f>
        <v/>
      </c>
      <c r="AQ197">
        <f>IF($B$1+40&gt;90,AP197,(AP197+IF($B$1+40&lt;=$B197,12*$B$9,-12*$B$8*(1+$B$4)^40))*IF(AP197+IF($B$1+40&lt;=$B197,12*$B$9,-12*$B$8*(1+$B$4)^40)&gt;0,1+$B$3,1))</f>
        <v/>
      </c>
      <c r="AR197">
        <f>IF($B$1+41&gt;90,AQ197,(AQ197+IF($B$1+41&lt;=$B197,12*$B$9,-12*$B$8*(1+$B$4)^41))*IF(AQ197+IF($B$1+41&lt;=$B197,12*$B$9,-12*$B$8*(1+$B$4)^41)&gt;0,1+$B$3,1))</f>
        <v/>
      </c>
      <c r="AS197">
        <f>IF($B$1+42&gt;90,AR197,(AR197+IF($B$1+42&lt;=$B197,12*$B$9,-12*$B$8*(1+$B$4)^42))*IF(AR197+IF($B$1+42&lt;=$B197,12*$B$9,-12*$B$8*(1+$B$4)^42)&gt;0,1+$B$3,1))</f>
        <v/>
      </c>
      <c r="AT197">
        <f>IF($B$1+43&gt;90,AS197,(AS197+IF($B$1+43&lt;=$B197,12*$B$9,-12*$B$8*(1+$B$4)^43))*IF(AS197+IF($B$1+43&lt;=$B197,12*$B$9,-12*$B$8*(1+$B$4)^43)&gt;0,1+$B$3,1))</f>
        <v/>
      </c>
      <c r="AU197">
        <f>IF($B$1+44&gt;90,AT197,(AT197+IF($B$1+44&lt;=$B197,12*$B$9,-12*$B$8*(1+$B$4)^44))*IF(AT197+IF($B$1+44&lt;=$B197,12*$B$9,-12*$B$8*(1+$B$4)^44)&gt;0,1+$B$3,1))</f>
        <v/>
      </c>
      <c r="AV197">
        <f>IF($B$1+45&gt;90,AU197,(AU197+IF($B$1+45&lt;=$B197,12*$B$9,-12*$B$8*(1+$B$4)^45))*IF(AU197+IF($B$1+45&lt;=$B197,12*$B$9,-12*$B$8*(1+$B$4)^45)&gt;0,1+$B$3,1))</f>
        <v/>
      </c>
      <c r="AW197">
        <f>IF($B$1+46&gt;90,AV197,(AV197+IF($B$1+46&lt;=$B197,12*$B$9,-12*$B$8*(1+$B$4)^46))*IF(AV197+IF($B$1+46&lt;=$B197,12*$B$9,-12*$B$8*(1+$B$4)^46)&gt;0,1+$B$3,1))</f>
        <v/>
      </c>
      <c r="AX197">
        <f>IF($B$1+47&gt;90,AW197,(AW197+IF($B$1+47&lt;=$B197,12*$B$9,-12*$B$8*(1+$B$4)^47))*IF(AW197+IF($B$1+47&lt;=$B197,12*$B$9,-12*$B$8*(1+$B$4)^47)&gt;0,1+$B$3,1))</f>
        <v/>
      </c>
      <c r="AY197">
        <f>IF($B$1+48&gt;90,AX197,(AX197+IF($B$1+48&lt;=$B197,12*$B$9,-12*$B$8*(1+$B$4)^48))*IF(AX197+IF($B$1+48&lt;=$B197,12*$B$9,-12*$B$8*(1+$B$4)^48)&gt;0,1+$B$3,1))</f>
        <v/>
      </c>
      <c r="AZ197">
        <f>IF($B$1+49&gt;90,AY197,(AY197+IF($B$1+49&lt;=$B197,12*$B$9,-12*$B$8*(1+$B$4)^49))*IF(AY197+IF($B$1+49&lt;=$B197,12*$B$9,-12*$B$8*(1+$B$4)^49)&gt;0,1+$B$3,1))</f>
        <v/>
      </c>
      <c r="BA197">
        <f>IF($B$1+50&gt;90,AZ197,(AZ197+IF($B$1+50&lt;=$B197,12*$B$9,-12*$B$8*(1+$B$4)^50))*IF(AZ197+IF($B$1+50&lt;=$B197,12*$B$9,-12*$B$8*(1+$B$4)^50)&gt;0,1+$B$3,1))</f>
        <v/>
      </c>
      <c r="BB197">
        <f>IF($B$1+51&gt;90,BA197,(BA197+IF($B$1+51&lt;=$B197,12*$B$9,-12*$B$8*(1+$B$4)^51))*IF(BA197+IF($B$1+51&lt;=$B197,12*$B$9,-12*$B$8*(1+$B$4)^51)&gt;0,1+$B$3,1))</f>
        <v/>
      </c>
      <c r="BC197">
        <f>IF($B$1+52&gt;90,BB197,(BB197+IF($B$1+52&lt;=$B197,12*$B$9,-12*$B$8*(1+$B$4)^52))*IF(BB197+IF($B$1+52&lt;=$B197,12*$B$9,-12*$B$8*(1+$B$4)^52)&gt;0,1+$B$3,1))</f>
        <v/>
      </c>
      <c r="BD197">
        <f>IF($B$1+53&gt;90,BC197,(BC197+IF($B$1+53&lt;=$B197,12*$B$9,-12*$B$8*(1+$B$4)^53))*IF(BC197+IF($B$1+53&lt;=$B197,12*$B$9,-12*$B$8*(1+$B$4)^53)&gt;0,1+$B$3,1))</f>
        <v/>
      </c>
      <c r="BE197">
        <f>IF($B$1+54&gt;90,BD197,(BD197+IF($B$1+54&lt;=$B197,12*$B$9,-12*$B$8*(1+$B$4)^54))*IF(BD197+IF($B$1+54&lt;=$B197,12*$B$9,-12*$B$8*(1+$B$4)^54)&gt;0,1+$B$3,1))</f>
        <v/>
      </c>
      <c r="BF197">
        <f>IF($B$1+55&gt;90,BE197,(BE197+IF($B$1+55&lt;=$B197,12*$B$9,-12*$B$8*(1+$B$4)^55))*IF(BE197+IF($B$1+55&lt;=$B197,12*$B$9,-12*$B$8*(1+$B$4)^55)&gt;0,1+$B$3,1))</f>
        <v/>
      </c>
      <c r="BG197">
        <f>IF($B$1+56&gt;90,BF197,(BF197+IF($B$1+56&lt;=$B197,12*$B$9,-12*$B$8*(1+$B$4)^56))*IF(BF197+IF($B$1+56&lt;=$B197,12*$B$9,-12*$B$8*(1+$B$4)^56)&gt;0,1+$B$3,1))</f>
        <v/>
      </c>
      <c r="BH197">
        <f>IF($B$1+57&gt;90,BG197,(BG197+IF($B$1+57&lt;=$B197,12*$B$9,-12*$B$8*(1+$B$4)^57))*IF(BG197+IF($B$1+57&lt;=$B197,12*$B$9,-12*$B$8*(1+$B$4)^57)&gt;0,1+$B$3,1))</f>
        <v/>
      </c>
      <c r="BI197">
        <f>IF($B$1+58&gt;90,BH197,(BH197+IF($B$1+58&lt;=$B197,12*$B$9,-12*$B$8*(1+$B$4)^58))*IF(BH197+IF($B$1+58&lt;=$B197,12*$B$9,-12*$B$8*(1+$B$4)^58)&gt;0,1+$B$3,1))</f>
        <v/>
      </c>
      <c r="BJ197">
        <f>IF($B$1+59&gt;90,BI197,(BI197+IF($B$1+59&lt;=$B197,12*$B$9,-12*$B$8*(1+$B$4)^59))*IF(BI197+IF($B$1+59&lt;=$B197,12*$B$9,-12*$B$8*(1+$B$4)^59)&gt;0,1+$B$3,1))</f>
        <v/>
      </c>
      <c r="BK197">
        <f>IF($B$1+60&gt;90,BJ197,(BJ197+IF($B$1+60&lt;=$B197,12*$B$9,-12*$B$8*(1+$B$4)^60))*IF(BJ197+IF($B$1+60&lt;=$B197,12*$B$9,-12*$B$8*(1+$B$4)^60)&gt;0,1+$B$3,1))</f>
        <v/>
      </c>
      <c r="BL197">
        <f>IF($B$1+61&gt;90,BK197,(BK197+IF($B$1+61&lt;=$B197,12*$B$9,-12*$B$8*(1+$B$4)^61))*IF(BK197+IF($B$1+61&lt;=$B197,12*$B$9,-12*$B$8*(1+$B$4)^61)&gt;0,1+$B$3,1))</f>
        <v/>
      </c>
      <c r="BM197">
        <f>IF($B$1+62&gt;90,BL197,(BL197+IF($B$1+62&lt;=$B197,12*$B$9,-12*$B$8*(1+$B$4)^62))*IF(BL197+IF($B$1+62&lt;=$B197,12*$B$9,-12*$B$8*(1+$B$4)^62)&gt;0,1+$B$3,1))</f>
        <v/>
      </c>
      <c r="BN197">
        <f>IF($B$1+63&gt;90,BM197,(BM197+IF($B$1+63&lt;=$B197,12*$B$9,-12*$B$8*(1+$B$4)^63))*IF(BM197+IF($B$1+63&lt;=$B197,12*$B$9,-12*$B$8*(1+$B$4)^63)&gt;0,1+$B$3,1))</f>
        <v/>
      </c>
      <c r="BO197">
        <f>IF($B$1+64&gt;90,BN197,(BN197+IF($B$1+64&lt;=$B197,12*$B$9,-12*$B$8*(1+$B$4)^64))*IF(BN197+IF($B$1+64&lt;=$B197,12*$B$9,-12*$B$8*(1+$B$4)^64)&gt;0,1+$B$3,1))</f>
        <v/>
      </c>
      <c r="BP197">
        <f>IF($B$1+65&gt;90,BO197,(BO197+IF($B$1+65&lt;=$B197,12*$B$9,-12*$B$8*(1+$B$4)^65))*IF(BO197+IF($B$1+65&lt;=$B197,12*$B$9,-12*$B$8*(1+$B$4)^65)&gt;0,1+$B$3,1))</f>
        <v/>
      </c>
      <c r="BQ197">
        <f>IF($B$1+66&gt;90,BP197,(BP197+IF($B$1+66&lt;=$B197,12*$B$9,-12*$B$8*(1+$B$4)^66))*IF(BP197+IF($B$1+66&lt;=$B197,12*$B$9,-12*$B$8*(1+$B$4)^66)&gt;0,1+$B$3,1))</f>
        <v/>
      </c>
      <c r="BR197">
        <f>IF($B$1+67&gt;90,BQ197,(BQ197+IF($B$1+67&lt;=$B197,12*$B$9,-12*$B$8*(1+$B$4)^67))*IF(BQ197+IF($B$1+67&lt;=$B197,12*$B$9,-12*$B$8*(1+$B$4)^67)&gt;0,1+$B$3,1))</f>
        <v/>
      </c>
      <c r="BS197">
        <f>IF($B$1+68&gt;90,BR197,(BR197+IF($B$1+68&lt;=$B197,12*$B$9,-12*$B$8*(1+$B$4)^68))*IF(BR197+IF($B$1+68&lt;=$B197,12*$B$9,-12*$B$8*(1+$B$4)^68)&gt;0,1+$B$3,1))</f>
        <v/>
      </c>
      <c r="BT197">
        <f>IF($B$1+69&gt;90,BS197,(BS197+IF($B$1+69&lt;=$B197,12*$B$9,-12*$B$8*(1+$B$4)^69))*IF(BS197+IF($B$1+69&lt;=$B197,12*$B$9,-12*$B$8*(1+$B$4)^69)&gt;0,1+$B$3,1))</f>
        <v/>
      </c>
      <c r="BU197">
        <f>IF($B$1+70&gt;90,BT197,(BT197+IF($B$1+70&lt;=$B197,12*$B$9,-12*$B$8*(1+$B$4)^70))*IF(BT197+IF($B$1+70&lt;=$B197,12*$B$9,-12*$B$8*(1+$B$4)^70)&gt;0,1+$B$3,1))</f>
        <v/>
      </c>
      <c r="BV197">
        <f>BU197</f>
        <v/>
      </c>
      <c r="BW197">
        <f>IF(AND($B197&lt;=70,BV197&gt;0),$B197,999)</f>
        <v/>
      </c>
    </row>
    <row r="198">
      <c r="A198" t="n">
        <v>46</v>
      </c>
      <c r="B198">
        <f>$B$1+46</f>
        <v/>
      </c>
      <c r="C198">
        <f>$B$2</f>
        <v/>
      </c>
      <c r="D198">
        <f>IF($B$1+1&gt;90,C198,(C198+IF($B$1+1&lt;=$B198,12*$B$9,-12*$B$8*(1+$B$4)^1))*IF(C198+IF($B$1+1&lt;=$B198,12*$B$9,-12*$B$8*(1+$B$4)^1)&gt;0,1+$B$3,1))</f>
        <v/>
      </c>
      <c r="E198">
        <f>IF($B$1+2&gt;90,D198,(D198+IF($B$1+2&lt;=$B198,12*$B$9,-12*$B$8*(1+$B$4)^2))*IF(D198+IF($B$1+2&lt;=$B198,12*$B$9,-12*$B$8*(1+$B$4)^2)&gt;0,1+$B$3,1))</f>
        <v/>
      </c>
      <c r="F198">
        <f>IF($B$1+3&gt;90,E198,(E198+IF($B$1+3&lt;=$B198,12*$B$9,-12*$B$8*(1+$B$4)^3))*IF(E198+IF($B$1+3&lt;=$B198,12*$B$9,-12*$B$8*(1+$B$4)^3)&gt;0,1+$B$3,1))</f>
        <v/>
      </c>
      <c r="G198">
        <f>IF($B$1+4&gt;90,F198,(F198+IF($B$1+4&lt;=$B198,12*$B$9,-12*$B$8*(1+$B$4)^4))*IF(F198+IF($B$1+4&lt;=$B198,12*$B$9,-12*$B$8*(1+$B$4)^4)&gt;0,1+$B$3,1))</f>
        <v/>
      </c>
      <c r="H198">
        <f>IF($B$1+5&gt;90,G198,(G198+IF($B$1+5&lt;=$B198,12*$B$9,-12*$B$8*(1+$B$4)^5))*IF(G198+IF($B$1+5&lt;=$B198,12*$B$9,-12*$B$8*(1+$B$4)^5)&gt;0,1+$B$3,1))</f>
        <v/>
      </c>
      <c r="I198">
        <f>IF($B$1+6&gt;90,H198,(H198+IF($B$1+6&lt;=$B198,12*$B$9,-12*$B$8*(1+$B$4)^6))*IF(H198+IF($B$1+6&lt;=$B198,12*$B$9,-12*$B$8*(1+$B$4)^6)&gt;0,1+$B$3,1))</f>
        <v/>
      </c>
      <c r="J198">
        <f>IF($B$1+7&gt;90,I198,(I198+IF($B$1+7&lt;=$B198,12*$B$9,-12*$B$8*(1+$B$4)^7))*IF(I198+IF($B$1+7&lt;=$B198,12*$B$9,-12*$B$8*(1+$B$4)^7)&gt;0,1+$B$3,1))</f>
        <v/>
      </c>
      <c r="K198">
        <f>IF($B$1+8&gt;90,J198,(J198+IF($B$1+8&lt;=$B198,12*$B$9,-12*$B$8*(1+$B$4)^8))*IF(J198+IF($B$1+8&lt;=$B198,12*$B$9,-12*$B$8*(1+$B$4)^8)&gt;0,1+$B$3,1))</f>
        <v/>
      </c>
      <c r="L198">
        <f>IF($B$1+9&gt;90,K198,(K198+IF($B$1+9&lt;=$B198,12*$B$9,-12*$B$8*(1+$B$4)^9))*IF(K198+IF($B$1+9&lt;=$B198,12*$B$9,-12*$B$8*(1+$B$4)^9)&gt;0,1+$B$3,1))</f>
        <v/>
      </c>
      <c r="M198">
        <f>IF($B$1+10&gt;90,L198,(L198+IF($B$1+10&lt;=$B198,12*$B$9,-12*$B$8*(1+$B$4)^10))*IF(L198+IF($B$1+10&lt;=$B198,12*$B$9,-12*$B$8*(1+$B$4)^10)&gt;0,1+$B$3,1))</f>
        <v/>
      </c>
      <c r="N198">
        <f>IF($B$1+11&gt;90,M198,(M198+IF($B$1+11&lt;=$B198,12*$B$9,-12*$B$8*(1+$B$4)^11))*IF(M198+IF($B$1+11&lt;=$B198,12*$B$9,-12*$B$8*(1+$B$4)^11)&gt;0,1+$B$3,1))</f>
        <v/>
      </c>
      <c r="O198">
        <f>IF($B$1+12&gt;90,N198,(N198+IF($B$1+12&lt;=$B198,12*$B$9,-12*$B$8*(1+$B$4)^12))*IF(N198+IF($B$1+12&lt;=$B198,12*$B$9,-12*$B$8*(1+$B$4)^12)&gt;0,1+$B$3,1))</f>
        <v/>
      </c>
      <c r="P198">
        <f>IF($B$1+13&gt;90,O198,(O198+IF($B$1+13&lt;=$B198,12*$B$9,-12*$B$8*(1+$B$4)^13))*IF(O198+IF($B$1+13&lt;=$B198,12*$B$9,-12*$B$8*(1+$B$4)^13)&gt;0,1+$B$3,1))</f>
        <v/>
      </c>
      <c r="Q198">
        <f>IF($B$1+14&gt;90,P198,(P198+IF($B$1+14&lt;=$B198,12*$B$9,-12*$B$8*(1+$B$4)^14))*IF(P198+IF($B$1+14&lt;=$B198,12*$B$9,-12*$B$8*(1+$B$4)^14)&gt;0,1+$B$3,1))</f>
        <v/>
      </c>
      <c r="R198">
        <f>IF($B$1+15&gt;90,Q198,(Q198+IF($B$1+15&lt;=$B198,12*$B$9,-12*$B$8*(1+$B$4)^15))*IF(Q198+IF($B$1+15&lt;=$B198,12*$B$9,-12*$B$8*(1+$B$4)^15)&gt;0,1+$B$3,1))</f>
        <v/>
      </c>
      <c r="S198">
        <f>IF($B$1+16&gt;90,R198,(R198+IF($B$1+16&lt;=$B198,12*$B$9,-12*$B$8*(1+$B$4)^16))*IF(R198+IF($B$1+16&lt;=$B198,12*$B$9,-12*$B$8*(1+$B$4)^16)&gt;0,1+$B$3,1))</f>
        <v/>
      </c>
      <c r="T198">
        <f>IF($B$1+17&gt;90,S198,(S198+IF($B$1+17&lt;=$B198,12*$B$9,-12*$B$8*(1+$B$4)^17))*IF(S198+IF($B$1+17&lt;=$B198,12*$B$9,-12*$B$8*(1+$B$4)^17)&gt;0,1+$B$3,1))</f>
        <v/>
      </c>
      <c r="U198">
        <f>IF($B$1+18&gt;90,T198,(T198+IF($B$1+18&lt;=$B198,12*$B$9,-12*$B$8*(1+$B$4)^18))*IF(T198+IF($B$1+18&lt;=$B198,12*$B$9,-12*$B$8*(1+$B$4)^18)&gt;0,1+$B$3,1))</f>
        <v/>
      </c>
      <c r="V198">
        <f>IF($B$1+19&gt;90,U198,(U198+IF($B$1+19&lt;=$B198,12*$B$9,-12*$B$8*(1+$B$4)^19))*IF(U198+IF($B$1+19&lt;=$B198,12*$B$9,-12*$B$8*(1+$B$4)^19)&gt;0,1+$B$3,1))</f>
        <v/>
      </c>
      <c r="W198">
        <f>IF($B$1+20&gt;90,V198,(V198+IF($B$1+20&lt;=$B198,12*$B$9,-12*$B$8*(1+$B$4)^20))*IF(V198+IF($B$1+20&lt;=$B198,12*$B$9,-12*$B$8*(1+$B$4)^20)&gt;0,1+$B$3,1))</f>
        <v/>
      </c>
      <c r="X198">
        <f>IF($B$1+21&gt;90,W198,(W198+IF($B$1+21&lt;=$B198,12*$B$9,-12*$B$8*(1+$B$4)^21))*IF(W198+IF($B$1+21&lt;=$B198,12*$B$9,-12*$B$8*(1+$B$4)^21)&gt;0,1+$B$3,1))</f>
        <v/>
      </c>
      <c r="Y198">
        <f>IF($B$1+22&gt;90,X198,(X198+IF($B$1+22&lt;=$B198,12*$B$9,-12*$B$8*(1+$B$4)^22))*IF(X198+IF($B$1+22&lt;=$B198,12*$B$9,-12*$B$8*(1+$B$4)^22)&gt;0,1+$B$3,1))</f>
        <v/>
      </c>
      <c r="Z198">
        <f>IF($B$1+23&gt;90,Y198,(Y198+IF($B$1+23&lt;=$B198,12*$B$9,-12*$B$8*(1+$B$4)^23))*IF(Y198+IF($B$1+23&lt;=$B198,12*$B$9,-12*$B$8*(1+$B$4)^23)&gt;0,1+$B$3,1))</f>
        <v/>
      </c>
      <c r="AA198">
        <f>IF($B$1+24&gt;90,Z198,(Z198+IF($B$1+24&lt;=$B198,12*$B$9,-12*$B$8*(1+$B$4)^24))*IF(Z198+IF($B$1+24&lt;=$B198,12*$B$9,-12*$B$8*(1+$B$4)^24)&gt;0,1+$B$3,1))</f>
        <v/>
      </c>
      <c r="AB198">
        <f>IF($B$1+25&gt;90,AA198,(AA198+IF($B$1+25&lt;=$B198,12*$B$9,-12*$B$8*(1+$B$4)^25))*IF(AA198+IF($B$1+25&lt;=$B198,12*$B$9,-12*$B$8*(1+$B$4)^25)&gt;0,1+$B$3,1))</f>
        <v/>
      </c>
      <c r="AC198">
        <f>IF($B$1+26&gt;90,AB198,(AB198+IF($B$1+26&lt;=$B198,12*$B$9,-12*$B$8*(1+$B$4)^26))*IF(AB198+IF($B$1+26&lt;=$B198,12*$B$9,-12*$B$8*(1+$B$4)^26)&gt;0,1+$B$3,1))</f>
        <v/>
      </c>
      <c r="AD198">
        <f>IF($B$1+27&gt;90,AC198,(AC198+IF($B$1+27&lt;=$B198,12*$B$9,-12*$B$8*(1+$B$4)^27))*IF(AC198+IF($B$1+27&lt;=$B198,12*$B$9,-12*$B$8*(1+$B$4)^27)&gt;0,1+$B$3,1))</f>
        <v/>
      </c>
      <c r="AE198">
        <f>IF($B$1+28&gt;90,AD198,(AD198+IF($B$1+28&lt;=$B198,12*$B$9,-12*$B$8*(1+$B$4)^28))*IF(AD198+IF($B$1+28&lt;=$B198,12*$B$9,-12*$B$8*(1+$B$4)^28)&gt;0,1+$B$3,1))</f>
        <v/>
      </c>
      <c r="AF198">
        <f>IF($B$1+29&gt;90,AE198,(AE198+IF($B$1+29&lt;=$B198,12*$B$9,-12*$B$8*(1+$B$4)^29))*IF(AE198+IF($B$1+29&lt;=$B198,12*$B$9,-12*$B$8*(1+$B$4)^29)&gt;0,1+$B$3,1))</f>
        <v/>
      </c>
      <c r="AG198">
        <f>IF($B$1+30&gt;90,AF198,(AF198+IF($B$1+30&lt;=$B198,12*$B$9,-12*$B$8*(1+$B$4)^30))*IF(AF198+IF($B$1+30&lt;=$B198,12*$B$9,-12*$B$8*(1+$B$4)^30)&gt;0,1+$B$3,1))</f>
        <v/>
      </c>
      <c r="AH198">
        <f>IF($B$1+31&gt;90,AG198,(AG198+IF($B$1+31&lt;=$B198,12*$B$9,-12*$B$8*(1+$B$4)^31))*IF(AG198+IF($B$1+31&lt;=$B198,12*$B$9,-12*$B$8*(1+$B$4)^31)&gt;0,1+$B$3,1))</f>
        <v/>
      </c>
      <c r="AI198">
        <f>IF($B$1+32&gt;90,AH198,(AH198+IF($B$1+32&lt;=$B198,12*$B$9,-12*$B$8*(1+$B$4)^32))*IF(AH198+IF($B$1+32&lt;=$B198,12*$B$9,-12*$B$8*(1+$B$4)^32)&gt;0,1+$B$3,1))</f>
        <v/>
      </c>
      <c r="AJ198">
        <f>IF($B$1+33&gt;90,AI198,(AI198+IF($B$1+33&lt;=$B198,12*$B$9,-12*$B$8*(1+$B$4)^33))*IF(AI198+IF($B$1+33&lt;=$B198,12*$B$9,-12*$B$8*(1+$B$4)^33)&gt;0,1+$B$3,1))</f>
        <v/>
      </c>
      <c r="AK198">
        <f>IF($B$1+34&gt;90,AJ198,(AJ198+IF($B$1+34&lt;=$B198,12*$B$9,-12*$B$8*(1+$B$4)^34))*IF(AJ198+IF($B$1+34&lt;=$B198,12*$B$9,-12*$B$8*(1+$B$4)^34)&gt;0,1+$B$3,1))</f>
        <v/>
      </c>
      <c r="AL198">
        <f>IF($B$1+35&gt;90,AK198,(AK198+IF($B$1+35&lt;=$B198,12*$B$9,-12*$B$8*(1+$B$4)^35))*IF(AK198+IF($B$1+35&lt;=$B198,12*$B$9,-12*$B$8*(1+$B$4)^35)&gt;0,1+$B$3,1))</f>
        <v/>
      </c>
      <c r="AM198">
        <f>IF($B$1+36&gt;90,AL198,(AL198+IF($B$1+36&lt;=$B198,12*$B$9,-12*$B$8*(1+$B$4)^36))*IF(AL198+IF($B$1+36&lt;=$B198,12*$B$9,-12*$B$8*(1+$B$4)^36)&gt;0,1+$B$3,1))</f>
        <v/>
      </c>
      <c r="AN198">
        <f>IF($B$1+37&gt;90,AM198,(AM198+IF($B$1+37&lt;=$B198,12*$B$9,-12*$B$8*(1+$B$4)^37))*IF(AM198+IF($B$1+37&lt;=$B198,12*$B$9,-12*$B$8*(1+$B$4)^37)&gt;0,1+$B$3,1))</f>
        <v/>
      </c>
      <c r="AO198">
        <f>IF($B$1+38&gt;90,AN198,(AN198+IF($B$1+38&lt;=$B198,12*$B$9,-12*$B$8*(1+$B$4)^38))*IF(AN198+IF($B$1+38&lt;=$B198,12*$B$9,-12*$B$8*(1+$B$4)^38)&gt;0,1+$B$3,1))</f>
        <v/>
      </c>
      <c r="AP198">
        <f>IF($B$1+39&gt;90,AO198,(AO198+IF($B$1+39&lt;=$B198,12*$B$9,-12*$B$8*(1+$B$4)^39))*IF(AO198+IF($B$1+39&lt;=$B198,12*$B$9,-12*$B$8*(1+$B$4)^39)&gt;0,1+$B$3,1))</f>
        <v/>
      </c>
      <c r="AQ198">
        <f>IF($B$1+40&gt;90,AP198,(AP198+IF($B$1+40&lt;=$B198,12*$B$9,-12*$B$8*(1+$B$4)^40))*IF(AP198+IF($B$1+40&lt;=$B198,12*$B$9,-12*$B$8*(1+$B$4)^40)&gt;0,1+$B$3,1))</f>
        <v/>
      </c>
      <c r="AR198">
        <f>IF($B$1+41&gt;90,AQ198,(AQ198+IF($B$1+41&lt;=$B198,12*$B$9,-12*$B$8*(1+$B$4)^41))*IF(AQ198+IF($B$1+41&lt;=$B198,12*$B$9,-12*$B$8*(1+$B$4)^41)&gt;0,1+$B$3,1))</f>
        <v/>
      </c>
      <c r="AS198">
        <f>IF($B$1+42&gt;90,AR198,(AR198+IF($B$1+42&lt;=$B198,12*$B$9,-12*$B$8*(1+$B$4)^42))*IF(AR198+IF($B$1+42&lt;=$B198,12*$B$9,-12*$B$8*(1+$B$4)^42)&gt;0,1+$B$3,1))</f>
        <v/>
      </c>
      <c r="AT198">
        <f>IF($B$1+43&gt;90,AS198,(AS198+IF($B$1+43&lt;=$B198,12*$B$9,-12*$B$8*(1+$B$4)^43))*IF(AS198+IF($B$1+43&lt;=$B198,12*$B$9,-12*$B$8*(1+$B$4)^43)&gt;0,1+$B$3,1))</f>
        <v/>
      </c>
      <c r="AU198">
        <f>IF($B$1+44&gt;90,AT198,(AT198+IF($B$1+44&lt;=$B198,12*$B$9,-12*$B$8*(1+$B$4)^44))*IF(AT198+IF($B$1+44&lt;=$B198,12*$B$9,-12*$B$8*(1+$B$4)^44)&gt;0,1+$B$3,1))</f>
        <v/>
      </c>
      <c r="AV198">
        <f>IF($B$1+45&gt;90,AU198,(AU198+IF($B$1+45&lt;=$B198,12*$B$9,-12*$B$8*(1+$B$4)^45))*IF(AU198+IF($B$1+45&lt;=$B198,12*$B$9,-12*$B$8*(1+$B$4)^45)&gt;0,1+$B$3,1))</f>
        <v/>
      </c>
      <c r="AW198">
        <f>IF($B$1+46&gt;90,AV198,(AV198+IF($B$1+46&lt;=$B198,12*$B$9,-12*$B$8*(1+$B$4)^46))*IF(AV198+IF($B$1+46&lt;=$B198,12*$B$9,-12*$B$8*(1+$B$4)^46)&gt;0,1+$B$3,1))</f>
        <v/>
      </c>
      <c r="AX198">
        <f>IF($B$1+47&gt;90,AW198,(AW198+IF($B$1+47&lt;=$B198,12*$B$9,-12*$B$8*(1+$B$4)^47))*IF(AW198+IF($B$1+47&lt;=$B198,12*$B$9,-12*$B$8*(1+$B$4)^47)&gt;0,1+$B$3,1))</f>
        <v/>
      </c>
      <c r="AY198">
        <f>IF($B$1+48&gt;90,AX198,(AX198+IF($B$1+48&lt;=$B198,12*$B$9,-12*$B$8*(1+$B$4)^48))*IF(AX198+IF($B$1+48&lt;=$B198,12*$B$9,-12*$B$8*(1+$B$4)^48)&gt;0,1+$B$3,1))</f>
        <v/>
      </c>
      <c r="AZ198">
        <f>IF($B$1+49&gt;90,AY198,(AY198+IF($B$1+49&lt;=$B198,12*$B$9,-12*$B$8*(1+$B$4)^49))*IF(AY198+IF($B$1+49&lt;=$B198,12*$B$9,-12*$B$8*(1+$B$4)^49)&gt;0,1+$B$3,1))</f>
        <v/>
      </c>
      <c r="BA198">
        <f>IF($B$1+50&gt;90,AZ198,(AZ198+IF($B$1+50&lt;=$B198,12*$B$9,-12*$B$8*(1+$B$4)^50))*IF(AZ198+IF($B$1+50&lt;=$B198,12*$B$9,-12*$B$8*(1+$B$4)^50)&gt;0,1+$B$3,1))</f>
        <v/>
      </c>
      <c r="BB198">
        <f>IF($B$1+51&gt;90,BA198,(BA198+IF($B$1+51&lt;=$B198,12*$B$9,-12*$B$8*(1+$B$4)^51))*IF(BA198+IF($B$1+51&lt;=$B198,12*$B$9,-12*$B$8*(1+$B$4)^51)&gt;0,1+$B$3,1))</f>
        <v/>
      </c>
      <c r="BC198">
        <f>IF($B$1+52&gt;90,BB198,(BB198+IF($B$1+52&lt;=$B198,12*$B$9,-12*$B$8*(1+$B$4)^52))*IF(BB198+IF($B$1+52&lt;=$B198,12*$B$9,-12*$B$8*(1+$B$4)^52)&gt;0,1+$B$3,1))</f>
        <v/>
      </c>
      <c r="BD198">
        <f>IF($B$1+53&gt;90,BC198,(BC198+IF($B$1+53&lt;=$B198,12*$B$9,-12*$B$8*(1+$B$4)^53))*IF(BC198+IF($B$1+53&lt;=$B198,12*$B$9,-12*$B$8*(1+$B$4)^53)&gt;0,1+$B$3,1))</f>
        <v/>
      </c>
      <c r="BE198">
        <f>IF($B$1+54&gt;90,BD198,(BD198+IF($B$1+54&lt;=$B198,12*$B$9,-12*$B$8*(1+$B$4)^54))*IF(BD198+IF($B$1+54&lt;=$B198,12*$B$9,-12*$B$8*(1+$B$4)^54)&gt;0,1+$B$3,1))</f>
        <v/>
      </c>
      <c r="BF198">
        <f>IF($B$1+55&gt;90,BE198,(BE198+IF($B$1+55&lt;=$B198,12*$B$9,-12*$B$8*(1+$B$4)^55))*IF(BE198+IF($B$1+55&lt;=$B198,12*$B$9,-12*$B$8*(1+$B$4)^55)&gt;0,1+$B$3,1))</f>
        <v/>
      </c>
      <c r="BG198">
        <f>IF($B$1+56&gt;90,BF198,(BF198+IF($B$1+56&lt;=$B198,12*$B$9,-12*$B$8*(1+$B$4)^56))*IF(BF198+IF($B$1+56&lt;=$B198,12*$B$9,-12*$B$8*(1+$B$4)^56)&gt;0,1+$B$3,1))</f>
        <v/>
      </c>
      <c r="BH198">
        <f>IF($B$1+57&gt;90,BG198,(BG198+IF($B$1+57&lt;=$B198,12*$B$9,-12*$B$8*(1+$B$4)^57))*IF(BG198+IF($B$1+57&lt;=$B198,12*$B$9,-12*$B$8*(1+$B$4)^57)&gt;0,1+$B$3,1))</f>
        <v/>
      </c>
      <c r="BI198">
        <f>IF($B$1+58&gt;90,BH198,(BH198+IF($B$1+58&lt;=$B198,12*$B$9,-12*$B$8*(1+$B$4)^58))*IF(BH198+IF($B$1+58&lt;=$B198,12*$B$9,-12*$B$8*(1+$B$4)^58)&gt;0,1+$B$3,1))</f>
        <v/>
      </c>
      <c r="BJ198">
        <f>IF($B$1+59&gt;90,BI198,(BI198+IF($B$1+59&lt;=$B198,12*$B$9,-12*$B$8*(1+$B$4)^59))*IF(BI198+IF($B$1+59&lt;=$B198,12*$B$9,-12*$B$8*(1+$B$4)^59)&gt;0,1+$B$3,1))</f>
        <v/>
      </c>
      <c r="BK198">
        <f>IF($B$1+60&gt;90,BJ198,(BJ198+IF($B$1+60&lt;=$B198,12*$B$9,-12*$B$8*(1+$B$4)^60))*IF(BJ198+IF($B$1+60&lt;=$B198,12*$B$9,-12*$B$8*(1+$B$4)^60)&gt;0,1+$B$3,1))</f>
        <v/>
      </c>
      <c r="BL198">
        <f>IF($B$1+61&gt;90,BK198,(BK198+IF($B$1+61&lt;=$B198,12*$B$9,-12*$B$8*(1+$B$4)^61))*IF(BK198+IF($B$1+61&lt;=$B198,12*$B$9,-12*$B$8*(1+$B$4)^61)&gt;0,1+$B$3,1))</f>
        <v/>
      </c>
      <c r="BM198">
        <f>IF($B$1+62&gt;90,BL198,(BL198+IF($B$1+62&lt;=$B198,12*$B$9,-12*$B$8*(1+$B$4)^62))*IF(BL198+IF($B$1+62&lt;=$B198,12*$B$9,-12*$B$8*(1+$B$4)^62)&gt;0,1+$B$3,1))</f>
        <v/>
      </c>
      <c r="BN198">
        <f>IF($B$1+63&gt;90,BM198,(BM198+IF($B$1+63&lt;=$B198,12*$B$9,-12*$B$8*(1+$B$4)^63))*IF(BM198+IF($B$1+63&lt;=$B198,12*$B$9,-12*$B$8*(1+$B$4)^63)&gt;0,1+$B$3,1))</f>
        <v/>
      </c>
      <c r="BO198">
        <f>IF($B$1+64&gt;90,BN198,(BN198+IF($B$1+64&lt;=$B198,12*$B$9,-12*$B$8*(1+$B$4)^64))*IF(BN198+IF($B$1+64&lt;=$B198,12*$B$9,-12*$B$8*(1+$B$4)^64)&gt;0,1+$B$3,1))</f>
        <v/>
      </c>
      <c r="BP198">
        <f>IF($B$1+65&gt;90,BO198,(BO198+IF($B$1+65&lt;=$B198,12*$B$9,-12*$B$8*(1+$B$4)^65))*IF(BO198+IF($B$1+65&lt;=$B198,12*$B$9,-12*$B$8*(1+$B$4)^65)&gt;0,1+$B$3,1))</f>
        <v/>
      </c>
      <c r="BQ198">
        <f>IF($B$1+66&gt;90,BP198,(BP198+IF($B$1+66&lt;=$B198,12*$B$9,-12*$B$8*(1+$B$4)^66))*IF(BP198+IF($B$1+66&lt;=$B198,12*$B$9,-12*$B$8*(1+$B$4)^66)&gt;0,1+$B$3,1))</f>
        <v/>
      </c>
      <c r="BR198">
        <f>IF($B$1+67&gt;90,BQ198,(BQ198+IF($B$1+67&lt;=$B198,12*$B$9,-12*$B$8*(1+$B$4)^67))*IF(BQ198+IF($B$1+67&lt;=$B198,12*$B$9,-12*$B$8*(1+$B$4)^67)&gt;0,1+$B$3,1))</f>
        <v/>
      </c>
      <c r="BS198">
        <f>IF($B$1+68&gt;90,BR198,(BR198+IF($B$1+68&lt;=$B198,12*$B$9,-12*$B$8*(1+$B$4)^68))*IF(BR198+IF($B$1+68&lt;=$B198,12*$B$9,-12*$B$8*(1+$B$4)^68)&gt;0,1+$B$3,1))</f>
        <v/>
      </c>
      <c r="BT198">
        <f>IF($B$1+69&gt;90,BS198,(BS198+IF($B$1+69&lt;=$B198,12*$B$9,-12*$B$8*(1+$B$4)^69))*IF(BS198+IF($B$1+69&lt;=$B198,12*$B$9,-12*$B$8*(1+$B$4)^69)&gt;0,1+$B$3,1))</f>
        <v/>
      </c>
      <c r="BU198">
        <f>IF($B$1+70&gt;90,BT198,(BT198+IF($B$1+70&lt;=$B198,12*$B$9,-12*$B$8*(1+$B$4)^70))*IF(BT198+IF($B$1+70&lt;=$B198,12*$B$9,-12*$B$8*(1+$B$4)^70)&gt;0,1+$B$3,1))</f>
        <v/>
      </c>
      <c r="BV198">
        <f>BU198</f>
        <v/>
      </c>
      <c r="BW198">
        <f>IF(AND($B198&lt;=70,BV198&gt;0),$B198,999)</f>
        <v/>
      </c>
    </row>
    <row r="199">
      <c r="A199" t="n">
        <v>47</v>
      </c>
      <c r="B199">
        <f>$B$1+47</f>
        <v/>
      </c>
      <c r="C199">
        <f>$B$2</f>
        <v/>
      </c>
      <c r="D199">
        <f>IF($B$1+1&gt;90,C199,(C199+IF($B$1+1&lt;=$B199,12*$B$9,-12*$B$8*(1+$B$4)^1))*IF(C199+IF($B$1+1&lt;=$B199,12*$B$9,-12*$B$8*(1+$B$4)^1)&gt;0,1+$B$3,1))</f>
        <v/>
      </c>
      <c r="E199">
        <f>IF($B$1+2&gt;90,D199,(D199+IF($B$1+2&lt;=$B199,12*$B$9,-12*$B$8*(1+$B$4)^2))*IF(D199+IF($B$1+2&lt;=$B199,12*$B$9,-12*$B$8*(1+$B$4)^2)&gt;0,1+$B$3,1))</f>
        <v/>
      </c>
      <c r="F199">
        <f>IF($B$1+3&gt;90,E199,(E199+IF($B$1+3&lt;=$B199,12*$B$9,-12*$B$8*(1+$B$4)^3))*IF(E199+IF($B$1+3&lt;=$B199,12*$B$9,-12*$B$8*(1+$B$4)^3)&gt;0,1+$B$3,1))</f>
        <v/>
      </c>
      <c r="G199">
        <f>IF($B$1+4&gt;90,F199,(F199+IF($B$1+4&lt;=$B199,12*$B$9,-12*$B$8*(1+$B$4)^4))*IF(F199+IF($B$1+4&lt;=$B199,12*$B$9,-12*$B$8*(1+$B$4)^4)&gt;0,1+$B$3,1))</f>
        <v/>
      </c>
      <c r="H199">
        <f>IF($B$1+5&gt;90,G199,(G199+IF($B$1+5&lt;=$B199,12*$B$9,-12*$B$8*(1+$B$4)^5))*IF(G199+IF($B$1+5&lt;=$B199,12*$B$9,-12*$B$8*(1+$B$4)^5)&gt;0,1+$B$3,1))</f>
        <v/>
      </c>
      <c r="I199">
        <f>IF($B$1+6&gt;90,H199,(H199+IF($B$1+6&lt;=$B199,12*$B$9,-12*$B$8*(1+$B$4)^6))*IF(H199+IF($B$1+6&lt;=$B199,12*$B$9,-12*$B$8*(1+$B$4)^6)&gt;0,1+$B$3,1))</f>
        <v/>
      </c>
      <c r="J199">
        <f>IF($B$1+7&gt;90,I199,(I199+IF($B$1+7&lt;=$B199,12*$B$9,-12*$B$8*(1+$B$4)^7))*IF(I199+IF($B$1+7&lt;=$B199,12*$B$9,-12*$B$8*(1+$B$4)^7)&gt;0,1+$B$3,1))</f>
        <v/>
      </c>
      <c r="K199">
        <f>IF($B$1+8&gt;90,J199,(J199+IF($B$1+8&lt;=$B199,12*$B$9,-12*$B$8*(1+$B$4)^8))*IF(J199+IF($B$1+8&lt;=$B199,12*$B$9,-12*$B$8*(1+$B$4)^8)&gt;0,1+$B$3,1))</f>
        <v/>
      </c>
      <c r="L199">
        <f>IF($B$1+9&gt;90,K199,(K199+IF($B$1+9&lt;=$B199,12*$B$9,-12*$B$8*(1+$B$4)^9))*IF(K199+IF($B$1+9&lt;=$B199,12*$B$9,-12*$B$8*(1+$B$4)^9)&gt;0,1+$B$3,1))</f>
        <v/>
      </c>
      <c r="M199">
        <f>IF($B$1+10&gt;90,L199,(L199+IF($B$1+10&lt;=$B199,12*$B$9,-12*$B$8*(1+$B$4)^10))*IF(L199+IF($B$1+10&lt;=$B199,12*$B$9,-12*$B$8*(1+$B$4)^10)&gt;0,1+$B$3,1))</f>
        <v/>
      </c>
      <c r="N199">
        <f>IF($B$1+11&gt;90,M199,(M199+IF($B$1+11&lt;=$B199,12*$B$9,-12*$B$8*(1+$B$4)^11))*IF(M199+IF($B$1+11&lt;=$B199,12*$B$9,-12*$B$8*(1+$B$4)^11)&gt;0,1+$B$3,1))</f>
        <v/>
      </c>
      <c r="O199">
        <f>IF($B$1+12&gt;90,N199,(N199+IF($B$1+12&lt;=$B199,12*$B$9,-12*$B$8*(1+$B$4)^12))*IF(N199+IF($B$1+12&lt;=$B199,12*$B$9,-12*$B$8*(1+$B$4)^12)&gt;0,1+$B$3,1))</f>
        <v/>
      </c>
      <c r="P199">
        <f>IF($B$1+13&gt;90,O199,(O199+IF($B$1+13&lt;=$B199,12*$B$9,-12*$B$8*(1+$B$4)^13))*IF(O199+IF($B$1+13&lt;=$B199,12*$B$9,-12*$B$8*(1+$B$4)^13)&gt;0,1+$B$3,1))</f>
        <v/>
      </c>
      <c r="Q199">
        <f>IF($B$1+14&gt;90,P199,(P199+IF($B$1+14&lt;=$B199,12*$B$9,-12*$B$8*(1+$B$4)^14))*IF(P199+IF($B$1+14&lt;=$B199,12*$B$9,-12*$B$8*(1+$B$4)^14)&gt;0,1+$B$3,1))</f>
        <v/>
      </c>
      <c r="R199">
        <f>IF($B$1+15&gt;90,Q199,(Q199+IF($B$1+15&lt;=$B199,12*$B$9,-12*$B$8*(1+$B$4)^15))*IF(Q199+IF($B$1+15&lt;=$B199,12*$B$9,-12*$B$8*(1+$B$4)^15)&gt;0,1+$B$3,1))</f>
        <v/>
      </c>
      <c r="S199">
        <f>IF($B$1+16&gt;90,R199,(R199+IF($B$1+16&lt;=$B199,12*$B$9,-12*$B$8*(1+$B$4)^16))*IF(R199+IF($B$1+16&lt;=$B199,12*$B$9,-12*$B$8*(1+$B$4)^16)&gt;0,1+$B$3,1))</f>
        <v/>
      </c>
      <c r="T199">
        <f>IF($B$1+17&gt;90,S199,(S199+IF($B$1+17&lt;=$B199,12*$B$9,-12*$B$8*(1+$B$4)^17))*IF(S199+IF($B$1+17&lt;=$B199,12*$B$9,-12*$B$8*(1+$B$4)^17)&gt;0,1+$B$3,1))</f>
        <v/>
      </c>
      <c r="U199">
        <f>IF($B$1+18&gt;90,T199,(T199+IF($B$1+18&lt;=$B199,12*$B$9,-12*$B$8*(1+$B$4)^18))*IF(T199+IF($B$1+18&lt;=$B199,12*$B$9,-12*$B$8*(1+$B$4)^18)&gt;0,1+$B$3,1))</f>
        <v/>
      </c>
      <c r="V199">
        <f>IF($B$1+19&gt;90,U199,(U199+IF($B$1+19&lt;=$B199,12*$B$9,-12*$B$8*(1+$B$4)^19))*IF(U199+IF($B$1+19&lt;=$B199,12*$B$9,-12*$B$8*(1+$B$4)^19)&gt;0,1+$B$3,1))</f>
        <v/>
      </c>
      <c r="W199">
        <f>IF($B$1+20&gt;90,V199,(V199+IF($B$1+20&lt;=$B199,12*$B$9,-12*$B$8*(1+$B$4)^20))*IF(V199+IF($B$1+20&lt;=$B199,12*$B$9,-12*$B$8*(1+$B$4)^20)&gt;0,1+$B$3,1))</f>
        <v/>
      </c>
      <c r="X199">
        <f>IF($B$1+21&gt;90,W199,(W199+IF($B$1+21&lt;=$B199,12*$B$9,-12*$B$8*(1+$B$4)^21))*IF(W199+IF($B$1+21&lt;=$B199,12*$B$9,-12*$B$8*(1+$B$4)^21)&gt;0,1+$B$3,1))</f>
        <v/>
      </c>
      <c r="Y199">
        <f>IF($B$1+22&gt;90,X199,(X199+IF($B$1+22&lt;=$B199,12*$B$9,-12*$B$8*(1+$B$4)^22))*IF(X199+IF($B$1+22&lt;=$B199,12*$B$9,-12*$B$8*(1+$B$4)^22)&gt;0,1+$B$3,1))</f>
        <v/>
      </c>
      <c r="Z199">
        <f>IF($B$1+23&gt;90,Y199,(Y199+IF($B$1+23&lt;=$B199,12*$B$9,-12*$B$8*(1+$B$4)^23))*IF(Y199+IF($B$1+23&lt;=$B199,12*$B$9,-12*$B$8*(1+$B$4)^23)&gt;0,1+$B$3,1))</f>
        <v/>
      </c>
      <c r="AA199">
        <f>IF($B$1+24&gt;90,Z199,(Z199+IF($B$1+24&lt;=$B199,12*$B$9,-12*$B$8*(1+$B$4)^24))*IF(Z199+IF($B$1+24&lt;=$B199,12*$B$9,-12*$B$8*(1+$B$4)^24)&gt;0,1+$B$3,1))</f>
        <v/>
      </c>
      <c r="AB199">
        <f>IF($B$1+25&gt;90,AA199,(AA199+IF($B$1+25&lt;=$B199,12*$B$9,-12*$B$8*(1+$B$4)^25))*IF(AA199+IF($B$1+25&lt;=$B199,12*$B$9,-12*$B$8*(1+$B$4)^25)&gt;0,1+$B$3,1))</f>
        <v/>
      </c>
      <c r="AC199">
        <f>IF($B$1+26&gt;90,AB199,(AB199+IF($B$1+26&lt;=$B199,12*$B$9,-12*$B$8*(1+$B$4)^26))*IF(AB199+IF($B$1+26&lt;=$B199,12*$B$9,-12*$B$8*(1+$B$4)^26)&gt;0,1+$B$3,1))</f>
        <v/>
      </c>
      <c r="AD199">
        <f>IF($B$1+27&gt;90,AC199,(AC199+IF($B$1+27&lt;=$B199,12*$B$9,-12*$B$8*(1+$B$4)^27))*IF(AC199+IF($B$1+27&lt;=$B199,12*$B$9,-12*$B$8*(1+$B$4)^27)&gt;0,1+$B$3,1))</f>
        <v/>
      </c>
      <c r="AE199">
        <f>IF($B$1+28&gt;90,AD199,(AD199+IF($B$1+28&lt;=$B199,12*$B$9,-12*$B$8*(1+$B$4)^28))*IF(AD199+IF($B$1+28&lt;=$B199,12*$B$9,-12*$B$8*(1+$B$4)^28)&gt;0,1+$B$3,1))</f>
        <v/>
      </c>
      <c r="AF199">
        <f>IF($B$1+29&gt;90,AE199,(AE199+IF($B$1+29&lt;=$B199,12*$B$9,-12*$B$8*(1+$B$4)^29))*IF(AE199+IF($B$1+29&lt;=$B199,12*$B$9,-12*$B$8*(1+$B$4)^29)&gt;0,1+$B$3,1))</f>
        <v/>
      </c>
      <c r="AG199">
        <f>IF($B$1+30&gt;90,AF199,(AF199+IF($B$1+30&lt;=$B199,12*$B$9,-12*$B$8*(1+$B$4)^30))*IF(AF199+IF($B$1+30&lt;=$B199,12*$B$9,-12*$B$8*(1+$B$4)^30)&gt;0,1+$B$3,1))</f>
        <v/>
      </c>
      <c r="AH199">
        <f>IF($B$1+31&gt;90,AG199,(AG199+IF($B$1+31&lt;=$B199,12*$B$9,-12*$B$8*(1+$B$4)^31))*IF(AG199+IF($B$1+31&lt;=$B199,12*$B$9,-12*$B$8*(1+$B$4)^31)&gt;0,1+$B$3,1))</f>
        <v/>
      </c>
      <c r="AI199">
        <f>IF($B$1+32&gt;90,AH199,(AH199+IF($B$1+32&lt;=$B199,12*$B$9,-12*$B$8*(1+$B$4)^32))*IF(AH199+IF($B$1+32&lt;=$B199,12*$B$9,-12*$B$8*(1+$B$4)^32)&gt;0,1+$B$3,1))</f>
        <v/>
      </c>
      <c r="AJ199">
        <f>IF($B$1+33&gt;90,AI199,(AI199+IF($B$1+33&lt;=$B199,12*$B$9,-12*$B$8*(1+$B$4)^33))*IF(AI199+IF($B$1+33&lt;=$B199,12*$B$9,-12*$B$8*(1+$B$4)^33)&gt;0,1+$B$3,1))</f>
        <v/>
      </c>
      <c r="AK199">
        <f>IF($B$1+34&gt;90,AJ199,(AJ199+IF($B$1+34&lt;=$B199,12*$B$9,-12*$B$8*(1+$B$4)^34))*IF(AJ199+IF($B$1+34&lt;=$B199,12*$B$9,-12*$B$8*(1+$B$4)^34)&gt;0,1+$B$3,1))</f>
        <v/>
      </c>
      <c r="AL199">
        <f>IF($B$1+35&gt;90,AK199,(AK199+IF($B$1+35&lt;=$B199,12*$B$9,-12*$B$8*(1+$B$4)^35))*IF(AK199+IF($B$1+35&lt;=$B199,12*$B$9,-12*$B$8*(1+$B$4)^35)&gt;0,1+$B$3,1))</f>
        <v/>
      </c>
      <c r="AM199">
        <f>IF($B$1+36&gt;90,AL199,(AL199+IF($B$1+36&lt;=$B199,12*$B$9,-12*$B$8*(1+$B$4)^36))*IF(AL199+IF($B$1+36&lt;=$B199,12*$B$9,-12*$B$8*(1+$B$4)^36)&gt;0,1+$B$3,1))</f>
        <v/>
      </c>
      <c r="AN199">
        <f>IF($B$1+37&gt;90,AM199,(AM199+IF($B$1+37&lt;=$B199,12*$B$9,-12*$B$8*(1+$B$4)^37))*IF(AM199+IF($B$1+37&lt;=$B199,12*$B$9,-12*$B$8*(1+$B$4)^37)&gt;0,1+$B$3,1))</f>
        <v/>
      </c>
      <c r="AO199">
        <f>IF($B$1+38&gt;90,AN199,(AN199+IF($B$1+38&lt;=$B199,12*$B$9,-12*$B$8*(1+$B$4)^38))*IF(AN199+IF($B$1+38&lt;=$B199,12*$B$9,-12*$B$8*(1+$B$4)^38)&gt;0,1+$B$3,1))</f>
        <v/>
      </c>
      <c r="AP199">
        <f>IF($B$1+39&gt;90,AO199,(AO199+IF($B$1+39&lt;=$B199,12*$B$9,-12*$B$8*(1+$B$4)^39))*IF(AO199+IF($B$1+39&lt;=$B199,12*$B$9,-12*$B$8*(1+$B$4)^39)&gt;0,1+$B$3,1))</f>
        <v/>
      </c>
      <c r="AQ199">
        <f>IF($B$1+40&gt;90,AP199,(AP199+IF($B$1+40&lt;=$B199,12*$B$9,-12*$B$8*(1+$B$4)^40))*IF(AP199+IF($B$1+40&lt;=$B199,12*$B$9,-12*$B$8*(1+$B$4)^40)&gt;0,1+$B$3,1))</f>
        <v/>
      </c>
      <c r="AR199">
        <f>IF($B$1+41&gt;90,AQ199,(AQ199+IF($B$1+41&lt;=$B199,12*$B$9,-12*$B$8*(1+$B$4)^41))*IF(AQ199+IF($B$1+41&lt;=$B199,12*$B$9,-12*$B$8*(1+$B$4)^41)&gt;0,1+$B$3,1))</f>
        <v/>
      </c>
      <c r="AS199">
        <f>IF($B$1+42&gt;90,AR199,(AR199+IF($B$1+42&lt;=$B199,12*$B$9,-12*$B$8*(1+$B$4)^42))*IF(AR199+IF($B$1+42&lt;=$B199,12*$B$9,-12*$B$8*(1+$B$4)^42)&gt;0,1+$B$3,1))</f>
        <v/>
      </c>
      <c r="AT199">
        <f>IF($B$1+43&gt;90,AS199,(AS199+IF($B$1+43&lt;=$B199,12*$B$9,-12*$B$8*(1+$B$4)^43))*IF(AS199+IF($B$1+43&lt;=$B199,12*$B$9,-12*$B$8*(1+$B$4)^43)&gt;0,1+$B$3,1))</f>
        <v/>
      </c>
      <c r="AU199">
        <f>IF($B$1+44&gt;90,AT199,(AT199+IF($B$1+44&lt;=$B199,12*$B$9,-12*$B$8*(1+$B$4)^44))*IF(AT199+IF($B$1+44&lt;=$B199,12*$B$9,-12*$B$8*(1+$B$4)^44)&gt;0,1+$B$3,1))</f>
        <v/>
      </c>
      <c r="AV199">
        <f>IF($B$1+45&gt;90,AU199,(AU199+IF($B$1+45&lt;=$B199,12*$B$9,-12*$B$8*(1+$B$4)^45))*IF(AU199+IF($B$1+45&lt;=$B199,12*$B$9,-12*$B$8*(1+$B$4)^45)&gt;0,1+$B$3,1))</f>
        <v/>
      </c>
      <c r="AW199">
        <f>IF($B$1+46&gt;90,AV199,(AV199+IF($B$1+46&lt;=$B199,12*$B$9,-12*$B$8*(1+$B$4)^46))*IF(AV199+IF($B$1+46&lt;=$B199,12*$B$9,-12*$B$8*(1+$B$4)^46)&gt;0,1+$B$3,1))</f>
        <v/>
      </c>
      <c r="AX199">
        <f>IF($B$1+47&gt;90,AW199,(AW199+IF($B$1+47&lt;=$B199,12*$B$9,-12*$B$8*(1+$B$4)^47))*IF(AW199+IF($B$1+47&lt;=$B199,12*$B$9,-12*$B$8*(1+$B$4)^47)&gt;0,1+$B$3,1))</f>
        <v/>
      </c>
      <c r="AY199">
        <f>IF($B$1+48&gt;90,AX199,(AX199+IF($B$1+48&lt;=$B199,12*$B$9,-12*$B$8*(1+$B$4)^48))*IF(AX199+IF($B$1+48&lt;=$B199,12*$B$9,-12*$B$8*(1+$B$4)^48)&gt;0,1+$B$3,1))</f>
        <v/>
      </c>
      <c r="AZ199">
        <f>IF($B$1+49&gt;90,AY199,(AY199+IF($B$1+49&lt;=$B199,12*$B$9,-12*$B$8*(1+$B$4)^49))*IF(AY199+IF($B$1+49&lt;=$B199,12*$B$9,-12*$B$8*(1+$B$4)^49)&gt;0,1+$B$3,1))</f>
        <v/>
      </c>
      <c r="BA199">
        <f>IF($B$1+50&gt;90,AZ199,(AZ199+IF($B$1+50&lt;=$B199,12*$B$9,-12*$B$8*(1+$B$4)^50))*IF(AZ199+IF($B$1+50&lt;=$B199,12*$B$9,-12*$B$8*(1+$B$4)^50)&gt;0,1+$B$3,1))</f>
        <v/>
      </c>
      <c r="BB199">
        <f>IF($B$1+51&gt;90,BA199,(BA199+IF($B$1+51&lt;=$B199,12*$B$9,-12*$B$8*(1+$B$4)^51))*IF(BA199+IF($B$1+51&lt;=$B199,12*$B$9,-12*$B$8*(1+$B$4)^51)&gt;0,1+$B$3,1))</f>
        <v/>
      </c>
      <c r="BC199">
        <f>IF($B$1+52&gt;90,BB199,(BB199+IF($B$1+52&lt;=$B199,12*$B$9,-12*$B$8*(1+$B$4)^52))*IF(BB199+IF($B$1+52&lt;=$B199,12*$B$9,-12*$B$8*(1+$B$4)^52)&gt;0,1+$B$3,1))</f>
        <v/>
      </c>
      <c r="BD199">
        <f>IF($B$1+53&gt;90,BC199,(BC199+IF($B$1+53&lt;=$B199,12*$B$9,-12*$B$8*(1+$B$4)^53))*IF(BC199+IF($B$1+53&lt;=$B199,12*$B$9,-12*$B$8*(1+$B$4)^53)&gt;0,1+$B$3,1))</f>
        <v/>
      </c>
      <c r="BE199">
        <f>IF($B$1+54&gt;90,BD199,(BD199+IF($B$1+54&lt;=$B199,12*$B$9,-12*$B$8*(1+$B$4)^54))*IF(BD199+IF($B$1+54&lt;=$B199,12*$B$9,-12*$B$8*(1+$B$4)^54)&gt;0,1+$B$3,1))</f>
        <v/>
      </c>
      <c r="BF199">
        <f>IF($B$1+55&gt;90,BE199,(BE199+IF($B$1+55&lt;=$B199,12*$B$9,-12*$B$8*(1+$B$4)^55))*IF(BE199+IF($B$1+55&lt;=$B199,12*$B$9,-12*$B$8*(1+$B$4)^55)&gt;0,1+$B$3,1))</f>
        <v/>
      </c>
      <c r="BG199">
        <f>IF($B$1+56&gt;90,BF199,(BF199+IF($B$1+56&lt;=$B199,12*$B$9,-12*$B$8*(1+$B$4)^56))*IF(BF199+IF($B$1+56&lt;=$B199,12*$B$9,-12*$B$8*(1+$B$4)^56)&gt;0,1+$B$3,1))</f>
        <v/>
      </c>
      <c r="BH199">
        <f>IF($B$1+57&gt;90,BG199,(BG199+IF($B$1+57&lt;=$B199,12*$B$9,-12*$B$8*(1+$B$4)^57))*IF(BG199+IF($B$1+57&lt;=$B199,12*$B$9,-12*$B$8*(1+$B$4)^57)&gt;0,1+$B$3,1))</f>
        <v/>
      </c>
      <c r="BI199">
        <f>IF($B$1+58&gt;90,BH199,(BH199+IF($B$1+58&lt;=$B199,12*$B$9,-12*$B$8*(1+$B$4)^58))*IF(BH199+IF($B$1+58&lt;=$B199,12*$B$9,-12*$B$8*(1+$B$4)^58)&gt;0,1+$B$3,1))</f>
        <v/>
      </c>
      <c r="BJ199">
        <f>IF($B$1+59&gt;90,BI199,(BI199+IF($B$1+59&lt;=$B199,12*$B$9,-12*$B$8*(1+$B$4)^59))*IF(BI199+IF($B$1+59&lt;=$B199,12*$B$9,-12*$B$8*(1+$B$4)^59)&gt;0,1+$B$3,1))</f>
        <v/>
      </c>
      <c r="BK199">
        <f>IF($B$1+60&gt;90,BJ199,(BJ199+IF($B$1+60&lt;=$B199,12*$B$9,-12*$B$8*(1+$B$4)^60))*IF(BJ199+IF($B$1+60&lt;=$B199,12*$B$9,-12*$B$8*(1+$B$4)^60)&gt;0,1+$B$3,1))</f>
        <v/>
      </c>
      <c r="BL199">
        <f>IF($B$1+61&gt;90,BK199,(BK199+IF($B$1+61&lt;=$B199,12*$B$9,-12*$B$8*(1+$B$4)^61))*IF(BK199+IF($B$1+61&lt;=$B199,12*$B$9,-12*$B$8*(1+$B$4)^61)&gt;0,1+$B$3,1))</f>
        <v/>
      </c>
      <c r="BM199">
        <f>IF($B$1+62&gt;90,BL199,(BL199+IF($B$1+62&lt;=$B199,12*$B$9,-12*$B$8*(1+$B$4)^62))*IF(BL199+IF($B$1+62&lt;=$B199,12*$B$9,-12*$B$8*(1+$B$4)^62)&gt;0,1+$B$3,1))</f>
        <v/>
      </c>
      <c r="BN199">
        <f>IF($B$1+63&gt;90,BM199,(BM199+IF($B$1+63&lt;=$B199,12*$B$9,-12*$B$8*(1+$B$4)^63))*IF(BM199+IF($B$1+63&lt;=$B199,12*$B$9,-12*$B$8*(1+$B$4)^63)&gt;0,1+$B$3,1))</f>
        <v/>
      </c>
      <c r="BO199">
        <f>IF($B$1+64&gt;90,BN199,(BN199+IF($B$1+64&lt;=$B199,12*$B$9,-12*$B$8*(1+$B$4)^64))*IF(BN199+IF($B$1+64&lt;=$B199,12*$B$9,-12*$B$8*(1+$B$4)^64)&gt;0,1+$B$3,1))</f>
        <v/>
      </c>
      <c r="BP199">
        <f>IF($B$1+65&gt;90,BO199,(BO199+IF($B$1+65&lt;=$B199,12*$B$9,-12*$B$8*(1+$B$4)^65))*IF(BO199+IF($B$1+65&lt;=$B199,12*$B$9,-12*$B$8*(1+$B$4)^65)&gt;0,1+$B$3,1))</f>
        <v/>
      </c>
      <c r="BQ199">
        <f>IF($B$1+66&gt;90,BP199,(BP199+IF($B$1+66&lt;=$B199,12*$B$9,-12*$B$8*(1+$B$4)^66))*IF(BP199+IF($B$1+66&lt;=$B199,12*$B$9,-12*$B$8*(1+$B$4)^66)&gt;0,1+$B$3,1))</f>
        <v/>
      </c>
      <c r="BR199">
        <f>IF($B$1+67&gt;90,BQ199,(BQ199+IF($B$1+67&lt;=$B199,12*$B$9,-12*$B$8*(1+$B$4)^67))*IF(BQ199+IF($B$1+67&lt;=$B199,12*$B$9,-12*$B$8*(1+$B$4)^67)&gt;0,1+$B$3,1))</f>
        <v/>
      </c>
      <c r="BS199">
        <f>IF($B$1+68&gt;90,BR199,(BR199+IF($B$1+68&lt;=$B199,12*$B$9,-12*$B$8*(1+$B$4)^68))*IF(BR199+IF($B$1+68&lt;=$B199,12*$B$9,-12*$B$8*(1+$B$4)^68)&gt;0,1+$B$3,1))</f>
        <v/>
      </c>
      <c r="BT199">
        <f>IF($B$1+69&gt;90,BS199,(BS199+IF($B$1+69&lt;=$B199,12*$B$9,-12*$B$8*(1+$B$4)^69))*IF(BS199+IF($B$1+69&lt;=$B199,12*$B$9,-12*$B$8*(1+$B$4)^69)&gt;0,1+$B$3,1))</f>
        <v/>
      </c>
      <c r="BU199">
        <f>IF($B$1+70&gt;90,BT199,(BT199+IF($B$1+70&lt;=$B199,12*$B$9,-12*$B$8*(1+$B$4)^70))*IF(BT199+IF($B$1+70&lt;=$B199,12*$B$9,-12*$B$8*(1+$B$4)^70)&gt;0,1+$B$3,1))</f>
        <v/>
      </c>
      <c r="BV199">
        <f>BU199</f>
        <v/>
      </c>
      <c r="BW199">
        <f>IF(AND($B199&lt;=70,BV199&gt;0),$B199,999)</f>
        <v/>
      </c>
    </row>
    <row r="200">
      <c r="A200" t="n">
        <v>48</v>
      </c>
      <c r="B200">
        <f>$B$1+48</f>
        <v/>
      </c>
      <c r="C200">
        <f>$B$2</f>
        <v/>
      </c>
      <c r="D200">
        <f>IF($B$1+1&gt;90,C200,(C200+IF($B$1+1&lt;=$B200,12*$B$9,-12*$B$8*(1+$B$4)^1))*IF(C200+IF($B$1+1&lt;=$B200,12*$B$9,-12*$B$8*(1+$B$4)^1)&gt;0,1+$B$3,1))</f>
        <v/>
      </c>
      <c r="E200">
        <f>IF($B$1+2&gt;90,D200,(D200+IF($B$1+2&lt;=$B200,12*$B$9,-12*$B$8*(1+$B$4)^2))*IF(D200+IF($B$1+2&lt;=$B200,12*$B$9,-12*$B$8*(1+$B$4)^2)&gt;0,1+$B$3,1))</f>
        <v/>
      </c>
      <c r="F200">
        <f>IF($B$1+3&gt;90,E200,(E200+IF($B$1+3&lt;=$B200,12*$B$9,-12*$B$8*(1+$B$4)^3))*IF(E200+IF($B$1+3&lt;=$B200,12*$B$9,-12*$B$8*(1+$B$4)^3)&gt;0,1+$B$3,1))</f>
        <v/>
      </c>
      <c r="G200">
        <f>IF($B$1+4&gt;90,F200,(F200+IF($B$1+4&lt;=$B200,12*$B$9,-12*$B$8*(1+$B$4)^4))*IF(F200+IF($B$1+4&lt;=$B200,12*$B$9,-12*$B$8*(1+$B$4)^4)&gt;0,1+$B$3,1))</f>
        <v/>
      </c>
      <c r="H200">
        <f>IF($B$1+5&gt;90,G200,(G200+IF($B$1+5&lt;=$B200,12*$B$9,-12*$B$8*(1+$B$4)^5))*IF(G200+IF($B$1+5&lt;=$B200,12*$B$9,-12*$B$8*(1+$B$4)^5)&gt;0,1+$B$3,1))</f>
        <v/>
      </c>
      <c r="I200">
        <f>IF($B$1+6&gt;90,H200,(H200+IF($B$1+6&lt;=$B200,12*$B$9,-12*$B$8*(1+$B$4)^6))*IF(H200+IF($B$1+6&lt;=$B200,12*$B$9,-12*$B$8*(1+$B$4)^6)&gt;0,1+$B$3,1))</f>
        <v/>
      </c>
      <c r="J200">
        <f>IF($B$1+7&gt;90,I200,(I200+IF($B$1+7&lt;=$B200,12*$B$9,-12*$B$8*(1+$B$4)^7))*IF(I200+IF($B$1+7&lt;=$B200,12*$B$9,-12*$B$8*(1+$B$4)^7)&gt;0,1+$B$3,1))</f>
        <v/>
      </c>
      <c r="K200">
        <f>IF($B$1+8&gt;90,J200,(J200+IF($B$1+8&lt;=$B200,12*$B$9,-12*$B$8*(1+$B$4)^8))*IF(J200+IF($B$1+8&lt;=$B200,12*$B$9,-12*$B$8*(1+$B$4)^8)&gt;0,1+$B$3,1))</f>
        <v/>
      </c>
      <c r="L200">
        <f>IF($B$1+9&gt;90,K200,(K200+IF($B$1+9&lt;=$B200,12*$B$9,-12*$B$8*(1+$B$4)^9))*IF(K200+IF($B$1+9&lt;=$B200,12*$B$9,-12*$B$8*(1+$B$4)^9)&gt;0,1+$B$3,1))</f>
        <v/>
      </c>
      <c r="M200">
        <f>IF($B$1+10&gt;90,L200,(L200+IF($B$1+10&lt;=$B200,12*$B$9,-12*$B$8*(1+$B$4)^10))*IF(L200+IF($B$1+10&lt;=$B200,12*$B$9,-12*$B$8*(1+$B$4)^10)&gt;0,1+$B$3,1))</f>
        <v/>
      </c>
      <c r="N200">
        <f>IF($B$1+11&gt;90,M200,(M200+IF($B$1+11&lt;=$B200,12*$B$9,-12*$B$8*(1+$B$4)^11))*IF(M200+IF($B$1+11&lt;=$B200,12*$B$9,-12*$B$8*(1+$B$4)^11)&gt;0,1+$B$3,1))</f>
        <v/>
      </c>
      <c r="O200">
        <f>IF($B$1+12&gt;90,N200,(N200+IF($B$1+12&lt;=$B200,12*$B$9,-12*$B$8*(1+$B$4)^12))*IF(N200+IF($B$1+12&lt;=$B200,12*$B$9,-12*$B$8*(1+$B$4)^12)&gt;0,1+$B$3,1))</f>
        <v/>
      </c>
      <c r="P200">
        <f>IF($B$1+13&gt;90,O200,(O200+IF($B$1+13&lt;=$B200,12*$B$9,-12*$B$8*(1+$B$4)^13))*IF(O200+IF($B$1+13&lt;=$B200,12*$B$9,-12*$B$8*(1+$B$4)^13)&gt;0,1+$B$3,1))</f>
        <v/>
      </c>
      <c r="Q200">
        <f>IF($B$1+14&gt;90,P200,(P200+IF($B$1+14&lt;=$B200,12*$B$9,-12*$B$8*(1+$B$4)^14))*IF(P200+IF($B$1+14&lt;=$B200,12*$B$9,-12*$B$8*(1+$B$4)^14)&gt;0,1+$B$3,1))</f>
        <v/>
      </c>
      <c r="R200">
        <f>IF($B$1+15&gt;90,Q200,(Q200+IF($B$1+15&lt;=$B200,12*$B$9,-12*$B$8*(1+$B$4)^15))*IF(Q200+IF($B$1+15&lt;=$B200,12*$B$9,-12*$B$8*(1+$B$4)^15)&gt;0,1+$B$3,1))</f>
        <v/>
      </c>
      <c r="S200">
        <f>IF($B$1+16&gt;90,R200,(R200+IF($B$1+16&lt;=$B200,12*$B$9,-12*$B$8*(1+$B$4)^16))*IF(R200+IF($B$1+16&lt;=$B200,12*$B$9,-12*$B$8*(1+$B$4)^16)&gt;0,1+$B$3,1))</f>
        <v/>
      </c>
      <c r="T200">
        <f>IF($B$1+17&gt;90,S200,(S200+IF($B$1+17&lt;=$B200,12*$B$9,-12*$B$8*(1+$B$4)^17))*IF(S200+IF($B$1+17&lt;=$B200,12*$B$9,-12*$B$8*(1+$B$4)^17)&gt;0,1+$B$3,1))</f>
        <v/>
      </c>
      <c r="U200">
        <f>IF($B$1+18&gt;90,T200,(T200+IF($B$1+18&lt;=$B200,12*$B$9,-12*$B$8*(1+$B$4)^18))*IF(T200+IF($B$1+18&lt;=$B200,12*$B$9,-12*$B$8*(1+$B$4)^18)&gt;0,1+$B$3,1))</f>
        <v/>
      </c>
      <c r="V200">
        <f>IF($B$1+19&gt;90,U200,(U200+IF($B$1+19&lt;=$B200,12*$B$9,-12*$B$8*(1+$B$4)^19))*IF(U200+IF($B$1+19&lt;=$B200,12*$B$9,-12*$B$8*(1+$B$4)^19)&gt;0,1+$B$3,1))</f>
        <v/>
      </c>
      <c r="W200">
        <f>IF($B$1+20&gt;90,V200,(V200+IF($B$1+20&lt;=$B200,12*$B$9,-12*$B$8*(1+$B$4)^20))*IF(V200+IF($B$1+20&lt;=$B200,12*$B$9,-12*$B$8*(1+$B$4)^20)&gt;0,1+$B$3,1))</f>
        <v/>
      </c>
      <c r="X200">
        <f>IF($B$1+21&gt;90,W200,(W200+IF($B$1+21&lt;=$B200,12*$B$9,-12*$B$8*(1+$B$4)^21))*IF(W200+IF($B$1+21&lt;=$B200,12*$B$9,-12*$B$8*(1+$B$4)^21)&gt;0,1+$B$3,1))</f>
        <v/>
      </c>
      <c r="Y200">
        <f>IF($B$1+22&gt;90,X200,(X200+IF($B$1+22&lt;=$B200,12*$B$9,-12*$B$8*(1+$B$4)^22))*IF(X200+IF($B$1+22&lt;=$B200,12*$B$9,-12*$B$8*(1+$B$4)^22)&gt;0,1+$B$3,1))</f>
        <v/>
      </c>
      <c r="Z200">
        <f>IF($B$1+23&gt;90,Y200,(Y200+IF($B$1+23&lt;=$B200,12*$B$9,-12*$B$8*(1+$B$4)^23))*IF(Y200+IF($B$1+23&lt;=$B200,12*$B$9,-12*$B$8*(1+$B$4)^23)&gt;0,1+$B$3,1))</f>
        <v/>
      </c>
      <c r="AA200">
        <f>IF($B$1+24&gt;90,Z200,(Z200+IF($B$1+24&lt;=$B200,12*$B$9,-12*$B$8*(1+$B$4)^24))*IF(Z200+IF($B$1+24&lt;=$B200,12*$B$9,-12*$B$8*(1+$B$4)^24)&gt;0,1+$B$3,1))</f>
        <v/>
      </c>
      <c r="AB200">
        <f>IF($B$1+25&gt;90,AA200,(AA200+IF($B$1+25&lt;=$B200,12*$B$9,-12*$B$8*(1+$B$4)^25))*IF(AA200+IF($B$1+25&lt;=$B200,12*$B$9,-12*$B$8*(1+$B$4)^25)&gt;0,1+$B$3,1))</f>
        <v/>
      </c>
      <c r="AC200">
        <f>IF($B$1+26&gt;90,AB200,(AB200+IF($B$1+26&lt;=$B200,12*$B$9,-12*$B$8*(1+$B$4)^26))*IF(AB200+IF($B$1+26&lt;=$B200,12*$B$9,-12*$B$8*(1+$B$4)^26)&gt;0,1+$B$3,1))</f>
        <v/>
      </c>
      <c r="AD200">
        <f>IF($B$1+27&gt;90,AC200,(AC200+IF($B$1+27&lt;=$B200,12*$B$9,-12*$B$8*(1+$B$4)^27))*IF(AC200+IF($B$1+27&lt;=$B200,12*$B$9,-12*$B$8*(1+$B$4)^27)&gt;0,1+$B$3,1))</f>
        <v/>
      </c>
      <c r="AE200">
        <f>IF($B$1+28&gt;90,AD200,(AD200+IF($B$1+28&lt;=$B200,12*$B$9,-12*$B$8*(1+$B$4)^28))*IF(AD200+IF($B$1+28&lt;=$B200,12*$B$9,-12*$B$8*(1+$B$4)^28)&gt;0,1+$B$3,1))</f>
        <v/>
      </c>
      <c r="AF200">
        <f>IF($B$1+29&gt;90,AE200,(AE200+IF($B$1+29&lt;=$B200,12*$B$9,-12*$B$8*(1+$B$4)^29))*IF(AE200+IF($B$1+29&lt;=$B200,12*$B$9,-12*$B$8*(1+$B$4)^29)&gt;0,1+$B$3,1))</f>
        <v/>
      </c>
      <c r="AG200">
        <f>IF($B$1+30&gt;90,AF200,(AF200+IF($B$1+30&lt;=$B200,12*$B$9,-12*$B$8*(1+$B$4)^30))*IF(AF200+IF($B$1+30&lt;=$B200,12*$B$9,-12*$B$8*(1+$B$4)^30)&gt;0,1+$B$3,1))</f>
        <v/>
      </c>
      <c r="AH200">
        <f>IF($B$1+31&gt;90,AG200,(AG200+IF($B$1+31&lt;=$B200,12*$B$9,-12*$B$8*(1+$B$4)^31))*IF(AG200+IF($B$1+31&lt;=$B200,12*$B$9,-12*$B$8*(1+$B$4)^31)&gt;0,1+$B$3,1))</f>
        <v/>
      </c>
      <c r="AI200">
        <f>IF($B$1+32&gt;90,AH200,(AH200+IF($B$1+32&lt;=$B200,12*$B$9,-12*$B$8*(1+$B$4)^32))*IF(AH200+IF($B$1+32&lt;=$B200,12*$B$9,-12*$B$8*(1+$B$4)^32)&gt;0,1+$B$3,1))</f>
        <v/>
      </c>
      <c r="AJ200">
        <f>IF($B$1+33&gt;90,AI200,(AI200+IF($B$1+33&lt;=$B200,12*$B$9,-12*$B$8*(1+$B$4)^33))*IF(AI200+IF($B$1+33&lt;=$B200,12*$B$9,-12*$B$8*(1+$B$4)^33)&gt;0,1+$B$3,1))</f>
        <v/>
      </c>
      <c r="AK200">
        <f>IF($B$1+34&gt;90,AJ200,(AJ200+IF($B$1+34&lt;=$B200,12*$B$9,-12*$B$8*(1+$B$4)^34))*IF(AJ200+IF($B$1+34&lt;=$B200,12*$B$9,-12*$B$8*(1+$B$4)^34)&gt;0,1+$B$3,1))</f>
        <v/>
      </c>
      <c r="AL200">
        <f>IF($B$1+35&gt;90,AK200,(AK200+IF($B$1+35&lt;=$B200,12*$B$9,-12*$B$8*(1+$B$4)^35))*IF(AK200+IF($B$1+35&lt;=$B200,12*$B$9,-12*$B$8*(1+$B$4)^35)&gt;0,1+$B$3,1))</f>
        <v/>
      </c>
      <c r="AM200">
        <f>IF($B$1+36&gt;90,AL200,(AL200+IF($B$1+36&lt;=$B200,12*$B$9,-12*$B$8*(1+$B$4)^36))*IF(AL200+IF($B$1+36&lt;=$B200,12*$B$9,-12*$B$8*(1+$B$4)^36)&gt;0,1+$B$3,1))</f>
        <v/>
      </c>
      <c r="AN200">
        <f>IF($B$1+37&gt;90,AM200,(AM200+IF($B$1+37&lt;=$B200,12*$B$9,-12*$B$8*(1+$B$4)^37))*IF(AM200+IF($B$1+37&lt;=$B200,12*$B$9,-12*$B$8*(1+$B$4)^37)&gt;0,1+$B$3,1))</f>
        <v/>
      </c>
      <c r="AO200">
        <f>IF($B$1+38&gt;90,AN200,(AN200+IF($B$1+38&lt;=$B200,12*$B$9,-12*$B$8*(1+$B$4)^38))*IF(AN200+IF($B$1+38&lt;=$B200,12*$B$9,-12*$B$8*(1+$B$4)^38)&gt;0,1+$B$3,1))</f>
        <v/>
      </c>
      <c r="AP200">
        <f>IF($B$1+39&gt;90,AO200,(AO200+IF($B$1+39&lt;=$B200,12*$B$9,-12*$B$8*(1+$B$4)^39))*IF(AO200+IF($B$1+39&lt;=$B200,12*$B$9,-12*$B$8*(1+$B$4)^39)&gt;0,1+$B$3,1))</f>
        <v/>
      </c>
      <c r="AQ200">
        <f>IF($B$1+40&gt;90,AP200,(AP200+IF($B$1+40&lt;=$B200,12*$B$9,-12*$B$8*(1+$B$4)^40))*IF(AP200+IF($B$1+40&lt;=$B200,12*$B$9,-12*$B$8*(1+$B$4)^40)&gt;0,1+$B$3,1))</f>
        <v/>
      </c>
      <c r="AR200">
        <f>IF($B$1+41&gt;90,AQ200,(AQ200+IF($B$1+41&lt;=$B200,12*$B$9,-12*$B$8*(1+$B$4)^41))*IF(AQ200+IF($B$1+41&lt;=$B200,12*$B$9,-12*$B$8*(1+$B$4)^41)&gt;0,1+$B$3,1))</f>
        <v/>
      </c>
      <c r="AS200">
        <f>IF($B$1+42&gt;90,AR200,(AR200+IF($B$1+42&lt;=$B200,12*$B$9,-12*$B$8*(1+$B$4)^42))*IF(AR200+IF($B$1+42&lt;=$B200,12*$B$9,-12*$B$8*(1+$B$4)^42)&gt;0,1+$B$3,1))</f>
        <v/>
      </c>
      <c r="AT200">
        <f>IF($B$1+43&gt;90,AS200,(AS200+IF($B$1+43&lt;=$B200,12*$B$9,-12*$B$8*(1+$B$4)^43))*IF(AS200+IF($B$1+43&lt;=$B200,12*$B$9,-12*$B$8*(1+$B$4)^43)&gt;0,1+$B$3,1))</f>
        <v/>
      </c>
      <c r="AU200">
        <f>IF($B$1+44&gt;90,AT200,(AT200+IF($B$1+44&lt;=$B200,12*$B$9,-12*$B$8*(1+$B$4)^44))*IF(AT200+IF($B$1+44&lt;=$B200,12*$B$9,-12*$B$8*(1+$B$4)^44)&gt;0,1+$B$3,1))</f>
        <v/>
      </c>
      <c r="AV200">
        <f>IF($B$1+45&gt;90,AU200,(AU200+IF($B$1+45&lt;=$B200,12*$B$9,-12*$B$8*(1+$B$4)^45))*IF(AU200+IF($B$1+45&lt;=$B200,12*$B$9,-12*$B$8*(1+$B$4)^45)&gt;0,1+$B$3,1))</f>
        <v/>
      </c>
      <c r="AW200">
        <f>IF($B$1+46&gt;90,AV200,(AV200+IF($B$1+46&lt;=$B200,12*$B$9,-12*$B$8*(1+$B$4)^46))*IF(AV200+IF($B$1+46&lt;=$B200,12*$B$9,-12*$B$8*(1+$B$4)^46)&gt;0,1+$B$3,1))</f>
        <v/>
      </c>
      <c r="AX200">
        <f>IF($B$1+47&gt;90,AW200,(AW200+IF($B$1+47&lt;=$B200,12*$B$9,-12*$B$8*(1+$B$4)^47))*IF(AW200+IF($B$1+47&lt;=$B200,12*$B$9,-12*$B$8*(1+$B$4)^47)&gt;0,1+$B$3,1))</f>
        <v/>
      </c>
      <c r="AY200">
        <f>IF($B$1+48&gt;90,AX200,(AX200+IF($B$1+48&lt;=$B200,12*$B$9,-12*$B$8*(1+$B$4)^48))*IF(AX200+IF($B$1+48&lt;=$B200,12*$B$9,-12*$B$8*(1+$B$4)^48)&gt;0,1+$B$3,1))</f>
        <v/>
      </c>
      <c r="AZ200">
        <f>IF($B$1+49&gt;90,AY200,(AY200+IF($B$1+49&lt;=$B200,12*$B$9,-12*$B$8*(1+$B$4)^49))*IF(AY200+IF($B$1+49&lt;=$B200,12*$B$9,-12*$B$8*(1+$B$4)^49)&gt;0,1+$B$3,1))</f>
        <v/>
      </c>
      <c r="BA200">
        <f>IF($B$1+50&gt;90,AZ200,(AZ200+IF($B$1+50&lt;=$B200,12*$B$9,-12*$B$8*(1+$B$4)^50))*IF(AZ200+IF($B$1+50&lt;=$B200,12*$B$9,-12*$B$8*(1+$B$4)^50)&gt;0,1+$B$3,1))</f>
        <v/>
      </c>
      <c r="BB200">
        <f>IF($B$1+51&gt;90,BA200,(BA200+IF($B$1+51&lt;=$B200,12*$B$9,-12*$B$8*(1+$B$4)^51))*IF(BA200+IF($B$1+51&lt;=$B200,12*$B$9,-12*$B$8*(1+$B$4)^51)&gt;0,1+$B$3,1))</f>
        <v/>
      </c>
      <c r="BC200">
        <f>IF($B$1+52&gt;90,BB200,(BB200+IF($B$1+52&lt;=$B200,12*$B$9,-12*$B$8*(1+$B$4)^52))*IF(BB200+IF($B$1+52&lt;=$B200,12*$B$9,-12*$B$8*(1+$B$4)^52)&gt;0,1+$B$3,1))</f>
        <v/>
      </c>
      <c r="BD200">
        <f>IF($B$1+53&gt;90,BC200,(BC200+IF($B$1+53&lt;=$B200,12*$B$9,-12*$B$8*(1+$B$4)^53))*IF(BC200+IF($B$1+53&lt;=$B200,12*$B$9,-12*$B$8*(1+$B$4)^53)&gt;0,1+$B$3,1))</f>
        <v/>
      </c>
      <c r="BE200">
        <f>IF($B$1+54&gt;90,BD200,(BD200+IF($B$1+54&lt;=$B200,12*$B$9,-12*$B$8*(1+$B$4)^54))*IF(BD200+IF($B$1+54&lt;=$B200,12*$B$9,-12*$B$8*(1+$B$4)^54)&gt;0,1+$B$3,1))</f>
        <v/>
      </c>
      <c r="BF200">
        <f>IF($B$1+55&gt;90,BE200,(BE200+IF($B$1+55&lt;=$B200,12*$B$9,-12*$B$8*(1+$B$4)^55))*IF(BE200+IF($B$1+55&lt;=$B200,12*$B$9,-12*$B$8*(1+$B$4)^55)&gt;0,1+$B$3,1))</f>
        <v/>
      </c>
      <c r="BG200">
        <f>IF($B$1+56&gt;90,BF200,(BF200+IF($B$1+56&lt;=$B200,12*$B$9,-12*$B$8*(1+$B$4)^56))*IF(BF200+IF($B$1+56&lt;=$B200,12*$B$9,-12*$B$8*(1+$B$4)^56)&gt;0,1+$B$3,1))</f>
        <v/>
      </c>
      <c r="BH200">
        <f>IF($B$1+57&gt;90,BG200,(BG200+IF($B$1+57&lt;=$B200,12*$B$9,-12*$B$8*(1+$B$4)^57))*IF(BG200+IF($B$1+57&lt;=$B200,12*$B$9,-12*$B$8*(1+$B$4)^57)&gt;0,1+$B$3,1))</f>
        <v/>
      </c>
      <c r="BI200">
        <f>IF($B$1+58&gt;90,BH200,(BH200+IF($B$1+58&lt;=$B200,12*$B$9,-12*$B$8*(1+$B$4)^58))*IF(BH200+IF($B$1+58&lt;=$B200,12*$B$9,-12*$B$8*(1+$B$4)^58)&gt;0,1+$B$3,1))</f>
        <v/>
      </c>
      <c r="BJ200">
        <f>IF($B$1+59&gt;90,BI200,(BI200+IF($B$1+59&lt;=$B200,12*$B$9,-12*$B$8*(1+$B$4)^59))*IF(BI200+IF($B$1+59&lt;=$B200,12*$B$9,-12*$B$8*(1+$B$4)^59)&gt;0,1+$B$3,1))</f>
        <v/>
      </c>
      <c r="BK200">
        <f>IF($B$1+60&gt;90,BJ200,(BJ200+IF($B$1+60&lt;=$B200,12*$B$9,-12*$B$8*(1+$B$4)^60))*IF(BJ200+IF($B$1+60&lt;=$B200,12*$B$9,-12*$B$8*(1+$B$4)^60)&gt;0,1+$B$3,1))</f>
        <v/>
      </c>
      <c r="BL200">
        <f>IF($B$1+61&gt;90,BK200,(BK200+IF($B$1+61&lt;=$B200,12*$B$9,-12*$B$8*(1+$B$4)^61))*IF(BK200+IF($B$1+61&lt;=$B200,12*$B$9,-12*$B$8*(1+$B$4)^61)&gt;0,1+$B$3,1))</f>
        <v/>
      </c>
      <c r="BM200">
        <f>IF($B$1+62&gt;90,BL200,(BL200+IF($B$1+62&lt;=$B200,12*$B$9,-12*$B$8*(1+$B$4)^62))*IF(BL200+IF($B$1+62&lt;=$B200,12*$B$9,-12*$B$8*(1+$B$4)^62)&gt;0,1+$B$3,1))</f>
        <v/>
      </c>
      <c r="BN200">
        <f>IF($B$1+63&gt;90,BM200,(BM200+IF($B$1+63&lt;=$B200,12*$B$9,-12*$B$8*(1+$B$4)^63))*IF(BM200+IF($B$1+63&lt;=$B200,12*$B$9,-12*$B$8*(1+$B$4)^63)&gt;0,1+$B$3,1))</f>
        <v/>
      </c>
      <c r="BO200">
        <f>IF($B$1+64&gt;90,BN200,(BN200+IF($B$1+64&lt;=$B200,12*$B$9,-12*$B$8*(1+$B$4)^64))*IF(BN200+IF($B$1+64&lt;=$B200,12*$B$9,-12*$B$8*(1+$B$4)^64)&gt;0,1+$B$3,1))</f>
        <v/>
      </c>
      <c r="BP200">
        <f>IF($B$1+65&gt;90,BO200,(BO200+IF($B$1+65&lt;=$B200,12*$B$9,-12*$B$8*(1+$B$4)^65))*IF(BO200+IF($B$1+65&lt;=$B200,12*$B$9,-12*$B$8*(1+$B$4)^65)&gt;0,1+$B$3,1))</f>
        <v/>
      </c>
      <c r="BQ200">
        <f>IF($B$1+66&gt;90,BP200,(BP200+IF($B$1+66&lt;=$B200,12*$B$9,-12*$B$8*(1+$B$4)^66))*IF(BP200+IF($B$1+66&lt;=$B200,12*$B$9,-12*$B$8*(1+$B$4)^66)&gt;0,1+$B$3,1))</f>
        <v/>
      </c>
      <c r="BR200">
        <f>IF($B$1+67&gt;90,BQ200,(BQ200+IF($B$1+67&lt;=$B200,12*$B$9,-12*$B$8*(1+$B$4)^67))*IF(BQ200+IF($B$1+67&lt;=$B200,12*$B$9,-12*$B$8*(1+$B$4)^67)&gt;0,1+$B$3,1))</f>
        <v/>
      </c>
      <c r="BS200">
        <f>IF($B$1+68&gt;90,BR200,(BR200+IF($B$1+68&lt;=$B200,12*$B$9,-12*$B$8*(1+$B$4)^68))*IF(BR200+IF($B$1+68&lt;=$B200,12*$B$9,-12*$B$8*(1+$B$4)^68)&gt;0,1+$B$3,1))</f>
        <v/>
      </c>
      <c r="BT200">
        <f>IF($B$1+69&gt;90,BS200,(BS200+IF($B$1+69&lt;=$B200,12*$B$9,-12*$B$8*(1+$B$4)^69))*IF(BS200+IF($B$1+69&lt;=$B200,12*$B$9,-12*$B$8*(1+$B$4)^69)&gt;0,1+$B$3,1))</f>
        <v/>
      </c>
      <c r="BU200">
        <f>IF($B$1+70&gt;90,BT200,(BT200+IF($B$1+70&lt;=$B200,12*$B$9,-12*$B$8*(1+$B$4)^70))*IF(BT200+IF($B$1+70&lt;=$B200,12*$B$9,-12*$B$8*(1+$B$4)^70)&gt;0,1+$B$3,1))</f>
        <v/>
      </c>
      <c r="BV200">
        <f>BU200</f>
        <v/>
      </c>
      <c r="BW200">
        <f>IF(AND($B200&lt;=70,BV200&gt;0),$B200,999)</f>
        <v/>
      </c>
    </row>
    <row r="201">
      <c r="A201" t="n">
        <v>49</v>
      </c>
      <c r="B201">
        <f>$B$1+49</f>
        <v/>
      </c>
      <c r="C201">
        <f>$B$2</f>
        <v/>
      </c>
      <c r="D201">
        <f>IF($B$1+1&gt;90,C201,(C201+IF($B$1+1&lt;=$B201,12*$B$9,-12*$B$8*(1+$B$4)^1))*IF(C201+IF($B$1+1&lt;=$B201,12*$B$9,-12*$B$8*(1+$B$4)^1)&gt;0,1+$B$3,1))</f>
        <v/>
      </c>
      <c r="E201">
        <f>IF($B$1+2&gt;90,D201,(D201+IF($B$1+2&lt;=$B201,12*$B$9,-12*$B$8*(1+$B$4)^2))*IF(D201+IF($B$1+2&lt;=$B201,12*$B$9,-12*$B$8*(1+$B$4)^2)&gt;0,1+$B$3,1))</f>
        <v/>
      </c>
      <c r="F201">
        <f>IF($B$1+3&gt;90,E201,(E201+IF($B$1+3&lt;=$B201,12*$B$9,-12*$B$8*(1+$B$4)^3))*IF(E201+IF($B$1+3&lt;=$B201,12*$B$9,-12*$B$8*(1+$B$4)^3)&gt;0,1+$B$3,1))</f>
        <v/>
      </c>
      <c r="G201">
        <f>IF($B$1+4&gt;90,F201,(F201+IF($B$1+4&lt;=$B201,12*$B$9,-12*$B$8*(1+$B$4)^4))*IF(F201+IF($B$1+4&lt;=$B201,12*$B$9,-12*$B$8*(1+$B$4)^4)&gt;0,1+$B$3,1))</f>
        <v/>
      </c>
      <c r="H201">
        <f>IF($B$1+5&gt;90,G201,(G201+IF($B$1+5&lt;=$B201,12*$B$9,-12*$B$8*(1+$B$4)^5))*IF(G201+IF($B$1+5&lt;=$B201,12*$B$9,-12*$B$8*(1+$B$4)^5)&gt;0,1+$B$3,1))</f>
        <v/>
      </c>
      <c r="I201">
        <f>IF($B$1+6&gt;90,H201,(H201+IF($B$1+6&lt;=$B201,12*$B$9,-12*$B$8*(1+$B$4)^6))*IF(H201+IF($B$1+6&lt;=$B201,12*$B$9,-12*$B$8*(1+$B$4)^6)&gt;0,1+$B$3,1))</f>
        <v/>
      </c>
      <c r="J201">
        <f>IF($B$1+7&gt;90,I201,(I201+IF($B$1+7&lt;=$B201,12*$B$9,-12*$B$8*(1+$B$4)^7))*IF(I201+IF($B$1+7&lt;=$B201,12*$B$9,-12*$B$8*(1+$B$4)^7)&gt;0,1+$B$3,1))</f>
        <v/>
      </c>
      <c r="K201">
        <f>IF($B$1+8&gt;90,J201,(J201+IF($B$1+8&lt;=$B201,12*$B$9,-12*$B$8*(1+$B$4)^8))*IF(J201+IF($B$1+8&lt;=$B201,12*$B$9,-12*$B$8*(1+$B$4)^8)&gt;0,1+$B$3,1))</f>
        <v/>
      </c>
      <c r="L201">
        <f>IF($B$1+9&gt;90,K201,(K201+IF($B$1+9&lt;=$B201,12*$B$9,-12*$B$8*(1+$B$4)^9))*IF(K201+IF($B$1+9&lt;=$B201,12*$B$9,-12*$B$8*(1+$B$4)^9)&gt;0,1+$B$3,1))</f>
        <v/>
      </c>
      <c r="M201">
        <f>IF($B$1+10&gt;90,L201,(L201+IF($B$1+10&lt;=$B201,12*$B$9,-12*$B$8*(1+$B$4)^10))*IF(L201+IF($B$1+10&lt;=$B201,12*$B$9,-12*$B$8*(1+$B$4)^10)&gt;0,1+$B$3,1))</f>
        <v/>
      </c>
      <c r="N201">
        <f>IF($B$1+11&gt;90,M201,(M201+IF($B$1+11&lt;=$B201,12*$B$9,-12*$B$8*(1+$B$4)^11))*IF(M201+IF($B$1+11&lt;=$B201,12*$B$9,-12*$B$8*(1+$B$4)^11)&gt;0,1+$B$3,1))</f>
        <v/>
      </c>
      <c r="O201">
        <f>IF($B$1+12&gt;90,N201,(N201+IF($B$1+12&lt;=$B201,12*$B$9,-12*$B$8*(1+$B$4)^12))*IF(N201+IF($B$1+12&lt;=$B201,12*$B$9,-12*$B$8*(1+$B$4)^12)&gt;0,1+$B$3,1))</f>
        <v/>
      </c>
      <c r="P201">
        <f>IF($B$1+13&gt;90,O201,(O201+IF($B$1+13&lt;=$B201,12*$B$9,-12*$B$8*(1+$B$4)^13))*IF(O201+IF($B$1+13&lt;=$B201,12*$B$9,-12*$B$8*(1+$B$4)^13)&gt;0,1+$B$3,1))</f>
        <v/>
      </c>
      <c r="Q201">
        <f>IF($B$1+14&gt;90,P201,(P201+IF($B$1+14&lt;=$B201,12*$B$9,-12*$B$8*(1+$B$4)^14))*IF(P201+IF($B$1+14&lt;=$B201,12*$B$9,-12*$B$8*(1+$B$4)^14)&gt;0,1+$B$3,1))</f>
        <v/>
      </c>
      <c r="R201">
        <f>IF($B$1+15&gt;90,Q201,(Q201+IF($B$1+15&lt;=$B201,12*$B$9,-12*$B$8*(1+$B$4)^15))*IF(Q201+IF($B$1+15&lt;=$B201,12*$B$9,-12*$B$8*(1+$B$4)^15)&gt;0,1+$B$3,1))</f>
        <v/>
      </c>
      <c r="S201">
        <f>IF($B$1+16&gt;90,R201,(R201+IF($B$1+16&lt;=$B201,12*$B$9,-12*$B$8*(1+$B$4)^16))*IF(R201+IF($B$1+16&lt;=$B201,12*$B$9,-12*$B$8*(1+$B$4)^16)&gt;0,1+$B$3,1))</f>
        <v/>
      </c>
      <c r="T201">
        <f>IF($B$1+17&gt;90,S201,(S201+IF($B$1+17&lt;=$B201,12*$B$9,-12*$B$8*(1+$B$4)^17))*IF(S201+IF($B$1+17&lt;=$B201,12*$B$9,-12*$B$8*(1+$B$4)^17)&gt;0,1+$B$3,1))</f>
        <v/>
      </c>
      <c r="U201">
        <f>IF($B$1+18&gt;90,T201,(T201+IF($B$1+18&lt;=$B201,12*$B$9,-12*$B$8*(1+$B$4)^18))*IF(T201+IF($B$1+18&lt;=$B201,12*$B$9,-12*$B$8*(1+$B$4)^18)&gt;0,1+$B$3,1))</f>
        <v/>
      </c>
      <c r="V201">
        <f>IF($B$1+19&gt;90,U201,(U201+IF($B$1+19&lt;=$B201,12*$B$9,-12*$B$8*(1+$B$4)^19))*IF(U201+IF($B$1+19&lt;=$B201,12*$B$9,-12*$B$8*(1+$B$4)^19)&gt;0,1+$B$3,1))</f>
        <v/>
      </c>
      <c r="W201">
        <f>IF($B$1+20&gt;90,V201,(V201+IF($B$1+20&lt;=$B201,12*$B$9,-12*$B$8*(1+$B$4)^20))*IF(V201+IF($B$1+20&lt;=$B201,12*$B$9,-12*$B$8*(1+$B$4)^20)&gt;0,1+$B$3,1))</f>
        <v/>
      </c>
      <c r="X201">
        <f>IF($B$1+21&gt;90,W201,(W201+IF($B$1+21&lt;=$B201,12*$B$9,-12*$B$8*(1+$B$4)^21))*IF(W201+IF($B$1+21&lt;=$B201,12*$B$9,-12*$B$8*(1+$B$4)^21)&gt;0,1+$B$3,1))</f>
        <v/>
      </c>
      <c r="Y201">
        <f>IF($B$1+22&gt;90,X201,(X201+IF($B$1+22&lt;=$B201,12*$B$9,-12*$B$8*(1+$B$4)^22))*IF(X201+IF($B$1+22&lt;=$B201,12*$B$9,-12*$B$8*(1+$B$4)^22)&gt;0,1+$B$3,1))</f>
        <v/>
      </c>
      <c r="Z201">
        <f>IF($B$1+23&gt;90,Y201,(Y201+IF($B$1+23&lt;=$B201,12*$B$9,-12*$B$8*(1+$B$4)^23))*IF(Y201+IF($B$1+23&lt;=$B201,12*$B$9,-12*$B$8*(1+$B$4)^23)&gt;0,1+$B$3,1))</f>
        <v/>
      </c>
      <c r="AA201">
        <f>IF($B$1+24&gt;90,Z201,(Z201+IF($B$1+24&lt;=$B201,12*$B$9,-12*$B$8*(1+$B$4)^24))*IF(Z201+IF($B$1+24&lt;=$B201,12*$B$9,-12*$B$8*(1+$B$4)^24)&gt;0,1+$B$3,1))</f>
        <v/>
      </c>
      <c r="AB201">
        <f>IF($B$1+25&gt;90,AA201,(AA201+IF($B$1+25&lt;=$B201,12*$B$9,-12*$B$8*(1+$B$4)^25))*IF(AA201+IF($B$1+25&lt;=$B201,12*$B$9,-12*$B$8*(1+$B$4)^25)&gt;0,1+$B$3,1))</f>
        <v/>
      </c>
      <c r="AC201">
        <f>IF($B$1+26&gt;90,AB201,(AB201+IF($B$1+26&lt;=$B201,12*$B$9,-12*$B$8*(1+$B$4)^26))*IF(AB201+IF($B$1+26&lt;=$B201,12*$B$9,-12*$B$8*(1+$B$4)^26)&gt;0,1+$B$3,1))</f>
        <v/>
      </c>
      <c r="AD201">
        <f>IF($B$1+27&gt;90,AC201,(AC201+IF($B$1+27&lt;=$B201,12*$B$9,-12*$B$8*(1+$B$4)^27))*IF(AC201+IF($B$1+27&lt;=$B201,12*$B$9,-12*$B$8*(1+$B$4)^27)&gt;0,1+$B$3,1))</f>
        <v/>
      </c>
      <c r="AE201">
        <f>IF($B$1+28&gt;90,AD201,(AD201+IF($B$1+28&lt;=$B201,12*$B$9,-12*$B$8*(1+$B$4)^28))*IF(AD201+IF($B$1+28&lt;=$B201,12*$B$9,-12*$B$8*(1+$B$4)^28)&gt;0,1+$B$3,1))</f>
        <v/>
      </c>
      <c r="AF201">
        <f>IF($B$1+29&gt;90,AE201,(AE201+IF($B$1+29&lt;=$B201,12*$B$9,-12*$B$8*(1+$B$4)^29))*IF(AE201+IF($B$1+29&lt;=$B201,12*$B$9,-12*$B$8*(1+$B$4)^29)&gt;0,1+$B$3,1))</f>
        <v/>
      </c>
      <c r="AG201">
        <f>IF($B$1+30&gt;90,AF201,(AF201+IF($B$1+30&lt;=$B201,12*$B$9,-12*$B$8*(1+$B$4)^30))*IF(AF201+IF($B$1+30&lt;=$B201,12*$B$9,-12*$B$8*(1+$B$4)^30)&gt;0,1+$B$3,1))</f>
        <v/>
      </c>
      <c r="AH201">
        <f>IF($B$1+31&gt;90,AG201,(AG201+IF($B$1+31&lt;=$B201,12*$B$9,-12*$B$8*(1+$B$4)^31))*IF(AG201+IF($B$1+31&lt;=$B201,12*$B$9,-12*$B$8*(1+$B$4)^31)&gt;0,1+$B$3,1))</f>
        <v/>
      </c>
      <c r="AI201">
        <f>IF($B$1+32&gt;90,AH201,(AH201+IF($B$1+32&lt;=$B201,12*$B$9,-12*$B$8*(1+$B$4)^32))*IF(AH201+IF($B$1+32&lt;=$B201,12*$B$9,-12*$B$8*(1+$B$4)^32)&gt;0,1+$B$3,1))</f>
        <v/>
      </c>
      <c r="AJ201">
        <f>IF($B$1+33&gt;90,AI201,(AI201+IF($B$1+33&lt;=$B201,12*$B$9,-12*$B$8*(1+$B$4)^33))*IF(AI201+IF($B$1+33&lt;=$B201,12*$B$9,-12*$B$8*(1+$B$4)^33)&gt;0,1+$B$3,1))</f>
        <v/>
      </c>
      <c r="AK201">
        <f>IF($B$1+34&gt;90,AJ201,(AJ201+IF($B$1+34&lt;=$B201,12*$B$9,-12*$B$8*(1+$B$4)^34))*IF(AJ201+IF($B$1+34&lt;=$B201,12*$B$9,-12*$B$8*(1+$B$4)^34)&gt;0,1+$B$3,1))</f>
        <v/>
      </c>
      <c r="AL201">
        <f>IF($B$1+35&gt;90,AK201,(AK201+IF($B$1+35&lt;=$B201,12*$B$9,-12*$B$8*(1+$B$4)^35))*IF(AK201+IF($B$1+35&lt;=$B201,12*$B$9,-12*$B$8*(1+$B$4)^35)&gt;0,1+$B$3,1))</f>
        <v/>
      </c>
      <c r="AM201">
        <f>IF($B$1+36&gt;90,AL201,(AL201+IF($B$1+36&lt;=$B201,12*$B$9,-12*$B$8*(1+$B$4)^36))*IF(AL201+IF($B$1+36&lt;=$B201,12*$B$9,-12*$B$8*(1+$B$4)^36)&gt;0,1+$B$3,1))</f>
        <v/>
      </c>
      <c r="AN201">
        <f>IF($B$1+37&gt;90,AM201,(AM201+IF($B$1+37&lt;=$B201,12*$B$9,-12*$B$8*(1+$B$4)^37))*IF(AM201+IF($B$1+37&lt;=$B201,12*$B$9,-12*$B$8*(1+$B$4)^37)&gt;0,1+$B$3,1))</f>
        <v/>
      </c>
      <c r="AO201">
        <f>IF($B$1+38&gt;90,AN201,(AN201+IF($B$1+38&lt;=$B201,12*$B$9,-12*$B$8*(1+$B$4)^38))*IF(AN201+IF($B$1+38&lt;=$B201,12*$B$9,-12*$B$8*(1+$B$4)^38)&gt;0,1+$B$3,1))</f>
        <v/>
      </c>
      <c r="AP201">
        <f>IF($B$1+39&gt;90,AO201,(AO201+IF($B$1+39&lt;=$B201,12*$B$9,-12*$B$8*(1+$B$4)^39))*IF(AO201+IF($B$1+39&lt;=$B201,12*$B$9,-12*$B$8*(1+$B$4)^39)&gt;0,1+$B$3,1))</f>
        <v/>
      </c>
      <c r="AQ201">
        <f>IF($B$1+40&gt;90,AP201,(AP201+IF($B$1+40&lt;=$B201,12*$B$9,-12*$B$8*(1+$B$4)^40))*IF(AP201+IF($B$1+40&lt;=$B201,12*$B$9,-12*$B$8*(1+$B$4)^40)&gt;0,1+$B$3,1))</f>
        <v/>
      </c>
      <c r="AR201">
        <f>IF($B$1+41&gt;90,AQ201,(AQ201+IF($B$1+41&lt;=$B201,12*$B$9,-12*$B$8*(1+$B$4)^41))*IF(AQ201+IF($B$1+41&lt;=$B201,12*$B$9,-12*$B$8*(1+$B$4)^41)&gt;0,1+$B$3,1))</f>
        <v/>
      </c>
      <c r="AS201">
        <f>IF($B$1+42&gt;90,AR201,(AR201+IF($B$1+42&lt;=$B201,12*$B$9,-12*$B$8*(1+$B$4)^42))*IF(AR201+IF($B$1+42&lt;=$B201,12*$B$9,-12*$B$8*(1+$B$4)^42)&gt;0,1+$B$3,1))</f>
        <v/>
      </c>
      <c r="AT201">
        <f>IF($B$1+43&gt;90,AS201,(AS201+IF($B$1+43&lt;=$B201,12*$B$9,-12*$B$8*(1+$B$4)^43))*IF(AS201+IF($B$1+43&lt;=$B201,12*$B$9,-12*$B$8*(1+$B$4)^43)&gt;0,1+$B$3,1))</f>
        <v/>
      </c>
      <c r="AU201">
        <f>IF($B$1+44&gt;90,AT201,(AT201+IF($B$1+44&lt;=$B201,12*$B$9,-12*$B$8*(1+$B$4)^44))*IF(AT201+IF($B$1+44&lt;=$B201,12*$B$9,-12*$B$8*(1+$B$4)^44)&gt;0,1+$B$3,1))</f>
        <v/>
      </c>
      <c r="AV201">
        <f>IF($B$1+45&gt;90,AU201,(AU201+IF($B$1+45&lt;=$B201,12*$B$9,-12*$B$8*(1+$B$4)^45))*IF(AU201+IF($B$1+45&lt;=$B201,12*$B$9,-12*$B$8*(1+$B$4)^45)&gt;0,1+$B$3,1))</f>
        <v/>
      </c>
      <c r="AW201">
        <f>IF($B$1+46&gt;90,AV201,(AV201+IF($B$1+46&lt;=$B201,12*$B$9,-12*$B$8*(1+$B$4)^46))*IF(AV201+IF($B$1+46&lt;=$B201,12*$B$9,-12*$B$8*(1+$B$4)^46)&gt;0,1+$B$3,1))</f>
        <v/>
      </c>
      <c r="AX201">
        <f>IF($B$1+47&gt;90,AW201,(AW201+IF($B$1+47&lt;=$B201,12*$B$9,-12*$B$8*(1+$B$4)^47))*IF(AW201+IF($B$1+47&lt;=$B201,12*$B$9,-12*$B$8*(1+$B$4)^47)&gt;0,1+$B$3,1))</f>
        <v/>
      </c>
      <c r="AY201">
        <f>IF($B$1+48&gt;90,AX201,(AX201+IF($B$1+48&lt;=$B201,12*$B$9,-12*$B$8*(1+$B$4)^48))*IF(AX201+IF($B$1+48&lt;=$B201,12*$B$9,-12*$B$8*(1+$B$4)^48)&gt;0,1+$B$3,1))</f>
        <v/>
      </c>
      <c r="AZ201">
        <f>IF($B$1+49&gt;90,AY201,(AY201+IF($B$1+49&lt;=$B201,12*$B$9,-12*$B$8*(1+$B$4)^49))*IF(AY201+IF($B$1+49&lt;=$B201,12*$B$9,-12*$B$8*(1+$B$4)^49)&gt;0,1+$B$3,1))</f>
        <v/>
      </c>
      <c r="BA201">
        <f>IF($B$1+50&gt;90,AZ201,(AZ201+IF($B$1+50&lt;=$B201,12*$B$9,-12*$B$8*(1+$B$4)^50))*IF(AZ201+IF($B$1+50&lt;=$B201,12*$B$9,-12*$B$8*(1+$B$4)^50)&gt;0,1+$B$3,1))</f>
        <v/>
      </c>
      <c r="BB201">
        <f>IF($B$1+51&gt;90,BA201,(BA201+IF($B$1+51&lt;=$B201,12*$B$9,-12*$B$8*(1+$B$4)^51))*IF(BA201+IF($B$1+51&lt;=$B201,12*$B$9,-12*$B$8*(1+$B$4)^51)&gt;0,1+$B$3,1))</f>
        <v/>
      </c>
      <c r="BC201">
        <f>IF($B$1+52&gt;90,BB201,(BB201+IF($B$1+52&lt;=$B201,12*$B$9,-12*$B$8*(1+$B$4)^52))*IF(BB201+IF($B$1+52&lt;=$B201,12*$B$9,-12*$B$8*(1+$B$4)^52)&gt;0,1+$B$3,1))</f>
        <v/>
      </c>
      <c r="BD201">
        <f>IF($B$1+53&gt;90,BC201,(BC201+IF($B$1+53&lt;=$B201,12*$B$9,-12*$B$8*(1+$B$4)^53))*IF(BC201+IF($B$1+53&lt;=$B201,12*$B$9,-12*$B$8*(1+$B$4)^53)&gt;0,1+$B$3,1))</f>
        <v/>
      </c>
      <c r="BE201">
        <f>IF($B$1+54&gt;90,BD201,(BD201+IF($B$1+54&lt;=$B201,12*$B$9,-12*$B$8*(1+$B$4)^54))*IF(BD201+IF($B$1+54&lt;=$B201,12*$B$9,-12*$B$8*(1+$B$4)^54)&gt;0,1+$B$3,1))</f>
        <v/>
      </c>
      <c r="BF201">
        <f>IF($B$1+55&gt;90,BE201,(BE201+IF($B$1+55&lt;=$B201,12*$B$9,-12*$B$8*(1+$B$4)^55))*IF(BE201+IF($B$1+55&lt;=$B201,12*$B$9,-12*$B$8*(1+$B$4)^55)&gt;0,1+$B$3,1))</f>
        <v/>
      </c>
      <c r="BG201">
        <f>IF($B$1+56&gt;90,BF201,(BF201+IF($B$1+56&lt;=$B201,12*$B$9,-12*$B$8*(1+$B$4)^56))*IF(BF201+IF($B$1+56&lt;=$B201,12*$B$9,-12*$B$8*(1+$B$4)^56)&gt;0,1+$B$3,1))</f>
        <v/>
      </c>
      <c r="BH201">
        <f>IF($B$1+57&gt;90,BG201,(BG201+IF($B$1+57&lt;=$B201,12*$B$9,-12*$B$8*(1+$B$4)^57))*IF(BG201+IF($B$1+57&lt;=$B201,12*$B$9,-12*$B$8*(1+$B$4)^57)&gt;0,1+$B$3,1))</f>
        <v/>
      </c>
      <c r="BI201">
        <f>IF($B$1+58&gt;90,BH201,(BH201+IF($B$1+58&lt;=$B201,12*$B$9,-12*$B$8*(1+$B$4)^58))*IF(BH201+IF($B$1+58&lt;=$B201,12*$B$9,-12*$B$8*(1+$B$4)^58)&gt;0,1+$B$3,1))</f>
        <v/>
      </c>
      <c r="BJ201">
        <f>IF($B$1+59&gt;90,BI201,(BI201+IF($B$1+59&lt;=$B201,12*$B$9,-12*$B$8*(1+$B$4)^59))*IF(BI201+IF($B$1+59&lt;=$B201,12*$B$9,-12*$B$8*(1+$B$4)^59)&gt;0,1+$B$3,1))</f>
        <v/>
      </c>
      <c r="BK201">
        <f>IF($B$1+60&gt;90,BJ201,(BJ201+IF($B$1+60&lt;=$B201,12*$B$9,-12*$B$8*(1+$B$4)^60))*IF(BJ201+IF($B$1+60&lt;=$B201,12*$B$9,-12*$B$8*(1+$B$4)^60)&gt;0,1+$B$3,1))</f>
        <v/>
      </c>
      <c r="BL201">
        <f>IF($B$1+61&gt;90,BK201,(BK201+IF($B$1+61&lt;=$B201,12*$B$9,-12*$B$8*(1+$B$4)^61))*IF(BK201+IF($B$1+61&lt;=$B201,12*$B$9,-12*$B$8*(1+$B$4)^61)&gt;0,1+$B$3,1))</f>
        <v/>
      </c>
      <c r="BM201">
        <f>IF($B$1+62&gt;90,BL201,(BL201+IF($B$1+62&lt;=$B201,12*$B$9,-12*$B$8*(1+$B$4)^62))*IF(BL201+IF($B$1+62&lt;=$B201,12*$B$9,-12*$B$8*(1+$B$4)^62)&gt;0,1+$B$3,1))</f>
        <v/>
      </c>
      <c r="BN201">
        <f>IF($B$1+63&gt;90,BM201,(BM201+IF($B$1+63&lt;=$B201,12*$B$9,-12*$B$8*(1+$B$4)^63))*IF(BM201+IF($B$1+63&lt;=$B201,12*$B$9,-12*$B$8*(1+$B$4)^63)&gt;0,1+$B$3,1))</f>
        <v/>
      </c>
      <c r="BO201">
        <f>IF($B$1+64&gt;90,BN201,(BN201+IF($B$1+64&lt;=$B201,12*$B$9,-12*$B$8*(1+$B$4)^64))*IF(BN201+IF($B$1+64&lt;=$B201,12*$B$9,-12*$B$8*(1+$B$4)^64)&gt;0,1+$B$3,1))</f>
        <v/>
      </c>
      <c r="BP201">
        <f>IF($B$1+65&gt;90,BO201,(BO201+IF($B$1+65&lt;=$B201,12*$B$9,-12*$B$8*(1+$B$4)^65))*IF(BO201+IF($B$1+65&lt;=$B201,12*$B$9,-12*$B$8*(1+$B$4)^65)&gt;0,1+$B$3,1))</f>
        <v/>
      </c>
      <c r="BQ201">
        <f>IF($B$1+66&gt;90,BP201,(BP201+IF($B$1+66&lt;=$B201,12*$B$9,-12*$B$8*(1+$B$4)^66))*IF(BP201+IF($B$1+66&lt;=$B201,12*$B$9,-12*$B$8*(1+$B$4)^66)&gt;0,1+$B$3,1))</f>
        <v/>
      </c>
      <c r="BR201">
        <f>IF($B$1+67&gt;90,BQ201,(BQ201+IF($B$1+67&lt;=$B201,12*$B$9,-12*$B$8*(1+$B$4)^67))*IF(BQ201+IF($B$1+67&lt;=$B201,12*$B$9,-12*$B$8*(1+$B$4)^67)&gt;0,1+$B$3,1))</f>
        <v/>
      </c>
      <c r="BS201">
        <f>IF($B$1+68&gt;90,BR201,(BR201+IF($B$1+68&lt;=$B201,12*$B$9,-12*$B$8*(1+$B$4)^68))*IF(BR201+IF($B$1+68&lt;=$B201,12*$B$9,-12*$B$8*(1+$B$4)^68)&gt;0,1+$B$3,1))</f>
        <v/>
      </c>
      <c r="BT201">
        <f>IF($B$1+69&gt;90,BS201,(BS201+IF($B$1+69&lt;=$B201,12*$B$9,-12*$B$8*(1+$B$4)^69))*IF(BS201+IF($B$1+69&lt;=$B201,12*$B$9,-12*$B$8*(1+$B$4)^69)&gt;0,1+$B$3,1))</f>
        <v/>
      </c>
      <c r="BU201">
        <f>IF($B$1+70&gt;90,BT201,(BT201+IF($B$1+70&lt;=$B201,12*$B$9,-12*$B$8*(1+$B$4)^70))*IF(BT201+IF($B$1+70&lt;=$B201,12*$B$9,-12*$B$8*(1+$B$4)^70)&gt;0,1+$B$3,1))</f>
        <v/>
      </c>
      <c r="BV201">
        <f>BU201</f>
        <v/>
      </c>
      <c r="BW201">
        <f>IF(AND($B201&lt;=70,BV201&gt;0),$B201,999)</f>
        <v/>
      </c>
    </row>
    <row r="202">
      <c r="A202" t="n">
        <v>50</v>
      </c>
      <c r="B202">
        <f>$B$1+50</f>
        <v/>
      </c>
      <c r="C202">
        <f>$B$2</f>
        <v/>
      </c>
      <c r="D202">
        <f>IF($B$1+1&gt;90,C202,(C202+IF($B$1+1&lt;=$B202,12*$B$9,-12*$B$8*(1+$B$4)^1))*IF(C202+IF($B$1+1&lt;=$B202,12*$B$9,-12*$B$8*(1+$B$4)^1)&gt;0,1+$B$3,1))</f>
        <v/>
      </c>
      <c r="E202">
        <f>IF($B$1+2&gt;90,D202,(D202+IF($B$1+2&lt;=$B202,12*$B$9,-12*$B$8*(1+$B$4)^2))*IF(D202+IF($B$1+2&lt;=$B202,12*$B$9,-12*$B$8*(1+$B$4)^2)&gt;0,1+$B$3,1))</f>
        <v/>
      </c>
      <c r="F202">
        <f>IF($B$1+3&gt;90,E202,(E202+IF($B$1+3&lt;=$B202,12*$B$9,-12*$B$8*(1+$B$4)^3))*IF(E202+IF($B$1+3&lt;=$B202,12*$B$9,-12*$B$8*(1+$B$4)^3)&gt;0,1+$B$3,1))</f>
        <v/>
      </c>
      <c r="G202">
        <f>IF($B$1+4&gt;90,F202,(F202+IF($B$1+4&lt;=$B202,12*$B$9,-12*$B$8*(1+$B$4)^4))*IF(F202+IF($B$1+4&lt;=$B202,12*$B$9,-12*$B$8*(1+$B$4)^4)&gt;0,1+$B$3,1))</f>
        <v/>
      </c>
      <c r="H202">
        <f>IF($B$1+5&gt;90,G202,(G202+IF($B$1+5&lt;=$B202,12*$B$9,-12*$B$8*(1+$B$4)^5))*IF(G202+IF($B$1+5&lt;=$B202,12*$B$9,-12*$B$8*(1+$B$4)^5)&gt;0,1+$B$3,1))</f>
        <v/>
      </c>
      <c r="I202">
        <f>IF($B$1+6&gt;90,H202,(H202+IF($B$1+6&lt;=$B202,12*$B$9,-12*$B$8*(1+$B$4)^6))*IF(H202+IF($B$1+6&lt;=$B202,12*$B$9,-12*$B$8*(1+$B$4)^6)&gt;0,1+$B$3,1))</f>
        <v/>
      </c>
      <c r="J202">
        <f>IF($B$1+7&gt;90,I202,(I202+IF($B$1+7&lt;=$B202,12*$B$9,-12*$B$8*(1+$B$4)^7))*IF(I202+IF($B$1+7&lt;=$B202,12*$B$9,-12*$B$8*(1+$B$4)^7)&gt;0,1+$B$3,1))</f>
        <v/>
      </c>
      <c r="K202">
        <f>IF($B$1+8&gt;90,J202,(J202+IF($B$1+8&lt;=$B202,12*$B$9,-12*$B$8*(1+$B$4)^8))*IF(J202+IF($B$1+8&lt;=$B202,12*$B$9,-12*$B$8*(1+$B$4)^8)&gt;0,1+$B$3,1))</f>
        <v/>
      </c>
      <c r="L202">
        <f>IF($B$1+9&gt;90,K202,(K202+IF($B$1+9&lt;=$B202,12*$B$9,-12*$B$8*(1+$B$4)^9))*IF(K202+IF($B$1+9&lt;=$B202,12*$B$9,-12*$B$8*(1+$B$4)^9)&gt;0,1+$B$3,1))</f>
        <v/>
      </c>
      <c r="M202">
        <f>IF($B$1+10&gt;90,L202,(L202+IF($B$1+10&lt;=$B202,12*$B$9,-12*$B$8*(1+$B$4)^10))*IF(L202+IF($B$1+10&lt;=$B202,12*$B$9,-12*$B$8*(1+$B$4)^10)&gt;0,1+$B$3,1))</f>
        <v/>
      </c>
      <c r="N202">
        <f>IF($B$1+11&gt;90,M202,(M202+IF($B$1+11&lt;=$B202,12*$B$9,-12*$B$8*(1+$B$4)^11))*IF(M202+IF($B$1+11&lt;=$B202,12*$B$9,-12*$B$8*(1+$B$4)^11)&gt;0,1+$B$3,1))</f>
        <v/>
      </c>
      <c r="O202">
        <f>IF($B$1+12&gt;90,N202,(N202+IF($B$1+12&lt;=$B202,12*$B$9,-12*$B$8*(1+$B$4)^12))*IF(N202+IF($B$1+12&lt;=$B202,12*$B$9,-12*$B$8*(1+$B$4)^12)&gt;0,1+$B$3,1))</f>
        <v/>
      </c>
      <c r="P202">
        <f>IF($B$1+13&gt;90,O202,(O202+IF($B$1+13&lt;=$B202,12*$B$9,-12*$B$8*(1+$B$4)^13))*IF(O202+IF($B$1+13&lt;=$B202,12*$B$9,-12*$B$8*(1+$B$4)^13)&gt;0,1+$B$3,1))</f>
        <v/>
      </c>
      <c r="Q202">
        <f>IF($B$1+14&gt;90,P202,(P202+IF($B$1+14&lt;=$B202,12*$B$9,-12*$B$8*(1+$B$4)^14))*IF(P202+IF($B$1+14&lt;=$B202,12*$B$9,-12*$B$8*(1+$B$4)^14)&gt;0,1+$B$3,1))</f>
        <v/>
      </c>
      <c r="R202">
        <f>IF($B$1+15&gt;90,Q202,(Q202+IF($B$1+15&lt;=$B202,12*$B$9,-12*$B$8*(1+$B$4)^15))*IF(Q202+IF($B$1+15&lt;=$B202,12*$B$9,-12*$B$8*(1+$B$4)^15)&gt;0,1+$B$3,1))</f>
        <v/>
      </c>
      <c r="S202">
        <f>IF($B$1+16&gt;90,R202,(R202+IF($B$1+16&lt;=$B202,12*$B$9,-12*$B$8*(1+$B$4)^16))*IF(R202+IF($B$1+16&lt;=$B202,12*$B$9,-12*$B$8*(1+$B$4)^16)&gt;0,1+$B$3,1))</f>
        <v/>
      </c>
      <c r="T202">
        <f>IF($B$1+17&gt;90,S202,(S202+IF($B$1+17&lt;=$B202,12*$B$9,-12*$B$8*(1+$B$4)^17))*IF(S202+IF($B$1+17&lt;=$B202,12*$B$9,-12*$B$8*(1+$B$4)^17)&gt;0,1+$B$3,1))</f>
        <v/>
      </c>
      <c r="U202">
        <f>IF($B$1+18&gt;90,T202,(T202+IF($B$1+18&lt;=$B202,12*$B$9,-12*$B$8*(1+$B$4)^18))*IF(T202+IF($B$1+18&lt;=$B202,12*$B$9,-12*$B$8*(1+$B$4)^18)&gt;0,1+$B$3,1))</f>
        <v/>
      </c>
      <c r="V202">
        <f>IF($B$1+19&gt;90,U202,(U202+IF($B$1+19&lt;=$B202,12*$B$9,-12*$B$8*(1+$B$4)^19))*IF(U202+IF($B$1+19&lt;=$B202,12*$B$9,-12*$B$8*(1+$B$4)^19)&gt;0,1+$B$3,1))</f>
        <v/>
      </c>
      <c r="W202">
        <f>IF($B$1+20&gt;90,V202,(V202+IF($B$1+20&lt;=$B202,12*$B$9,-12*$B$8*(1+$B$4)^20))*IF(V202+IF($B$1+20&lt;=$B202,12*$B$9,-12*$B$8*(1+$B$4)^20)&gt;0,1+$B$3,1))</f>
        <v/>
      </c>
      <c r="X202">
        <f>IF($B$1+21&gt;90,W202,(W202+IF($B$1+21&lt;=$B202,12*$B$9,-12*$B$8*(1+$B$4)^21))*IF(W202+IF($B$1+21&lt;=$B202,12*$B$9,-12*$B$8*(1+$B$4)^21)&gt;0,1+$B$3,1))</f>
        <v/>
      </c>
      <c r="Y202">
        <f>IF($B$1+22&gt;90,X202,(X202+IF($B$1+22&lt;=$B202,12*$B$9,-12*$B$8*(1+$B$4)^22))*IF(X202+IF($B$1+22&lt;=$B202,12*$B$9,-12*$B$8*(1+$B$4)^22)&gt;0,1+$B$3,1))</f>
        <v/>
      </c>
      <c r="Z202">
        <f>IF($B$1+23&gt;90,Y202,(Y202+IF($B$1+23&lt;=$B202,12*$B$9,-12*$B$8*(1+$B$4)^23))*IF(Y202+IF($B$1+23&lt;=$B202,12*$B$9,-12*$B$8*(1+$B$4)^23)&gt;0,1+$B$3,1))</f>
        <v/>
      </c>
      <c r="AA202">
        <f>IF($B$1+24&gt;90,Z202,(Z202+IF($B$1+24&lt;=$B202,12*$B$9,-12*$B$8*(1+$B$4)^24))*IF(Z202+IF($B$1+24&lt;=$B202,12*$B$9,-12*$B$8*(1+$B$4)^24)&gt;0,1+$B$3,1))</f>
        <v/>
      </c>
      <c r="AB202">
        <f>IF($B$1+25&gt;90,AA202,(AA202+IF($B$1+25&lt;=$B202,12*$B$9,-12*$B$8*(1+$B$4)^25))*IF(AA202+IF($B$1+25&lt;=$B202,12*$B$9,-12*$B$8*(1+$B$4)^25)&gt;0,1+$B$3,1))</f>
        <v/>
      </c>
      <c r="AC202">
        <f>IF($B$1+26&gt;90,AB202,(AB202+IF($B$1+26&lt;=$B202,12*$B$9,-12*$B$8*(1+$B$4)^26))*IF(AB202+IF($B$1+26&lt;=$B202,12*$B$9,-12*$B$8*(1+$B$4)^26)&gt;0,1+$B$3,1))</f>
        <v/>
      </c>
      <c r="AD202">
        <f>IF($B$1+27&gt;90,AC202,(AC202+IF($B$1+27&lt;=$B202,12*$B$9,-12*$B$8*(1+$B$4)^27))*IF(AC202+IF($B$1+27&lt;=$B202,12*$B$9,-12*$B$8*(1+$B$4)^27)&gt;0,1+$B$3,1))</f>
        <v/>
      </c>
      <c r="AE202">
        <f>IF($B$1+28&gt;90,AD202,(AD202+IF($B$1+28&lt;=$B202,12*$B$9,-12*$B$8*(1+$B$4)^28))*IF(AD202+IF($B$1+28&lt;=$B202,12*$B$9,-12*$B$8*(1+$B$4)^28)&gt;0,1+$B$3,1))</f>
        <v/>
      </c>
      <c r="AF202">
        <f>IF($B$1+29&gt;90,AE202,(AE202+IF($B$1+29&lt;=$B202,12*$B$9,-12*$B$8*(1+$B$4)^29))*IF(AE202+IF($B$1+29&lt;=$B202,12*$B$9,-12*$B$8*(1+$B$4)^29)&gt;0,1+$B$3,1))</f>
        <v/>
      </c>
      <c r="AG202">
        <f>IF($B$1+30&gt;90,AF202,(AF202+IF($B$1+30&lt;=$B202,12*$B$9,-12*$B$8*(1+$B$4)^30))*IF(AF202+IF($B$1+30&lt;=$B202,12*$B$9,-12*$B$8*(1+$B$4)^30)&gt;0,1+$B$3,1))</f>
        <v/>
      </c>
      <c r="AH202">
        <f>IF($B$1+31&gt;90,AG202,(AG202+IF($B$1+31&lt;=$B202,12*$B$9,-12*$B$8*(1+$B$4)^31))*IF(AG202+IF($B$1+31&lt;=$B202,12*$B$9,-12*$B$8*(1+$B$4)^31)&gt;0,1+$B$3,1))</f>
        <v/>
      </c>
      <c r="AI202">
        <f>IF($B$1+32&gt;90,AH202,(AH202+IF($B$1+32&lt;=$B202,12*$B$9,-12*$B$8*(1+$B$4)^32))*IF(AH202+IF($B$1+32&lt;=$B202,12*$B$9,-12*$B$8*(1+$B$4)^32)&gt;0,1+$B$3,1))</f>
        <v/>
      </c>
      <c r="AJ202">
        <f>IF($B$1+33&gt;90,AI202,(AI202+IF($B$1+33&lt;=$B202,12*$B$9,-12*$B$8*(1+$B$4)^33))*IF(AI202+IF($B$1+33&lt;=$B202,12*$B$9,-12*$B$8*(1+$B$4)^33)&gt;0,1+$B$3,1))</f>
        <v/>
      </c>
      <c r="AK202">
        <f>IF($B$1+34&gt;90,AJ202,(AJ202+IF($B$1+34&lt;=$B202,12*$B$9,-12*$B$8*(1+$B$4)^34))*IF(AJ202+IF($B$1+34&lt;=$B202,12*$B$9,-12*$B$8*(1+$B$4)^34)&gt;0,1+$B$3,1))</f>
        <v/>
      </c>
      <c r="AL202">
        <f>IF($B$1+35&gt;90,AK202,(AK202+IF($B$1+35&lt;=$B202,12*$B$9,-12*$B$8*(1+$B$4)^35))*IF(AK202+IF($B$1+35&lt;=$B202,12*$B$9,-12*$B$8*(1+$B$4)^35)&gt;0,1+$B$3,1))</f>
        <v/>
      </c>
      <c r="AM202">
        <f>IF($B$1+36&gt;90,AL202,(AL202+IF($B$1+36&lt;=$B202,12*$B$9,-12*$B$8*(1+$B$4)^36))*IF(AL202+IF($B$1+36&lt;=$B202,12*$B$9,-12*$B$8*(1+$B$4)^36)&gt;0,1+$B$3,1))</f>
        <v/>
      </c>
      <c r="AN202">
        <f>IF($B$1+37&gt;90,AM202,(AM202+IF($B$1+37&lt;=$B202,12*$B$9,-12*$B$8*(1+$B$4)^37))*IF(AM202+IF($B$1+37&lt;=$B202,12*$B$9,-12*$B$8*(1+$B$4)^37)&gt;0,1+$B$3,1))</f>
        <v/>
      </c>
      <c r="AO202">
        <f>IF($B$1+38&gt;90,AN202,(AN202+IF($B$1+38&lt;=$B202,12*$B$9,-12*$B$8*(1+$B$4)^38))*IF(AN202+IF($B$1+38&lt;=$B202,12*$B$9,-12*$B$8*(1+$B$4)^38)&gt;0,1+$B$3,1))</f>
        <v/>
      </c>
      <c r="AP202">
        <f>IF($B$1+39&gt;90,AO202,(AO202+IF($B$1+39&lt;=$B202,12*$B$9,-12*$B$8*(1+$B$4)^39))*IF(AO202+IF($B$1+39&lt;=$B202,12*$B$9,-12*$B$8*(1+$B$4)^39)&gt;0,1+$B$3,1))</f>
        <v/>
      </c>
      <c r="AQ202">
        <f>IF($B$1+40&gt;90,AP202,(AP202+IF($B$1+40&lt;=$B202,12*$B$9,-12*$B$8*(1+$B$4)^40))*IF(AP202+IF($B$1+40&lt;=$B202,12*$B$9,-12*$B$8*(1+$B$4)^40)&gt;0,1+$B$3,1))</f>
        <v/>
      </c>
      <c r="AR202">
        <f>IF($B$1+41&gt;90,AQ202,(AQ202+IF($B$1+41&lt;=$B202,12*$B$9,-12*$B$8*(1+$B$4)^41))*IF(AQ202+IF($B$1+41&lt;=$B202,12*$B$9,-12*$B$8*(1+$B$4)^41)&gt;0,1+$B$3,1))</f>
        <v/>
      </c>
      <c r="AS202">
        <f>IF($B$1+42&gt;90,AR202,(AR202+IF($B$1+42&lt;=$B202,12*$B$9,-12*$B$8*(1+$B$4)^42))*IF(AR202+IF($B$1+42&lt;=$B202,12*$B$9,-12*$B$8*(1+$B$4)^42)&gt;0,1+$B$3,1))</f>
        <v/>
      </c>
      <c r="AT202">
        <f>IF($B$1+43&gt;90,AS202,(AS202+IF($B$1+43&lt;=$B202,12*$B$9,-12*$B$8*(1+$B$4)^43))*IF(AS202+IF($B$1+43&lt;=$B202,12*$B$9,-12*$B$8*(1+$B$4)^43)&gt;0,1+$B$3,1))</f>
        <v/>
      </c>
      <c r="AU202">
        <f>IF($B$1+44&gt;90,AT202,(AT202+IF($B$1+44&lt;=$B202,12*$B$9,-12*$B$8*(1+$B$4)^44))*IF(AT202+IF($B$1+44&lt;=$B202,12*$B$9,-12*$B$8*(1+$B$4)^44)&gt;0,1+$B$3,1))</f>
        <v/>
      </c>
      <c r="AV202">
        <f>IF($B$1+45&gt;90,AU202,(AU202+IF($B$1+45&lt;=$B202,12*$B$9,-12*$B$8*(1+$B$4)^45))*IF(AU202+IF($B$1+45&lt;=$B202,12*$B$9,-12*$B$8*(1+$B$4)^45)&gt;0,1+$B$3,1))</f>
        <v/>
      </c>
      <c r="AW202">
        <f>IF($B$1+46&gt;90,AV202,(AV202+IF($B$1+46&lt;=$B202,12*$B$9,-12*$B$8*(1+$B$4)^46))*IF(AV202+IF($B$1+46&lt;=$B202,12*$B$9,-12*$B$8*(1+$B$4)^46)&gt;0,1+$B$3,1))</f>
        <v/>
      </c>
      <c r="AX202">
        <f>IF($B$1+47&gt;90,AW202,(AW202+IF($B$1+47&lt;=$B202,12*$B$9,-12*$B$8*(1+$B$4)^47))*IF(AW202+IF($B$1+47&lt;=$B202,12*$B$9,-12*$B$8*(1+$B$4)^47)&gt;0,1+$B$3,1))</f>
        <v/>
      </c>
      <c r="AY202">
        <f>IF($B$1+48&gt;90,AX202,(AX202+IF($B$1+48&lt;=$B202,12*$B$9,-12*$B$8*(1+$B$4)^48))*IF(AX202+IF($B$1+48&lt;=$B202,12*$B$9,-12*$B$8*(1+$B$4)^48)&gt;0,1+$B$3,1))</f>
        <v/>
      </c>
      <c r="AZ202">
        <f>IF($B$1+49&gt;90,AY202,(AY202+IF($B$1+49&lt;=$B202,12*$B$9,-12*$B$8*(1+$B$4)^49))*IF(AY202+IF($B$1+49&lt;=$B202,12*$B$9,-12*$B$8*(1+$B$4)^49)&gt;0,1+$B$3,1))</f>
        <v/>
      </c>
      <c r="BA202">
        <f>IF($B$1+50&gt;90,AZ202,(AZ202+IF($B$1+50&lt;=$B202,12*$B$9,-12*$B$8*(1+$B$4)^50))*IF(AZ202+IF($B$1+50&lt;=$B202,12*$B$9,-12*$B$8*(1+$B$4)^50)&gt;0,1+$B$3,1))</f>
        <v/>
      </c>
      <c r="BB202">
        <f>IF($B$1+51&gt;90,BA202,(BA202+IF($B$1+51&lt;=$B202,12*$B$9,-12*$B$8*(1+$B$4)^51))*IF(BA202+IF($B$1+51&lt;=$B202,12*$B$9,-12*$B$8*(1+$B$4)^51)&gt;0,1+$B$3,1))</f>
        <v/>
      </c>
      <c r="BC202">
        <f>IF($B$1+52&gt;90,BB202,(BB202+IF($B$1+52&lt;=$B202,12*$B$9,-12*$B$8*(1+$B$4)^52))*IF(BB202+IF($B$1+52&lt;=$B202,12*$B$9,-12*$B$8*(1+$B$4)^52)&gt;0,1+$B$3,1))</f>
        <v/>
      </c>
      <c r="BD202">
        <f>IF($B$1+53&gt;90,BC202,(BC202+IF($B$1+53&lt;=$B202,12*$B$9,-12*$B$8*(1+$B$4)^53))*IF(BC202+IF($B$1+53&lt;=$B202,12*$B$9,-12*$B$8*(1+$B$4)^53)&gt;0,1+$B$3,1))</f>
        <v/>
      </c>
      <c r="BE202">
        <f>IF($B$1+54&gt;90,BD202,(BD202+IF($B$1+54&lt;=$B202,12*$B$9,-12*$B$8*(1+$B$4)^54))*IF(BD202+IF($B$1+54&lt;=$B202,12*$B$9,-12*$B$8*(1+$B$4)^54)&gt;0,1+$B$3,1))</f>
        <v/>
      </c>
      <c r="BF202">
        <f>IF($B$1+55&gt;90,BE202,(BE202+IF($B$1+55&lt;=$B202,12*$B$9,-12*$B$8*(1+$B$4)^55))*IF(BE202+IF($B$1+55&lt;=$B202,12*$B$9,-12*$B$8*(1+$B$4)^55)&gt;0,1+$B$3,1))</f>
        <v/>
      </c>
      <c r="BG202">
        <f>IF($B$1+56&gt;90,BF202,(BF202+IF($B$1+56&lt;=$B202,12*$B$9,-12*$B$8*(1+$B$4)^56))*IF(BF202+IF($B$1+56&lt;=$B202,12*$B$9,-12*$B$8*(1+$B$4)^56)&gt;0,1+$B$3,1))</f>
        <v/>
      </c>
      <c r="BH202">
        <f>IF($B$1+57&gt;90,BG202,(BG202+IF($B$1+57&lt;=$B202,12*$B$9,-12*$B$8*(1+$B$4)^57))*IF(BG202+IF($B$1+57&lt;=$B202,12*$B$9,-12*$B$8*(1+$B$4)^57)&gt;0,1+$B$3,1))</f>
        <v/>
      </c>
      <c r="BI202">
        <f>IF($B$1+58&gt;90,BH202,(BH202+IF($B$1+58&lt;=$B202,12*$B$9,-12*$B$8*(1+$B$4)^58))*IF(BH202+IF($B$1+58&lt;=$B202,12*$B$9,-12*$B$8*(1+$B$4)^58)&gt;0,1+$B$3,1))</f>
        <v/>
      </c>
      <c r="BJ202">
        <f>IF($B$1+59&gt;90,BI202,(BI202+IF($B$1+59&lt;=$B202,12*$B$9,-12*$B$8*(1+$B$4)^59))*IF(BI202+IF($B$1+59&lt;=$B202,12*$B$9,-12*$B$8*(1+$B$4)^59)&gt;0,1+$B$3,1))</f>
        <v/>
      </c>
      <c r="BK202">
        <f>IF($B$1+60&gt;90,BJ202,(BJ202+IF($B$1+60&lt;=$B202,12*$B$9,-12*$B$8*(1+$B$4)^60))*IF(BJ202+IF($B$1+60&lt;=$B202,12*$B$9,-12*$B$8*(1+$B$4)^60)&gt;0,1+$B$3,1))</f>
        <v/>
      </c>
      <c r="BL202">
        <f>IF($B$1+61&gt;90,BK202,(BK202+IF($B$1+61&lt;=$B202,12*$B$9,-12*$B$8*(1+$B$4)^61))*IF(BK202+IF($B$1+61&lt;=$B202,12*$B$9,-12*$B$8*(1+$B$4)^61)&gt;0,1+$B$3,1))</f>
        <v/>
      </c>
      <c r="BM202">
        <f>IF($B$1+62&gt;90,BL202,(BL202+IF($B$1+62&lt;=$B202,12*$B$9,-12*$B$8*(1+$B$4)^62))*IF(BL202+IF($B$1+62&lt;=$B202,12*$B$9,-12*$B$8*(1+$B$4)^62)&gt;0,1+$B$3,1))</f>
        <v/>
      </c>
      <c r="BN202">
        <f>IF($B$1+63&gt;90,BM202,(BM202+IF($B$1+63&lt;=$B202,12*$B$9,-12*$B$8*(1+$B$4)^63))*IF(BM202+IF($B$1+63&lt;=$B202,12*$B$9,-12*$B$8*(1+$B$4)^63)&gt;0,1+$B$3,1))</f>
        <v/>
      </c>
      <c r="BO202">
        <f>IF($B$1+64&gt;90,BN202,(BN202+IF($B$1+64&lt;=$B202,12*$B$9,-12*$B$8*(1+$B$4)^64))*IF(BN202+IF($B$1+64&lt;=$B202,12*$B$9,-12*$B$8*(1+$B$4)^64)&gt;0,1+$B$3,1))</f>
        <v/>
      </c>
      <c r="BP202">
        <f>IF($B$1+65&gt;90,BO202,(BO202+IF($B$1+65&lt;=$B202,12*$B$9,-12*$B$8*(1+$B$4)^65))*IF(BO202+IF($B$1+65&lt;=$B202,12*$B$9,-12*$B$8*(1+$B$4)^65)&gt;0,1+$B$3,1))</f>
        <v/>
      </c>
      <c r="BQ202">
        <f>IF($B$1+66&gt;90,BP202,(BP202+IF($B$1+66&lt;=$B202,12*$B$9,-12*$B$8*(1+$B$4)^66))*IF(BP202+IF($B$1+66&lt;=$B202,12*$B$9,-12*$B$8*(1+$B$4)^66)&gt;0,1+$B$3,1))</f>
        <v/>
      </c>
      <c r="BR202">
        <f>IF($B$1+67&gt;90,BQ202,(BQ202+IF($B$1+67&lt;=$B202,12*$B$9,-12*$B$8*(1+$B$4)^67))*IF(BQ202+IF($B$1+67&lt;=$B202,12*$B$9,-12*$B$8*(1+$B$4)^67)&gt;0,1+$B$3,1))</f>
        <v/>
      </c>
      <c r="BS202">
        <f>IF($B$1+68&gt;90,BR202,(BR202+IF($B$1+68&lt;=$B202,12*$B$9,-12*$B$8*(1+$B$4)^68))*IF(BR202+IF($B$1+68&lt;=$B202,12*$B$9,-12*$B$8*(1+$B$4)^68)&gt;0,1+$B$3,1))</f>
        <v/>
      </c>
      <c r="BT202">
        <f>IF($B$1+69&gt;90,BS202,(BS202+IF($B$1+69&lt;=$B202,12*$B$9,-12*$B$8*(1+$B$4)^69))*IF(BS202+IF($B$1+69&lt;=$B202,12*$B$9,-12*$B$8*(1+$B$4)^69)&gt;0,1+$B$3,1))</f>
        <v/>
      </c>
      <c r="BU202">
        <f>IF($B$1+70&gt;90,BT202,(BT202+IF($B$1+70&lt;=$B202,12*$B$9,-12*$B$8*(1+$B$4)^70))*IF(BT202+IF($B$1+70&lt;=$B202,12*$B$9,-12*$B$8*(1+$B$4)^70)&gt;0,1+$B$3,1))</f>
        <v/>
      </c>
      <c r="BV202">
        <f>BU202</f>
        <v/>
      </c>
      <c r="BW202">
        <f>IF(AND($B202&lt;=70,BV202&gt;0),$B202,999)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2026-10-05T09:54:51Z</dcterms:created>
  <dcterms:modified xmlns:dcterms="http://purl.org/dc/terms/" xmlns:xsi="http://www.w3.org/2001/XMLSchema-instance" xsi:type="dcterms:W3CDTF">2026-10-05T09:54:51Z</dcterms:modified>
</cp:coreProperties>
</file>
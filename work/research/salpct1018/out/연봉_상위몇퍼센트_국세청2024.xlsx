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 연봉 넣기" sheetId="1" state="visible" r:id="rId1"/>
    <sheet xmlns:r="http://schemas.openxmlformats.org/officeDocument/2006/relationships" name="주요 구간" sheetId="2" state="visible" r:id="rId2"/>
    <sheet xmlns:r="http://schemas.openxmlformats.org/officeDocument/2006/relationships" name="원자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3" fontId="0" fillId="2" borderId="1" pivotButton="0" quotePrefix="0" xfId="0"/>
    <xf numFmtId="3" fontId="0" fillId="3" borderId="1" pivotButton="0" quotePrefix="0" xfId="0"/>
    <xf numFmtId="0" fontId="3" fillId="0" borderId="0" pivotButton="0" quotePrefix="0" xfId="0"/>
    <xf numFmtId="0" fontId="1" fillId="0" borderId="1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" customWidth="1" min="2" max="2"/>
    <col width="30" customWidth="1" min="3" max="3"/>
    <col width="60" customWidth="1" min="4" max="4"/>
  </cols>
  <sheetData>
    <row r="1">
      <c r="A1" s="1" t="inlineStr">
        <is>
          <t>내 연봉은 상위 몇 % 근처일까</t>
        </is>
      </c>
    </row>
    <row r="2">
      <c r="A2" t="inlineStr">
        <is>
          <t>국세청 2024년 귀속 근로소득 자료(연말정산한 근로자 2,108만명)로 봅니다.</t>
        </is>
      </c>
    </row>
    <row r="4">
      <c r="A4" s="2" t="inlineStr">
        <is>
          <t>① 1년 총급여(만원)</t>
        </is>
      </c>
      <c r="C4" s="3" t="n">
        <v>5000</v>
      </c>
      <c r="D4" t="inlineStr">
        <is>
          <t>← 노란 칸에 숫자만 넣으세요. 원천징수영수증의 「총급여」(비과세 뺀 세전 금액)</t>
        </is>
      </c>
    </row>
    <row r="6">
      <c r="A6" s="2" t="inlineStr">
        <is>
          <t>② 바로 아래 구간</t>
        </is>
      </c>
      <c r="C6" s="4">
        <f>IF(C4&lt;MIN(원자료!$D$4:$D$112),"맨 아래 구간 평균보다 적음",INDEX(원자료!$A$4:$A$112,MATCH(C4,원자료!$D$4:$D$112,1)))</f>
        <v/>
      </c>
    </row>
    <row r="7">
      <c r="A7" t="inlineStr">
        <is>
          <t xml:space="preserve">   그 구간 평균(만원)</t>
        </is>
      </c>
      <c r="C7" s="4">
        <f>IF(C4&lt;MIN(원자료!$D$4:$D$112),"",INDEX(원자료!$D$4:$D$112,MATCH(C4,원자료!$D$4:$D$112,1)))</f>
        <v/>
      </c>
    </row>
    <row r="8">
      <c r="A8" s="2" t="inlineStr">
        <is>
          <t>③ 바로 위 구간</t>
        </is>
      </c>
      <c r="C8" s="4">
        <f>IF(C4&lt;MIN(원자료!$D$4:$D$112),INDEX(원자료!$A$4:$A$112,1),IF(C4&gt;=MAX(원자료!$D$4:$D$112),"위 구간 없음(상위 0.1% 평균 이상)",INDEX(원자료!$A$4:$A$112,MATCH(C4,원자료!$D$4:$D$112,1)+1)))</f>
        <v/>
      </c>
    </row>
    <row r="9">
      <c r="A9" t="inlineStr">
        <is>
          <t xml:space="preserve">   그 구간 평균(만원)</t>
        </is>
      </c>
      <c r="C9" s="4">
        <f>IF(C4&lt;MIN(원자료!$D$4:$D$112),INDEX(원자료!$D$4:$D$112,1),IF(C4&gt;=MAX(원자료!$D$4:$D$112),"",INDEX(원자료!$D$4:$D$112,MATCH(C4,원자료!$D$4:$D$112,1)+1)))</f>
        <v/>
      </c>
    </row>
    <row r="11">
      <c r="A11" s="2" t="inlineStr">
        <is>
          <t>한 줄로</t>
        </is>
      </c>
    </row>
    <row r="12">
      <c r="A12" s="5">
        <f>IF(C4&gt;=MAX(원자료!$D$4:$D$112),"총급여 "&amp;TEXT(C4,"#,##0")&amp;"만원은 상위 0.1% 구간 평균("&amp;TEXT(MAX(원자료!$D$4:$D$112),"#,##0")&amp;"만원)과 같거나 많아요.",IF(C4&lt;MIN(원자료!$D$4:$D$112),"총급여 "&amp;TEXT(C4,"#,##0")&amp;"만원은 맨 아래 구간 평균("&amp;TEXT(MIN(원자료!$D$4:$D$112),"#,##0")&amp;"만원)보다 적어요.","총급여 "&amp;TEXT(C4,"#,##0")&amp;"만원은 「"&amp;C6&amp;"」 구간 평균("&amp;TEXT(C7,"#,##0")&amp;"만원)과 「"&amp;C8&amp;"」 구간 평균("&amp;TEXT(C9,"#,##0")&amp;"만원) 사이예요."))</f>
        <v/>
      </c>
    </row>
    <row r="14">
      <c r="A14" s="2" t="inlineStr">
        <is>
          <t>읽는 법</t>
        </is>
      </c>
    </row>
    <row r="15">
      <c r="A15" t="inlineStr">
        <is>
          <t>· 국세청 자료는 구간마다 「합계」만 있어요. 그래서 정확한 경계값(상위 10%가 몇 만원부터인지)은 못 짚고, 두 구간 평균 사이로만 말합니다.</t>
        </is>
      </c>
    </row>
    <row r="16">
      <c r="A16" t="inlineStr">
        <is>
          <t>· 예) 「상위 10%」 구간 = 위에서 9%와 10% 사이에 있는 약 21만명입니다. 「상위 10%」 구간 평균보다 많으면 위에서 10% 안쪽일 가능성이 큽니다.</t>
        </is>
      </c>
    </row>
    <row r="17">
      <c r="A17" t="inlineStr">
        <is>
          <t>· 연말정산 자료라 중간에 입사·퇴사한 사람도 들어 있어요. 맨 아래 1% 구간 평균은 21만원입니다.</t>
        </is>
      </c>
    </row>
    <row r="18">
      <c r="A18" t="inlineStr">
        <is>
          <t>· 총급여는 비과세(식대 등)를 뺀 세전 금액입니다. 사업·임대·금융 소득은 들어 있지 않아요.</t>
        </is>
      </c>
    </row>
    <row r="19">
      <c r="A19" t="inlineStr">
        <is>
          <t>· 2024년 한 해(2025년 연말정산) 자료입니다. 다음 해 자료가 나오면 원자료 시트만 바꾸면 됩니다.</t>
        </is>
      </c>
    </row>
    <row r="20">
      <c r="A20" t="inlineStr">
        <is>
          <t>· 투자·이직 권유가 아닙니다. 공개 통계로 내 위치를 보는 표입니다.</t>
        </is>
      </c>
    </row>
    <row r="22">
      <c r="A22" t="inlineStr">
        <is>
          <t>출처: 국세청 근로소득 백분위(천분위) 자료, 공공데이터포털 https://www.data.go.kr/data/15082063/fileData.do</t>
        </is>
      </c>
    </row>
    <row r="23">
      <c r="A23" t="inlineStr">
        <is>
          <t>만든 곳: 파이어맵 카페(cafe.naver.com/firemap) · 검산 기록은 카페 글에 있습니다.</t>
        </is>
      </c>
    </row>
  </sheetData>
  <dataValidations count="1">
    <dataValidation sqref="C4" showDropDown="0" showInputMessage="0" showErrorMessage="0" allowBlank="0" error="0 이상 숫자(만원)만 넣을 수 있어요" type="decimal" operator="between">
      <formula1>0</formula1>
      <formula2>10000000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</cols>
  <sheetData>
    <row r="1">
      <c r="A1" s="1" t="inlineStr">
        <is>
          <t>주요 구간 평균 총급여(만원)</t>
        </is>
      </c>
    </row>
    <row r="3">
      <c r="A3" s="6" t="inlineStr">
        <is>
          <t>구간</t>
        </is>
      </c>
      <c r="B3" s="6" t="inlineStr">
        <is>
          <t>구간 평균(만원)</t>
        </is>
      </c>
      <c r="C3" s="6" t="inlineStr">
        <is>
          <t>뜻</t>
        </is>
      </c>
    </row>
    <row r="4">
      <c r="A4" t="inlineStr">
        <is>
          <t>상위 0.1%</t>
        </is>
      </c>
      <c r="B4" s="7">
        <f>원자료!D112</f>
        <v/>
      </c>
      <c r="C4" t="inlineStr">
        <is>
          <t>위에서 0.1% 언저리 사람들의 평균</t>
        </is>
      </c>
    </row>
    <row r="5">
      <c r="A5" t="inlineStr">
        <is>
          <t>상위 1.0%</t>
        </is>
      </c>
      <c r="B5" s="7">
        <f>원자료!D103</f>
        <v/>
      </c>
      <c r="C5" t="inlineStr">
        <is>
          <t>위에서 1.0% 언저리 사람들의 평균</t>
        </is>
      </c>
    </row>
    <row r="6">
      <c r="A6" t="inlineStr">
        <is>
          <t>상위 5%</t>
        </is>
      </c>
      <c r="B6" s="7">
        <f>원자료!D99</f>
        <v/>
      </c>
      <c r="C6" t="inlineStr">
        <is>
          <t>위에서 5% 언저리 사람들의 평균</t>
        </is>
      </c>
    </row>
    <row r="7">
      <c r="A7" t="inlineStr">
        <is>
          <t>상위 10%</t>
        </is>
      </c>
      <c r="B7" s="7">
        <f>원자료!D94</f>
        <v/>
      </c>
      <c r="C7" t="inlineStr">
        <is>
          <t>위에서 10% 언저리 사람들의 평균</t>
        </is>
      </c>
    </row>
    <row r="8">
      <c r="A8" t="inlineStr">
        <is>
          <t>상위 20%</t>
        </is>
      </c>
      <c r="B8" s="7">
        <f>원자료!D84</f>
        <v/>
      </c>
      <c r="C8" t="inlineStr">
        <is>
          <t>위에서 20% 언저리 사람들의 평균</t>
        </is>
      </c>
    </row>
    <row r="9">
      <c r="A9" t="inlineStr">
        <is>
          <t>상위 30%</t>
        </is>
      </c>
      <c r="B9" s="7">
        <f>원자료!D74</f>
        <v/>
      </c>
      <c r="C9" t="inlineStr">
        <is>
          <t>위에서 30% 언저리 사람들의 평균</t>
        </is>
      </c>
    </row>
    <row r="10">
      <c r="A10" t="inlineStr">
        <is>
          <t>상위 50%</t>
        </is>
      </c>
      <c r="B10" s="7">
        <f>원자료!D54</f>
        <v/>
      </c>
      <c r="C10" t="inlineStr">
        <is>
          <t>위에서 50% 언저리 사람들의 평균</t>
        </is>
      </c>
    </row>
    <row r="11">
      <c r="A11" t="inlineStr">
        <is>
          <t>상위 51%</t>
        </is>
      </c>
      <c r="B11" s="7">
        <f>원자료!D53</f>
        <v/>
      </c>
      <c r="C11" t="inlineStr">
        <is>
          <t>위에서 51% 언저리 사람들의 평균</t>
        </is>
      </c>
    </row>
    <row r="12">
      <c r="A12" t="inlineStr">
        <is>
          <t>상위 70%</t>
        </is>
      </c>
      <c r="B12" s="7">
        <f>원자료!D34</f>
        <v/>
      </c>
      <c r="C12" t="inlineStr">
        <is>
          <t>위에서 70% 언저리 사람들의 평균</t>
        </is>
      </c>
    </row>
    <row r="13">
      <c r="A13" t="inlineStr">
        <is>
          <t>상위 90%</t>
        </is>
      </c>
      <c r="B13" s="7">
        <f>원자료!D14</f>
        <v/>
      </c>
      <c r="C13" t="inlineStr">
        <is>
          <t>위에서 90% 언저리 사람들의 평균</t>
        </is>
      </c>
    </row>
    <row r="15">
      <c r="A15" t="inlineStr">
        <is>
          <t>「상위 50%」·「상위 51%」 두 구간 평균 사이가 한가운데(중간) 근처입니다.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28" customWidth="1" min="5" max="5"/>
  </cols>
  <sheetData>
    <row r="1">
      <c r="A1" t="inlineStr">
        <is>
          <t>국세청 근로소득 백분위(천분위) 자료 · 2024년 귀속(2025년 연말정산) · 공공데이터포털 15082063(수정 2026-05-08)</t>
        </is>
      </c>
    </row>
    <row r="2">
      <c r="A2" t="inlineStr">
        <is>
          <t>https://www.data.go.kr/data/15082063/fileData.do</t>
        </is>
      </c>
    </row>
    <row r="3">
      <c r="A3" s="6" t="inlineStr">
        <is>
          <t>구간</t>
        </is>
      </c>
      <c r="B3" s="6" t="inlineStr">
        <is>
          <t>인원(명)</t>
        </is>
      </c>
      <c r="C3" s="6" t="inlineStr">
        <is>
          <t>총급여 합계(억원)</t>
        </is>
      </c>
      <c r="D3" s="6" t="inlineStr">
        <is>
          <t>구간 평균 총급여(만원)</t>
        </is>
      </c>
      <c r="E3" s="6" t="inlineStr">
        <is>
          <t>이 구간보다 위에 있는 사람 비율</t>
        </is>
      </c>
    </row>
    <row r="4">
      <c r="A4" t="inlineStr">
        <is>
          <t>상위 100%</t>
        </is>
      </c>
      <c r="B4" s="7" t="n">
        <v>210786</v>
      </c>
      <c r="C4" s="7" t="n">
        <v>450</v>
      </c>
      <c r="D4" s="7">
        <f>ROUND(C4*10000/B4,0)</f>
        <v/>
      </c>
      <c r="E4" s="8">
        <f>SUM(B5:B113)/SUM($B$4:$B$112)</f>
        <v/>
      </c>
    </row>
    <row r="5">
      <c r="A5" t="inlineStr">
        <is>
          <t>상위 99%</t>
        </is>
      </c>
      <c r="B5" s="7" t="n">
        <v>210785</v>
      </c>
      <c r="C5" s="7" t="n">
        <v>1932</v>
      </c>
      <c r="D5" s="7">
        <f>ROUND(C5*10000/B5,0)</f>
        <v/>
      </c>
      <c r="E5" s="8">
        <f>SUM(B6:B113)/SUM($B$4:$B$112)</f>
        <v/>
      </c>
    </row>
    <row r="6">
      <c r="A6" t="inlineStr">
        <is>
          <t>상위 98%</t>
        </is>
      </c>
      <c r="B6" s="7" t="n">
        <v>210786</v>
      </c>
      <c r="C6" s="7" t="n">
        <v>3480</v>
      </c>
      <c r="D6" s="7">
        <f>ROUND(C6*10000/B6,0)</f>
        <v/>
      </c>
      <c r="E6" s="8">
        <f>SUM(B7:B113)/SUM($B$4:$B$112)</f>
        <v/>
      </c>
    </row>
    <row r="7">
      <c r="A7" t="inlineStr">
        <is>
          <t>상위 97%</t>
        </is>
      </c>
      <c r="B7" s="7" t="n">
        <v>210785</v>
      </c>
      <c r="C7" s="7" t="n">
        <v>4876</v>
      </c>
      <c r="D7" s="7">
        <f>ROUND(C7*10000/B7,0)</f>
        <v/>
      </c>
      <c r="E7" s="8">
        <f>SUM(B8:B113)/SUM($B$4:$B$112)</f>
        <v/>
      </c>
    </row>
    <row r="8">
      <c r="A8" t="inlineStr">
        <is>
          <t>상위 96%</t>
        </is>
      </c>
      <c r="B8" s="7" t="n">
        <v>210785</v>
      </c>
      <c r="C8" s="7" t="n">
        <v>6429</v>
      </c>
      <c r="D8" s="7">
        <f>ROUND(C8*10000/B8,0)</f>
        <v/>
      </c>
      <c r="E8" s="8">
        <f>SUM(B9:B113)/SUM($B$4:$B$112)</f>
        <v/>
      </c>
    </row>
    <row r="9">
      <c r="A9" t="inlineStr">
        <is>
          <t>상위 95%</t>
        </is>
      </c>
      <c r="B9" s="7" t="n">
        <v>210786</v>
      </c>
      <c r="C9" s="7" t="n">
        <v>8088</v>
      </c>
      <c r="D9" s="7">
        <f>ROUND(C9*10000/B9,0)</f>
        <v/>
      </c>
      <c r="E9" s="8">
        <f>SUM(B10:B113)/SUM($B$4:$B$112)</f>
        <v/>
      </c>
    </row>
    <row r="10">
      <c r="A10" t="inlineStr">
        <is>
          <t>상위 94%</t>
        </is>
      </c>
      <c r="B10" s="7" t="n">
        <v>210785</v>
      </c>
      <c r="C10" s="7" t="n">
        <v>9613</v>
      </c>
      <c r="D10" s="7">
        <f>ROUND(C10*10000/B10,0)</f>
        <v/>
      </c>
      <c r="E10" s="8">
        <f>SUM(B11:B113)/SUM($B$4:$B$112)</f>
        <v/>
      </c>
    </row>
    <row r="11">
      <c r="A11" t="inlineStr">
        <is>
          <t>상위 93%</t>
        </is>
      </c>
      <c r="B11" s="7" t="n">
        <v>210785</v>
      </c>
      <c r="C11" s="7" t="n">
        <v>11291</v>
      </c>
      <c r="D11" s="7">
        <f>ROUND(C11*10000/B11,0)</f>
        <v/>
      </c>
      <c r="E11" s="8">
        <f>SUM(B12:B113)/SUM($B$4:$B$112)</f>
        <v/>
      </c>
    </row>
    <row r="12">
      <c r="A12" t="inlineStr">
        <is>
          <t>상위 92%</t>
        </is>
      </c>
      <c r="B12" s="7" t="n">
        <v>210786</v>
      </c>
      <c r="C12" s="7" t="n">
        <v>12983</v>
      </c>
      <c r="D12" s="7">
        <f>ROUND(C12*10000/B12,0)</f>
        <v/>
      </c>
      <c r="E12" s="8">
        <f>SUM(B13:B113)/SUM($B$4:$B$112)</f>
        <v/>
      </c>
    </row>
    <row r="13">
      <c r="A13" t="inlineStr">
        <is>
          <t>상위 91%</t>
        </is>
      </c>
      <c r="B13" s="7" t="n">
        <v>210785</v>
      </c>
      <c r="C13" s="7" t="n">
        <v>14618</v>
      </c>
      <c r="D13" s="7">
        <f>ROUND(C13*10000/B13,0)</f>
        <v/>
      </c>
      <c r="E13" s="8">
        <f>SUM(B14:B113)/SUM($B$4:$B$112)</f>
        <v/>
      </c>
    </row>
    <row r="14">
      <c r="A14" t="inlineStr">
        <is>
          <t>상위 90%</t>
        </is>
      </c>
      <c r="B14" s="7" t="n">
        <v>210785</v>
      </c>
      <c r="C14" s="7" t="n">
        <v>16165</v>
      </c>
      <c r="D14" s="7">
        <f>ROUND(C14*10000/B14,0)</f>
        <v/>
      </c>
      <c r="E14" s="8">
        <f>SUM(B15:B113)/SUM($B$4:$B$112)</f>
        <v/>
      </c>
    </row>
    <row r="15">
      <c r="A15" t="inlineStr">
        <is>
          <t>상위 89%</t>
        </is>
      </c>
      <c r="B15" s="7" t="n">
        <v>210786</v>
      </c>
      <c r="C15" s="7" t="n">
        <v>17446</v>
      </c>
      <c r="D15" s="7">
        <f>ROUND(C15*10000/B15,0)</f>
        <v/>
      </c>
      <c r="E15" s="8">
        <f>SUM(B16:B113)/SUM($B$4:$B$112)</f>
        <v/>
      </c>
    </row>
    <row r="16">
      <c r="A16" t="inlineStr">
        <is>
          <t>상위 88%</t>
        </is>
      </c>
      <c r="B16" s="7" t="n">
        <v>210785</v>
      </c>
      <c r="C16" s="7" t="n">
        <v>19255</v>
      </c>
      <c r="D16" s="7">
        <f>ROUND(C16*10000/B16,0)</f>
        <v/>
      </c>
      <c r="E16" s="8">
        <f>SUM(B17:B113)/SUM($B$4:$B$112)</f>
        <v/>
      </c>
    </row>
    <row r="17">
      <c r="A17" t="inlineStr">
        <is>
          <t>상위 87%</t>
        </is>
      </c>
      <c r="B17" s="7" t="n">
        <v>210785</v>
      </c>
      <c r="C17" s="7" t="n">
        <v>20942</v>
      </c>
      <c r="D17" s="7">
        <f>ROUND(C17*10000/B17,0)</f>
        <v/>
      </c>
      <c r="E17" s="8">
        <f>SUM(B18:B113)/SUM($B$4:$B$112)</f>
        <v/>
      </c>
    </row>
    <row r="18">
      <c r="A18" t="inlineStr">
        <is>
          <t>상위 86%</t>
        </is>
      </c>
      <c r="B18" s="7" t="n">
        <v>210786</v>
      </c>
      <c r="C18" s="7" t="n">
        <v>22734</v>
      </c>
      <c r="D18" s="7">
        <f>ROUND(C18*10000/B18,0)</f>
        <v/>
      </c>
      <c r="E18" s="8">
        <f>SUM(B19:B113)/SUM($B$4:$B$112)</f>
        <v/>
      </c>
    </row>
    <row r="19">
      <c r="A19" t="inlineStr">
        <is>
          <t>상위 85%</t>
        </is>
      </c>
      <c r="B19" s="7" t="n">
        <v>210785</v>
      </c>
      <c r="C19" s="7" t="n">
        <v>24654</v>
      </c>
      <c r="D19" s="7">
        <f>ROUND(C19*10000/B19,0)</f>
        <v/>
      </c>
      <c r="E19" s="8">
        <f>SUM(B20:B113)/SUM($B$4:$B$112)</f>
        <v/>
      </c>
    </row>
    <row r="20">
      <c r="A20" t="inlineStr">
        <is>
          <t>상위 84%</t>
        </is>
      </c>
      <c r="B20" s="7" t="n">
        <v>210785</v>
      </c>
      <c r="C20" s="7" t="n">
        <v>26056</v>
      </c>
      <c r="D20" s="7">
        <f>ROUND(C20*10000/B20,0)</f>
        <v/>
      </c>
      <c r="E20" s="8">
        <f>SUM(B21:B113)/SUM($B$4:$B$112)</f>
        <v/>
      </c>
    </row>
    <row r="21">
      <c r="A21" t="inlineStr">
        <is>
          <t>상위 83%</t>
        </is>
      </c>
      <c r="B21" s="7" t="n">
        <v>210786</v>
      </c>
      <c r="C21" s="7" t="n">
        <v>27814</v>
      </c>
      <c r="D21" s="7">
        <f>ROUND(C21*10000/B21,0)</f>
        <v/>
      </c>
      <c r="E21" s="8">
        <f>SUM(B22:B113)/SUM($B$4:$B$112)</f>
        <v/>
      </c>
    </row>
    <row r="22">
      <c r="A22" t="inlineStr">
        <is>
          <t>상위 82%</t>
        </is>
      </c>
      <c r="B22" s="7" t="n">
        <v>210785</v>
      </c>
      <c r="C22" s="7" t="n">
        <v>29762</v>
      </c>
      <c r="D22" s="7">
        <f>ROUND(C22*10000/B22,0)</f>
        <v/>
      </c>
      <c r="E22" s="8">
        <f>SUM(B23:B113)/SUM($B$4:$B$112)</f>
        <v/>
      </c>
    </row>
    <row r="23">
      <c r="A23" t="inlineStr">
        <is>
          <t>상위 81%</t>
        </is>
      </c>
      <c r="B23" s="7" t="n">
        <v>210785</v>
      </c>
      <c r="C23" s="7" t="n">
        <v>31593</v>
      </c>
      <c r="D23" s="7">
        <f>ROUND(C23*10000/B23,0)</f>
        <v/>
      </c>
      <c r="E23" s="8">
        <f>SUM(B24:B113)/SUM($B$4:$B$112)</f>
        <v/>
      </c>
    </row>
    <row r="24">
      <c r="A24" t="inlineStr">
        <is>
          <t>상위 80%</t>
        </is>
      </c>
      <c r="B24" s="7" t="n">
        <v>210786</v>
      </c>
      <c r="C24" s="7" t="n">
        <v>33380</v>
      </c>
      <c r="D24" s="7">
        <f>ROUND(C24*10000/B24,0)</f>
        <v/>
      </c>
      <c r="E24" s="8">
        <f>SUM(B25:B113)/SUM($B$4:$B$112)</f>
        <v/>
      </c>
    </row>
    <row r="25">
      <c r="A25" t="inlineStr">
        <is>
          <t>상위 79%</t>
        </is>
      </c>
      <c r="B25" s="7" t="n">
        <v>210785</v>
      </c>
      <c r="C25" s="7" t="n">
        <v>35230</v>
      </c>
      <c r="D25" s="7">
        <f>ROUND(C25*10000/B25,0)</f>
        <v/>
      </c>
      <c r="E25" s="8">
        <f>SUM(B26:B113)/SUM($B$4:$B$112)</f>
        <v/>
      </c>
    </row>
    <row r="26">
      <c r="A26" t="inlineStr">
        <is>
          <t>상위 78%</t>
        </is>
      </c>
      <c r="B26" s="7" t="n">
        <v>210786</v>
      </c>
      <c r="C26" s="7" t="n">
        <v>37171</v>
      </c>
      <c r="D26" s="7">
        <f>ROUND(C26*10000/B26,0)</f>
        <v/>
      </c>
      <c r="E26" s="8">
        <f>SUM(B27:B113)/SUM($B$4:$B$112)</f>
        <v/>
      </c>
    </row>
    <row r="27">
      <c r="A27" t="inlineStr">
        <is>
          <t>상위 77%</t>
        </is>
      </c>
      <c r="B27" s="7" t="n">
        <v>210785</v>
      </c>
      <c r="C27" s="7" t="n">
        <v>38743</v>
      </c>
      <c r="D27" s="7">
        <f>ROUND(C27*10000/B27,0)</f>
        <v/>
      </c>
      <c r="E27" s="8">
        <f>SUM(B28:B113)/SUM($B$4:$B$112)</f>
        <v/>
      </c>
    </row>
    <row r="28">
      <c r="A28" t="inlineStr">
        <is>
          <t>상위 76%</t>
        </is>
      </c>
      <c r="B28" s="7" t="n">
        <v>210785</v>
      </c>
      <c r="C28" s="7" t="n">
        <v>40523</v>
      </c>
      <c r="D28" s="7">
        <f>ROUND(C28*10000/B28,0)</f>
        <v/>
      </c>
      <c r="E28" s="8">
        <f>SUM(B29:B113)/SUM($B$4:$B$112)</f>
        <v/>
      </c>
    </row>
    <row r="29">
      <c r="A29" t="inlineStr">
        <is>
          <t>상위 75%</t>
        </is>
      </c>
      <c r="B29" s="7" t="n">
        <v>210786</v>
      </c>
      <c r="C29" s="7" t="n">
        <v>42336</v>
      </c>
      <c r="D29" s="7">
        <f>ROUND(C29*10000/B29,0)</f>
        <v/>
      </c>
      <c r="E29" s="8">
        <f>SUM(B30:B113)/SUM($B$4:$B$112)</f>
        <v/>
      </c>
    </row>
    <row r="30">
      <c r="A30" t="inlineStr">
        <is>
          <t>상위 74%</t>
        </is>
      </c>
      <c r="B30" s="7" t="n">
        <v>210785</v>
      </c>
      <c r="C30" s="7" t="n">
        <v>44044</v>
      </c>
      <c r="D30" s="7">
        <f>ROUND(C30*10000/B30,0)</f>
        <v/>
      </c>
      <c r="E30" s="8">
        <f>SUM(B31:B113)/SUM($B$4:$B$112)</f>
        <v/>
      </c>
    </row>
    <row r="31">
      <c r="A31" t="inlineStr">
        <is>
          <t>상위 73%</t>
        </is>
      </c>
      <c r="B31" s="7" t="n">
        <v>210785</v>
      </c>
      <c r="C31" s="7" t="n">
        <v>45689</v>
      </c>
      <c r="D31" s="7">
        <f>ROUND(C31*10000/B31,0)</f>
        <v/>
      </c>
      <c r="E31" s="8">
        <f>SUM(B32:B113)/SUM($B$4:$B$112)</f>
        <v/>
      </c>
    </row>
    <row r="32">
      <c r="A32" t="inlineStr">
        <is>
          <t>상위 72%</t>
        </is>
      </c>
      <c r="B32" s="7" t="n">
        <v>210786</v>
      </c>
      <c r="C32" s="7" t="n">
        <v>47284</v>
      </c>
      <c r="D32" s="7">
        <f>ROUND(C32*10000/B32,0)</f>
        <v/>
      </c>
      <c r="E32" s="8">
        <f>SUM(B33:B113)/SUM($B$4:$B$112)</f>
        <v/>
      </c>
    </row>
    <row r="33">
      <c r="A33" t="inlineStr">
        <is>
          <t>상위 71%</t>
        </is>
      </c>
      <c r="B33" s="7" t="n">
        <v>210785</v>
      </c>
      <c r="C33" s="7" t="n">
        <v>48716</v>
      </c>
      <c r="D33" s="7">
        <f>ROUND(C33*10000/B33,0)</f>
        <v/>
      </c>
      <c r="E33" s="8">
        <f>SUM(B34:B113)/SUM($B$4:$B$112)</f>
        <v/>
      </c>
    </row>
    <row r="34">
      <c r="A34" t="inlineStr">
        <is>
          <t>상위 70%</t>
        </is>
      </c>
      <c r="B34" s="7" t="n">
        <v>210785</v>
      </c>
      <c r="C34" s="7" t="n">
        <v>50259</v>
      </c>
      <c r="D34" s="7">
        <f>ROUND(C34*10000/B34,0)</f>
        <v/>
      </c>
      <c r="E34" s="8">
        <f>SUM(B35:B113)/SUM($B$4:$B$112)</f>
        <v/>
      </c>
    </row>
    <row r="35">
      <c r="A35" t="inlineStr">
        <is>
          <t>상위 69%</t>
        </is>
      </c>
      <c r="B35" s="7" t="n">
        <v>210786</v>
      </c>
      <c r="C35" s="7" t="n">
        <v>51212</v>
      </c>
      <c r="D35" s="7">
        <f>ROUND(C35*10000/B35,0)</f>
        <v/>
      </c>
      <c r="E35" s="8">
        <f>SUM(B36:B113)/SUM($B$4:$B$112)</f>
        <v/>
      </c>
    </row>
    <row r="36">
      <c r="A36" t="inlineStr">
        <is>
          <t>상위 68%</t>
        </is>
      </c>
      <c r="B36" s="7" t="n">
        <v>210785</v>
      </c>
      <c r="C36" s="7" t="n">
        <v>52159</v>
      </c>
      <c r="D36" s="7">
        <f>ROUND(C36*10000/B36,0)</f>
        <v/>
      </c>
      <c r="E36" s="8">
        <f>SUM(B37:B113)/SUM($B$4:$B$112)</f>
        <v/>
      </c>
    </row>
    <row r="37">
      <c r="A37" t="inlineStr">
        <is>
          <t>상위 67%</t>
        </is>
      </c>
      <c r="B37" s="7" t="n">
        <v>210785</v>
      </c>
      <c r="C37" s="7" t="n">
        <v>52864</v>
      </c>
      <c r="D37" s="7">
        <f>ROUND(C37*10000/B37,0)</f>
        <v/>
      </c>
      <c r="E37" s="8">
        <f>SUM(B38:B113)/SUM($B$4:$B$112)</f>
        <v/>
      </c>
    </row>
    <row r="38">
      <c r="A38" t="inlineStr">
        <is>
          <t>상위 66%</t>
        </is>
      </c>
      <c r="B38" s="7" t="n">
        <v>210786</v>
      </c>
      <c r="C38" s="7" t="n">
        <v>53596</v>
      </c>
      <c r="D38" s="7">
        <f>ROUND(C38*10000/B38,0)</f>
        <v/>
      </c>
      <c r="E38" s="8">
        <f>SUM(B39:B113)/SUM($B$4:$B$112)</f>
        <v/>
      </c>
    </row>
    <row r="39">
      <c r="A39" t="inlineStr">
        <is>
          <t>상위 65%</t>
        </is>
      </c>
      <c r="B39" s="7" t="n">
        <v>210785</v>
      </c>
      <c r="C39" s="7" t="n">
        <v>54740</v>
      </c>
      <c r="D39" s="7">
        <f>ROUND(C39*10000/B39,0)</f>
        <v/>
      </c>
      <c r="E39" s="8">
        <f>SUM(B40:B113)/SUM($B$4:$B$112)</f>
        <v/>
      </c>
    </row>
    <row r="40">
      <c r="A40" t="inlineStr">
        <is>
          <t>상위 64%</t>
        </is>
      </c>
      <c r="B40" s="7" t="n">
        <v>210785</v>
      </c>
      <c r="C40" s="7" t="n">
        <v>55752</v>
      </c>
      <c r="D40" s="7">
        <f>ROUND(C40*10000/B40,0)</f>
        <v/>
      </c>
      <c r="E40" s="8">
        <f>SUM(B41:B113)/SUM($B$4:$B$112)</f>
        <v/>
      </c>
    </row>
    <row r="41">
      <c r="A41" t="inlineStr">
        <is>
          <t>상위 63%</t>
        </is>
      </c>
      <c r="B41" s="7" t="n">
        <v>210786</v>
      </c>
      <c r="C41" s="7" t="n">
        <v>56836</v>
      </c>
      <c r="D41" s="7">
        <f>ROUND(C41*10000/B41,0)</f>
        <v/>
      </c>
      <c r="E41" s="8">
        <f>SUM(B42:B113)/SUM($B$4:$B$112)</f>
        <v/>
      </c>
    </row>
    <row r="42">
      <c r="A42" t="inlineStr">
        <is>
          <t>상위 62%</t>
        </is>
      </c>
      <c r="B42" s="7" t="n">
        <v>210785</v>
      </c>
      <c r="C42" s="7" t="n">
        <v>57951</v>
      </c>
      <c r="D42" s="7">
        <f>ROUND(C42*10000/B42,0)</f>
        <v/>
      </c>
      <c r="E42" s="8">
        <f>SUM(B43:B113)/SUM($B$4:$B$112)</f>
        <v/>
      </c>
    </row>
    <row r="43">
      <c r="A43" t="inlineStr">
        <is>
          <t>상위 61%</t>
        </is>
      </c>
      <c r="B43" s="7" t="n">
        <v>210785</v>
      </c>
      <c r="C43" s="7" t="n">
        <v>58958</v>
      </c>
      <c r="D43" s="7">
        <f>ROUND(C43*10000/B43,0)</f>
        <v/>
      </c>
      <c r="E43" s="8">
        <f>SUM(B44:B113)/SUM($B$4:$B$112)</f>
        <v/>
      </c>
    </row>
    <row r="44">
      <c r="A44" t="inlineStr">
        <is>
          <t>상위 60%</t>
        </is>
      </c>
      <c r="B44" s="7" t="n">
        <v>210786</v>
      </c>
      <c r="C44" s="7" t="n">
        <v>60140</v>
      </c>
      <c r="D44" s="7">
        <f>ROUND(C44*10000/B44,0)</f>
        <v/>
      </c>
      <c r="E44" s="8">
        <f>SUM(B45:B113)/SUM($B$4:$B$112)</f>
        <v/>
      </c>
    </row>
    <row r="45">
      <c r="A45" t="inlineStr">
        <is>
          <t>상위 59%</t>
        </is>
      </c>
      <c r="B45" s="7" t="n">
        <v>210785</v>
      </c>
      <c r="C45" s="7" t="n">
        <v>61230</v>
      </c>
      <c r="D45" s="7">
        <f>ROUND(C45*10000/B45,0)</f>
        <v/>
      </c>
      <c r="E45" s="8">
        <f>SUM(B46:B113)/SUM($B$4:$B$112)</f>
        <v/>
      </c>
    </row>
    <row r="46">
      <c r="A46" t="inlineStr">
        <is>
          <t>상위 58%</t>
        </is>
      </c>
      <c r="B46" s="7" t="n">
        <v>210786</v>
      </c>
      <c r="C46" s="7" t="n">
        <v>62467</v>
      </c>
      <c r="D46" s="7">
        <f>ROUND(C46*10000/B46,0)</f>
        <v/>
      </c>
      <c r="E46" s="8">
        <f>SUM(B47:B113)/SUM($B$4:$B$112)</f>
        <v/>
      </c>
    </row>
    <row r="47">
      <c r="A47" t="inlineStr">
        <is>
          <t>상위 57%</t>
        </is>
      </c>
      <c r="B47" s="7" t="n">
        <v>210785</v>
      </c>
      <c r="C47" s="7" t="n">
        <v>63426</v>
      </c>
      <c r="D47" s="7">
        <f>ROUND(C47*10000/B47,0)</f>
        <v/>
      </c>
      <c r="E47" s="8">
        <f>SUM(B48:B113)/SUM($B$4:$B$112)</f>
        <v/>
      </c>
    </row>
    <row r="48">
      <c r="A48" t="inlineStr">
        <is>
          <t>상위 56%</t>
        </is>
      </c>
      <c r="B48" s="7" t="n">
        <v>210785</v>
      </c>
      <c r="C48" s="7" t="n">
        <v>64575</v>
      </c>
      <c r="D48" s="7">
        <f>ROUND(C48*10000/B48,0)</f>
        <v/>
      </c>
      <c r="E48" s="8">
        <f>SUM(B49:B113)/SUM($B$4:$B$112)</f>
        <v/>
      </c>
    </row>
    <row r="49">
      <c r="A49" t="inlineStr">
        <is>
          <t>상위 55%</t>
        </is>
      </c>
      <c r="B49" s="7" t="n">
        <v>210786</v>
      </c>
      <c r="C49" s="7" t="n">
        <v>65782</v>
      </c>
      <c r="D49" s="7">
        <f>ROUND(C49*10000/B49,0)</f>
        <v/>
      </c>
      <c r="E49" s="8">
        <f>SUM(B50:B113)/SUM($B$4:$B$112)</f>
        <v/>
      </c>
    </row>
    <row r="50">
      <c r="A50" t="inlineStr">
        <is>
          <t>상위 54%</t>
        </is>
      </c>
      <c r="B50" s="7" t="n">
        <v>210785</v>
      </c>
      <c r="C50" s="7" t="n">
        <v>67008</v>
      </c>
      <c r="D50" s="7">
        <f>ROUND(C50*10000/B50,0)</f>
        <v/>
      </c>
      <c r="E50" s="8">
        <f>SUM(B51:B113)/SUM($B$4:$B$112)</f>
        <v/>
      </c>
    </row>
    <row r="51">
      <c r="A51" t="inlineStr">
        <is>
          <t>상위 53%</t>
        </is>
      </c>
      <c r="B51" s="7" t="n">
        <v>210785</v>
      </c>
      <c r="C51" s="7" t="n">
        <v>68265</v>
      </c>
      <c r="D51" s="7">
        <f>ROUND(C51*10000/B51,0)</f>
        <v/>
      </c>
      <c r="E51" s="8">
        <f>SUM(B52:B113)/SUM($B$4:$B$112)</f>
        <v/>
      </c>
    </row>
    <row r="52">
      <c r="A52" t="inlineStr">
        <is>
          <t>상위 52%</t>
        </is>
      </c>
      <c r="B52" s="7" t="n">
        <v>210786</v>
      </c>
      <c r="C52" s="7" t="n">
        <v>69529</v>
      </c>
      <c r="D52" s="7">
        <f>ROUND(C52*10000/B52,0)</f>
        <v/>
      </c>
      <c r="E52" s="8">
        <f>SUM(B53:B113)/SUM($B$4:$B$112)</f>
        <v/>
      </c>
    </row>
    <row r="53">
      <c r="A53" t="inlineStr">
        <is>
          <t>상위 51%</t>
        </is>
      </c>
      <c r="B53" s="7" t="n">
        <v>210785</v>
      </c>
      <c r="C53" s="7" t="n">
        <v>70785</v>
      </c>
      <c r="D53" s="7">
        <f>ROUND(C53*10000/B53,0)</f>
        <v/>
      </c>
      <c r="E53" s="8">
        <f>SUM(B54:B113)/SUM($B$4:$B$112)</f>
        <v/>
      </c>
    </row>
    <row r="54">
      <c r="A54" t="inlineStr">
        <is>
          <t>상위 50%</t>
        </is>
      </c>
      <c r="B54" s="7" t="n">
        <v>210785</v>
      </c>
      <c r="C54" s="7" t="n">
        <v>72021</v>
      </c>
      <c r="D54" s="7">
        <f>ROUND(C54*10000/B54,0)</f>
        <v/>
      </c>
      <c r="E54" s="8">
        <f>SUM(B55:B113)/SUM($B$4:$B$112)</f>
        <v/>
      </c>
    </row>
    <row r="55">
      <c r="A55" t="inlineStr">
        <is>
          <t>상위 49%</t>
        </is>
      </c>
      <c r="B55" s="7" t="n">
        <v>210786</v>
      </c>
      <c r="C55" s="7" t="n">
        <v>73343</v>
      </c>
      <c r="D55" s="7">
        <f>ROUND(C55*10000/B55,0)</f>
        <v/>
      </c>
      <c r="E55" s="8">
        <f>SUM(B56:B113)/SUM($B$4:$B$112)</f>
        <v/>
      </c>
    </row>
    <row r="56">
      <c r="A56" t="inlineStr">
        <is>
          <t>상위 48%</t>
        </is>
      </c>
      <c r="B56" s="7" t="n">
        <v>210785</v>
      </c>
      <c r="C56" s="7" t="n">
        <v>74676</v>
      </c>
      <c r="D56" s="7">
        <f>ROUND(C56*10000/B56,0)</f>
        <v/>
      </c>
      <c r="E56" s="8">
        <f>SUM(B57:B113)/SUM($B$4:$B$112)</f>
        <v/>
      </c>
    </row>
    <row r="57">
      <c r="A57" t="inlineStr">
        <is>
          <t>상위 47%</t>
        </is>
      </c>
      <c r="B57" s="7" t="n">
        <v>210785</v>
      </c>
      <c r="C57" s="7" t="n">
        <v>75900</v>
      </c>
      <c r="D57" s="7">
        <f>ROUND(C57*10000/B57,0)</f>
        <v/>
      </c>
      <c r="E57" s="8">
        <f>SUM(B58:B113)/SUM($B$4:$B$112)</f>
        <v/>
      </c>
    </row>
    <row r="58">
      <c r="A58" t="inlineStr">
        <is>
          <t>상위 46%</t>
        </is>
      </c>
      <c r="B58" s="7" t="n">
        <v>210786</v>
      </c>
      <c r="C58" s="7" t="n">
        <v>77152</v>
      </c>
      <c r="D58" s="7">
        <f>ROUND(C58*10000/B58,0)</f>
        <v/>
      </c>
      <c r="E58" s="8">
        <f>SUM(B59:B113)/SUM($B$4:$B$112)</f>
        <v/>
      </c>
    </row>
    <row r="59">
      <c r="A59" t="inlineStr">
        <is>
          <t>상위 45%</t>
        </is>
      </c>
      <c r="B59" s="7" t="n">
        <v>210785</v>
      </c>
      <c r="C59" s="7" t="n">
        <v>78586</v>
      </c>
      <c r="D59" s="7">
        <f>ROUND(C59*10000/B59,0)</f>
        <v/>
      </c>
      <c r="E59" s="8">
        <f>SUM(B60:B113)/SUM($B$4:$B$112)</f>
        <v/>
      </c>
    </row>
    <row r="60">
      <c r="A60" t="inlineStr">
        <is>
          <t>상위 44%</t>
        </is>
      </c>
      <c r="B60" s="7" t="n">
        <v>210785</v>
      </c>
      <c r="C60" s="7" t="n">
        <v>80070</v>
      </c>
      <c r="D60" s="7">
        <f>ROUND(C60*10000/B60,0)</f>
        <v/>
      </c>
      <c r="E60" s="8">
        <f>SUM(B61:B113)/SUM($B$4:$B$112)</f>
        <v/>
      </c>
    </row>
    <row r="61">
      <c r="A61" t="inlineStr">
        <is>
          <t>상위 43%</t>
        </is>
      </c>
      <c r="B61" s="7" t="n">
        <v>210786</v>
      </c>
      <c r="C61" s="7" t="n">
        <v>81577</v>
      </c>
      <c r="D61" s="7">
        <f>ROUND(C61*10000/B61,0)</f>
        <v/>
      </c>
      <c r="E61" s="8">
        <f>SUM(B62:B113)/SUM($B$4:$B$112)</f>
        <v/>
      </c>
    </row>
    <row r="62">
      <c r="A62" t="inlineStr">
        <is>
          <t>상위 42%</t>
        </is>
      </c>
      <c r="B62" s="7" t="n">
        <v>210785</v>
      </c>
      <c r="C62" s="7" t="n">
        <v>83163</v>
      </c>
      <c r="D62" s="7">
        <f>ROUND(C62*10000/B62,0)</f>
        <v/>
      </c>
      <c r="E62" s="8">
        <f>SUM(B63:B113)/SUM($B$4:$B$112)</f>
        <v/>
      </c>
    </row>
    <row r="63">
      <c r="A63" t="inlineStr">
        <is>
          <t>상위 41%</t>
        </is>
      </c>
      <c r="B63" s="7" t="n">
        <v>210785</v>
      </c>
      <c r="C63" s="7" t="n">
        <v>84751</v>
      </c>
      <c r="D63" s="7">
        <f>ROUND(C63*10000/B63,0)</f>
        <v/>
      </c>
      <c r="E63" s="8">
        <f>SUM(B64:B113)/SUM($B$4:$B$112)</f>
        <v/>
      </c>
    </row>
    <row r="64">
      <c r="A64" t="inlineStr">
        <is>
          <t>상위 40%</t>
        </is>
      </c>
      <c r="B64" s="7" t="n">
        <v>210786</v>
      </c>
      <c r="C64" s="7" t="n">
        <v>86436</v>
      </c>
      <c r="D64" s="7">
        <f>ROUND(C64*10000/B64,0)</f>
        <v/>
      </c>
      <c r="E64" s="8">
        <f>SUM(B65:B113)/SUM($B$4:$B$112)</f>
        <v/>
      </c>
    </row>
    <row r="65">
      <c r="A65" t="inlineStr">
        <is>
          <t>상위 39%</t>
        </is>
      </c>
      <c r="B65" s="7" t="n">
        <v>210785</v>
      </c>
      <c r="C65" s="7" t="n">
        <v>88155</v>
      </c>
      <c r="D65" s="7">
        <f>ROUND(C65*10000/B65,0)</f>
        <v/>
      </c>
      <c r="E65" s="8">
        <f>SUM(B66:B113)/SUM($B$4:$B$112)</f>
        <v/>
      </c>
    </row>
    <row r="66">
      <c r="A66" t="inlineStr">
        <is>
          <t>상위 38%</t>
        </is>
      </c>
      <c r="B66" s="7" t="n">
        <v>210786</v>
      </c>
      <c r="C66" s="7" t="n">
        <v>89861</v>
      </c>
      <c r="D66" s="7">
        <f>ROUND(C66*10000/B66,0)</f>
        <v/>
      </c>
      <c r="E66" s="8">
        <f>SUM(B67:B113)/SUM($B$4:$B$112)</f>
        <v/>
      </c>
    </row>
    <row r="67">
      <c r="A67" t="inlineStr">
        <is>
          <t>상위 37%</t>
        </is>
      </c>
      <c r="B67" s="7" t="n">
        <v>210785</v>
      </c>
      <c r="C67" s="7" t="n">
        <v>91700</v>
      </c>
      <c r="D67" s="7">
        <f>ROUND(C67*10000/B67,0)</f>
        <v/>
      </c>
      <c r="E67" s="8">
        <f>SUM(B68:B113)/SUM($B$4:$B$112)</f>
        <v/>
      </c>
    </row>
    <row r="68">
      <c r="A68" t="inlineStr">
        <is>
          <t>상위 36%</t>
        </is>
      </c>
      <c r="B68" s="7" t="n">
        <v>210785</v>
      </c>
      <c r="C68" s="7" t="n">
        <v>93643</v>
      </c>
      <c r="D68" s="7">
        <f>ROUND(C68*10000/B68,0)</f>
        <v/>
      </c>
      <c r="E68" s="8">
        <f>SUM(B69:B113)/SUM($B$4:$B$112)</f>
        <v/>
      </c>
    </row>
    <row r="69">
      <c r="A69" t="inlineStr">
        <is>
          <t>상위 35%</t>
        </is>
      </c>
      <c r="B69" s="7" t="n">
        <v>210786</v>
      </c>
      <c r="C69" s="7" t="n">
        <v>95642</v>
      </c>
      <c r="D69" s="7">
        <f>ROUND(C69*10000/B69,0)</f>
        <v/>
      </c>
      <c r="E69" s="8">
        <f>SUM(B70:B113)/SUM($B$4:$B$112)</f>
        <v/>
      </c>
    </row>
    <row r="70">
      <c r="A70" t="inlineStr">
        <is>
          <t>상위 34%</t>
        </is>
      </c>
      <c r="B70" s="7" t="n">
        <v>210785</v>
      </c>
      <c r="C70" s="7" t="n">
        <v>97683</v>
      </c>
      <c r="D70" s="7">
        <f>ROUND(C70*10000/B70,0)</f>
        <v/>
      </c>
      <c r="E70" s="8">
        <f>SUM(B71:B113)/SUM($B$4:$B$112)</f>
        <v/>
      </c>
    </row>
    <row r="71">
      <c r="A71" t="inlineStr">
        <is>
          <t>상위 33%</t>
        </is>
      </c>
      <c r="B71" s="7" t="n">
        <v>210785</v>
      </c>
      <c r="C71" s="7" t="n">
        <v>99856</v>
      </c>
      <c r="D71" s="7">
        <f>ROUND(C71*10000/B71,0)</f>
        <v/>
      </c>
      <c r="E71" s="8">
        <f>SUM(B72:B113)/SUM($B$4:$B$112)</f>
        <v/>
      </c>
    </row>
    <row r="72">
      <c r="A72" t="inlineStr">
        <is>
          <t>상위 32%</t>
        </is>
      </c>
      <c r="B72" s="7" t="n">
        <v>210786</v>
      </c>
      <c r="C72" s="7" t="n">
        <v>101950</v>
      </c>
      <c r="D72" s="7">
        <f>ROUND(C72*10000/B72,0)</f>
        <v/>
      </c>
      <c r="E72" s="8">
        <f>SUM(B73:B113)/SUM($B$4:$B$112)</f>
        <v/>
      </c>
    </row>
    <row r="73">
      <c r="A73" t="inlineStr">
        <is>
          <t>상위 31%</t>
        </is>
      </c>
      <c r="B73" s="7" t="n">
        <v>210785</v>
      </c>
      <c r="C73" s="7" t="n">
        <v>104281</v>
      </c>
      <c r="D73" s="7">
        <f>ROUND(C73*10000/B73,0)</f>
        <v/>
      </c>
      <c r="E73" s="8">
        <f>SUM(B74:B113)/SUM($B$4:$B$112)</f>
        <v/>
      </c>
    </row>
    <row r="74">
      <c r="A74" t="inlineStr">
        <is>
          <t>상위 30%</t>
        </is>
      </c>
      <c r="B74" s="7" t="n">
        <v>210785</v>
      </c>
      <c r="C74" s="7" t="n">
        <v>106713</v>
      </c>
      <c r="D74" s="7">
        <f>ROUND(C74*10000/B74,0)</f>
        <v/>
      </c>
      <c r="E74" s="8">
        <f>SUM(B75:B113)/SUM($B$4:$B$112)</f>
        <v/>
      </c>
    </row>
    <row r="75">
      <c r="A75" t="inlineStr">
        <is>
          <t>상위 29%</t>
        </is>
      </c>
      <c r="B75" s="7" t="n">
        <v>210786</v>
      </c>
      <c r="C75" s="7" t="n">
        <v>109304</v>
      </c>
      <c r="D75" s="7">
        <f>ROUND(C75*10000/B75,0)</f>
        <v/>
      </c>
      <c r="E75" s="8">
        <f>SUM(B76:B113)/SUM($B$4:$B$112)</f>
        <v/>
      </c>
    </row>
    <row r="76">
      <c r="A76" t="inlineStr">
        <is>
          <t>상위 28%</t>
        </is>
      </c>
      <c r="B76" s="7" t="n">
        <v>210785</v>
      </c>
      <c r="C76" s="7" t="n">
        <v>112010</v>
      </c>
      <c r="D76" s="7">
        <f>ROUND(C76*10000/B76,0)</f>
        <v/>
      </c>
      <c r="E76" s="8">
        <f>SUM(B77:B113)/SUM($B$4:$B$112)</f>
        <v/>
      </c>
    </row>
    <row r="77">
      <c r="A77" t="inlineStr">
        <is>
          <t>상위 27%</t>
        </is>
      </c>
      <c r="B77" s="7" t="n">
        <v>210785</v>
      </c>
      <c r="C77" s="7" t="n">
        <v>114793</v>
      </c>
      <c r="D77" s="7">
        <f>ROUND(C77*10000/B77,0)</f>
        <v/>
      </c>
      <c r="E77" s="8">
        <f>SUM(B78:B113)/SUM($B$4:$B$112)</f>
        <v/>
      </c>
    </row>
    <row r="78">
      <c r="A78" t="inlineStr">
        <is>
          <t>상위 26%</t>
        </is>
      </c>
      <c r="B78" s="7" t="n">
        <v>210786</v>
      </c>
      <c r="C78" s="7" t="n">
        <v>117673</v>
      </c>
      <c r="D78" s="7">
        <f>ROUND(C78*10000/B78,0)</f>
        <v/>
      </c>
      <c r="E78" s="8">
        <f>SUM(B79:B113)/SUM($B$4:$B$112)</f>
        <v/>
      </c>
    </row>
    <row r="79">
      <c r="A79" t="inlineStr">
        <is>
          <t>상위 25%</t>
        </is>
      </c>
      <c r="B79" s="7" t="n">
        <v>210785</v>
      </c>
      <c r="C79" s="7" t="n">
        <v>120711</v>
      </c>
      <c r="D79" s="7">
        <f>ROUND(C79*10000/B79,0)</f>
        <v/>
      </c>
      <c r="E79" s="8">
        <f>SUM(B80:B113)/SUM($B$4:$B$112)</f>
        <v/>
      </c>
    </row>
    <row r="80">
      <c r="A80" t="inlineStr">
        <is>
          <t>상위 24%</t>
        </is>
      </c>
      <c r="B80" s="7" t="n">
        <v>210785</v>
      </c>
      <c r="C80" s="7" t="n">
        <v>123811</v>
      </c>
      <c r="D80" s="7">
        <f>ROUND(C80*10000/B80,0)</f>
        <v/>
      </c>
      <c r="E80" s="8">
        <f>SUM(B81:B113)/SUM($B$4:$B$112)</f>
        <v/>
      </c>
    </row>
    <row r="81">
      <c r="A81" t="inlineStr">
        <is>
          <t>상위 23%</t>
        </is>
      </c>
      <c r="B81" s="7" t="n">
        <v>210786</v>
      </c>
      <c r="C81" s="7" t="n">
        <v>126929</v>
      </c>
      <c r="D81" s="7">
        <f>ROUND(C81*10000/B81,0)</f>
        <v/>
      </c>
      <c r="E81" s="8">
        <f>SUM(B82:B113)/SUM($B$4:$B$112)</f>
        <v/>
      </c>
    </row>
    <row r="82">
      <c r="A82" t="inlineStr">
        <is>
          <t>상위 22%</t>
        </is>
      </c>
      <c r="B82" s="7" t="n">
        <v>210785</v>
      </c>
      <c r="C82" s="7" t="n">
        <v>130268</v>
      </c>
      <c r="D82" s="7">
        <f>ROUND(C82*10000/B82,0)</f>
        <v/>
      </c>
      <c r="E82" s="8">
        <f>SUM(B83:B113)/SUM($B$4:$B$112)</f>
        <v/>
      </c>
    </row>
    <row r="83">
      <c r="A83" t="inlineStr">
        <is>
          <t>상위 21%</t>
        </is>
      </c>
      <c r="B83" s="7" t="n">
        <v>210785</v>
      </c>
      <c r="C83" s="7" t="n">
        <v>133886</v>
      </c>
      <c r="D83" s="7">
        <f>ROUND(C83*10000/B83,0)</f>
        <v/>
      </c>
      <c r="E83" s="8">
        <f>SUM(B84:B113)/SUM($B$4:$B$112)</f>
        <v/>
      </c>
    </row>
    <row r="84">
      <c r="A84" t="inlineStr">
        <is>
          <t>상위 20%</t>
        </is>
      </c>
      <c r="B84" s="7" t="n">
        <v>210786</v>
      </c>
      <c r="C84" s="7" t="n">
        <v>137731</v>
      </c>
      <c r="D84" s="7">
        <f>ROUND(C84*10000/B84,0)</f>
        <v/>
      </c>
      <c r="E84" s="8">
        <f>SUM(B85:B113)/SUM($B$4:$B$112)</f>
        <v/>
      </c>
    </row>
    <row r="85">
      <c r="A85" t="inlineStr">
        <is>
          <t>상위 19%</t>
        </is>
      </c>
      <c r="B85" s="7" t="n">
        <v>210785</v>
      </c>
      <c r="C85" s="7" t="n">
        <v>141794</v>
      </c>
      <c r="D85" s="7">
        <f>ROUND(C85*10000/B85,0)</f>
        <v/>
      </c>
      <c r="E85" s="8">
        <f>SUM(B86:B113)/SUM($B$4:$B$112)</f>
        <v/>
      </c>
    </row>
    <row r="86">
      <c r="A86" t="inlineStr">
        <is>
          <t>상위 18%</t>
        </is>
      </c>
      <c r="B86" s="7" t="n">
        <v>210786</v>
      </c>
      <c r="C86" s="7" t="n">
        <v>146126</v>
      </c>
      <c r="D86" s="7">
        <f>ROUND(C86*10000/B86,0)</f>
        <v/>
      </c>
      <c r="E86" s="8">
        <f>SUM(B87:B113)/SUM($B$4:$B$112)</f>
        <v/>
      </c>
    </row>
    <row r="87">
      <c r="A87" t="inlineStr">
        <is>
          <t>상위 17%</t>
        </is>
      </c>
      <c r="B87" s="7" t="n">
        <v>210785</v>
      </c>
      <c r="C87" s="7" t="n">
        <v>150669</v>
      </c>
      <c r="D87" s="7">
        <f>ROUND(C87*10000/B87,0)</f>
        <v/>
      </c>
      <c r="E87" s="8">
        <f>SUM(B88:B113)/SUM($B$4:$B$112)</f>
        <v/>
      </c>
    </row>
    <row r="88">
      <c r="A88" t="inlineStr">
        <is>
          <t>상위 16%</t>
        </is>
      </c>
      <c r="B88" s="7" t="n">
        <v>210785</v>
      </c>
      <c r="C88" s="7" t="n">
        <v>155494</v>
      </c>
      <c r="D88" s="7">
        <f>ROUND(C88*10000/B88,0)</f>
        <v/>
      </c>
      <c r="E88" s="8">
        <f>SUM(B89:B113)/SUM($B$4:$B$112)</f>
        <v/>
      </c>
    </row>
    <row r="89">
      <c r="A89" t="inlineStr">
        <is>
          <t>상위 15%</t>
        </is>
      </c>
      <c r="B89" s="7" t="n">
        <v>210786</v>
      </c>
      <c r="C89" s="7" t="n">
        <v>160753</v>
      </c>
      <c r="D89" s="7">
        <f>ROUND(C89*10000/B89,0)</f>
        <v/>
      </c>
      <c r="E89" s="8">
        <f>SUM(B90:B113)/SUM($B$4:$B$112)</f>
        <v/>
      </c>
    </row>
    <row r="90">
      <c r="A90" t="inlineStr">
        <is>
          <t>상위 14%</t>
        </is>
      </c>
      <c r="B90" s="7" t="n">
        <v>210785</v>
      </c>
      <c r="C90" s="7" t="n">
        <v>166247</v>
      </c>
      <c r="D90" s="7">
        <f>ROUND(C90*10000/B90,0)</f>
        <v/>
      </c>
      <c r="E90" s="8">
        <f>SUM(B91:B113)/SUM($B$4:$B$112)</f>
        <v/>
      </c>
    </row>
    <row r="91">
      <c r="A91" t="inlineStr">
        <is>
          <t>상위 13%</t>
        </is>
      </c>
      <c r="B91" s="7" t="n">
        <v>210785</v>
      </c>
      <c r="C91" s="7" t="n">
        <v>172033</v>
      </c>
      <c r="D91" s="7">
        <f>ROUND(C91*10000/B91,0)</f>
        <v/>
      </c>
      <c r="E91" s="8">
        <f>SUM(B92:B113)/SUM($B$4:$B$112)</f>
        <v/>
      </c>
    </row>
    <row r="92">
      <c r="A92" t="inlineStr">
        <is>
          <t>상위 12%</t>
        </is>
      </c>
      <c r="B92" s="7" t="n">
        <v>210786</v>
      </c>
      <c r="C92" s="7" t="n">
        <v>178188</v>
      </c>
      <c r="D92" s="7">
        <f>ROUND(C92*10000/B92,0)</f>
        <v/>
      </c>
      <c r="E92" s="8">
        <f>SUM(B93:B113)/SUM($B$4:$B$112)</f>
        <v/>
      </c>
    </row>
    <row r="93">
      <c r="A93" t="inlineStr">
        <is>
          <t>상위 11%</t>
        </is>
      </c>
      <c r="B93" s="7" t="n">
        <v>210785</v>
      </c>
      <c r="C93" s="7" t="n">
        <v>184848</v>
      </c>
      <c r="D93" s="7">
        <f>ROUND(C93*10000/B93,0)</f>
        <v/>
      </c>
      <c r="E93" s="8">
        <f>SUM(B94:B113)/SUM($B$4:$B$112)</f>
        <v/>
      </c>
    </row>
    <row r="94">
      <c r="A94" t="inlineStr">
        <is>
          <t>상위 10%</t>
        </is>
      </c>
      <c r="B94" s="7" t="n">
        <v>210785</v>
      </c>
      <c r="C94" s="7" t="n">
        <v>192172</v>
      </c>
      <c r="D94" s="7">
        <f>ROUND(C94*10000/B94,0)</f>
        <v/>
      </c>
      <c r="E94" s="8">
        <f>SUM(B95:B113)/SUM($B$4:$B$112)</f>
        <v/>
      </c>
    </row>
    <row r="95">
      <c r="A95" t="inlineStr">
        <is>
          <t>상위 9%</t>
        </is>
      </c>
      <c r="B95" s="7" t="n">
        <v>210786</v>
      </c>
      <c r="C95" s="7" t="n">
        <v>200197</v>
      </c>
      <c r="D95" s="7">
        <f>ROUND(C95*10000/B95,0)</f>
        <v/>
      </c>
      <c r="E95" s="8">
        <f>SUM(B96:B113)/SUM($B$4:$B$112)</f>
        <v/>
      </c>
    </row>
    <row r="96">
      <c r="A96" t="inlineStr">
        <is>
          <t>상위 8%</t>
        </is>
      </c>
      <c r="B96" s="7" t="n">
        <v>210785</v>
      </c>
      <c r="C96" s="7" t="n">
        <v>209213</v>
      </c>
      <c r="D96" s="7">
        <f>ROUND(C96*10000/B96,0)</f>
        <v/>
      </c>
      <c r="E96" s="8">
        <f>SUM(B97:B113)/SUM($B$4:$B$112)</f>
        <v/>
      </c>
    </row>
    <row r="97">
      <c r="A97" t="inlineStr">
        <is>
          <t>상위 7%</t>
        </is>
      </c>
      <c r="B97" s="7" t="n">
        <v>210785</v>
      </c>
      <c r="C97" s="7" t="n">
        <v>220389</v>
      </c>
      <c r="D97" s="7">
        <f>ROUND(C97*10000/B97,0)</f>
        <v/>
      </c>
      <c r="E97" s="8">
        <f>SUM(B98:B113)/SUM($B$4:$B$112)</f>
        <v/>
      </c>
    </row>
    <row r="98">
      <c r="A98" t="inlineStr">
        <is>
          <t>상위 6%</t>
        </is>
      </c>
      <c r="B98" s="7" t="n">
        <v>210786</v>
      </c>
      <c r="C98" s="7" t="n">
        <v>234741</v>
      </c>
      <c r="D98" s="7">
        <f>ROUND(C98*10000/B98,0)</f>
        <v/>
      </c>
      <c r="E98" s="8">
        <f>SUM(B99:B113)/SUM($B$4:$B$112)</f>
        <v/>
      </c>
    </row>
    <row r="99">
      <c r="A99" t="inlineStr">
        <is>
          <t>상위 5%</t>
        </is>
      </c>
      <c r="B99" s="7" t="n">
        <v>210785</v>
      </c>
      <c r="C99" s="7" t="n">
        <v>252607</v>
      </c>
      <c r="D99" s="7">
        <f>ROUND(C99*10000/B99,0)</f>
        <v/>
      </c>
      <c r="E99" s="8">
        <f>SUM(B100:B113)/SUM($B$4:$B$112)</f>
        <v/>
      </c>
    </row>
    <row r="100">
      <c r="A100" t="inlineStr">
        <is>
          <t>상위 4%</t>
        </is>
      </c>
      <c r="B100" s="7" t="n">
        <v>210785</v>
      </c>
      <c r="C100" s="7" t="n">
        <v>276491</v>
      </c>
      <c r="D100" s="7">
        <f>ROUND(C100*10000/B100,0)</f>
        <v/>
      </c>
      <c r="E100" s="8">
        <f>SUM(B101:B113)/SUM($B$4:$B$112)</f>
        <v/>
      </c>
    </row>
    <row r="101">
      <c r="A101" t="inlineStr">
        <is>
          <t>상위 3%</t>
        </is>
      </c>
      <c r="B101" s="7" t="n">
        <v>210786</v>
      </c>
      <c r="C101" s="7" t="n">
        <v>310222</v>
      </c>
      <c r="D101" s="7">
        <f>ROUND(C101*10000/B101,0)</f>
        <v/>
      </c>
      <c r="E101" s="8">
        <f>SUM(B102:B113)/SUM($B$4:$B$112)</f>
        <v/>
      </c>
    </row>
    <row r="102">
      <c r="A102" t="inlineStr">
        <is>
          <t>상위 2%</t>
        </is>
      </c>
      <c r="B102" s="7" t="n">
        <v>210785</v>
      </c>
      <c r="C102" s="7" t="n">
        <v>365333</v>
      </c>
      <c r="D102" s="7">
        <f>ROUND(C102*10000/B102,0)</f>
        <v/>
      </c>
      <c r="E102" s="8">
        <f>SUM(B103:B113)/SUM($B$4:$B$112)</f>
        <v/>
      </c>
    </row>
    <row r="103">
      <c r="A103" t="inlineStr">
        <is>
          <t>상위 1.0%</t>
        </is>
      </c>
      <c r="B103" s="7" t="n">
        <v>21079</v>
      </c>
      <c r="C103" s="7" t="n">
        <v>42059</v>
      </c>
      <c r="D103" s="7">
        <f>ROUND(C103*10000/B103,0)</f>
        <v/>
      </c>
      <c r="E103" s="8">
        <f>SUM(B104:B113)/SUM($B$4:$B$112)</f>
        <v/>
      </c>
    </row>
    <row r="104">
      <c r="A104" t="inlineStr">
        <is>
          <t>상위 0.9%</t>
        </is>
      </c>
      <c r="B104" s="7" t="n">
        <v>21078</v>
      </c>
      <c r="C104" s="7" t="n">
        <v>43742</v>
      </c>
      <c r="D104" s="7">
        <f>ROUND(C104*10000/B104,0)</f>
        <v/>
      </c>
      <c r="E104" s="8">
        <f>SUM(B105:B113)/SUM($B$4:$B$112)</f>
        <v/>
      </c>
    </row>
    <row r="105">
      <c r="A105" t="inlineStr">
        <is>
          <t>상위 0.8%</t>
        </is>
      </c>
      <c r="B105" s="7" t="n">
        <v>21079</v>
      </c>
      <c r="C105" s="7" t="n">
        <v>45875</v>
      </c>
      <c r="D105" s="7">
        <f>ROUND(C105*10000/B105,0)</f>
        <v/>
      </c>
      <c r="E105" s="8">
        <f>SUM(B106:B113)/SUM($B$4:$B$112)</f>
        <v/>
      </c>
    </row>
    <row r="106">
      <c r="A106" t="inlineStr">
        <is>
          <t>상위 0.7%</t>
        </is>
      </c>
      <c r="B106" s="7" t="n">
        <v>21078</v>
      </c>
      <c r="C106" s="7" t="n">
        <v>48661</v>
      </c>
      <c r="D106" s="7">
        <f>ROUND(C106*10000/B106,0)</f>
        <v/>
      </c>
      <c r="E106" s="8">
        <f>SUM(B107:B113)/SUM($B$4:$B$112)</f>
        <v/>
      </c>
    </row>
    <row r="107">
      <c r="A107" t="inlineStr">
        <is>
          <t>상위 0.6%</t>
        </is>
      </c>
      <c r="B107" s="7" t="n">
        <v>21079</v>
      </c>
      <c r="C107" s="7" t="n">
        <v>52164</v>
      </c>
      <c r="D107" s="7">
        <f>ROUND(C107*10000/B107,0)</f>
        <v/>
      </c>
      <c r="E107" s="8">
        <f>SUM(B108:B113)/SUM($B$4:$B$112)</f>
        <v/>
      </c>
    </row>
    <row r="108">
      <c r="A108" t="inlineStr">
        <is>
          <t>상위 0.5%</t>
        </is>
      </c>
      <c r="B108" s="7" t="n">
        <v>21078</v>
      </c>
      <c r="C108" s="7" t="n">
        <v>57025</v>
      </c>
      <c r="D108" s="7">
        <f>ROUND(C108*10000/B108,0)</f>
        <v/>
      </c>
      <c r="E108" s="8">
        <f>SUM(B109:B113)/SUM($B$4:$B$112)</f>
        <v/>
      </c>
    </row>
    <row r="109">
      <c r="A109" t="inlineStr">
        <is>
          <t>상위 0.4%</t>
        </is>
      </c>
      <c r="B109" s="7" t="n">
        <v>21079</v>
      </c>
      <c r="C109" s="7" t="n">
        <v>63579</v>
      </c>
      <c r="D109" s="7">
        <f>ROUND(C109*10000/B109,0)</f>
        <v/>
      </c>
      <c r="E109" s="8">
        <f>SUM(B110:B113)/SUM($B$4:$B$112)</f>
        <v/>
      </c>
    </row>
    <row r="110">
      <c r="A110" t="inlineStr">
        <is>
          <t>상위 0.3%</t>
        </is>
      </c>
      <c r="B110" s="7" t="n">
        <v>21078</v>
      </c>
      <c r="C110" s="7" t="n">
        <v>73669</v>
      </c>
      <c r="D110" s="7">
        <f>ROUND(C110*10000/B110,0)</f>
        <v/>
      </c>
      <c r="E110" s="8">
        <f>SUM(B111:B113)/SUM($B$4:$B$112)</f>
        <v/>
      </c>
    </row>
    <row r="111">
      <c r="A111" t="inlineStr">
        <is>
          <t>상위 0.2%</t>
        </is>
      </c>
      <c r="B111" s="7" t="n">
        <v>21079</v>
      </c>
      <c r="C111" s="7" t="n">
        <v>92533</v>
      </c>
      <c r="D111" s="7">
        <f>ROUND(C111*10000/B111,0)</f>
        <v/>
      </c>
      <c r="E111" s="8">
        <f>SUM(B112:B113)/SUM($B$4:$B$112)</f>
        <v/>
      </c>
    </row>
    <row r="112">
      <c r="A112" t="inlineStr">
        <is>
          <t>상위 0.1%</t>
        </is>
      </c>
      <c r="B112" s="7" t="n">
        <v>21078</v>
      </c>
      <c r="C112" s="7" t="n">
        <v>210647</v>
      </c>
      <c r="D112" s="7">
        <f>ROUND(C112*10000/B112,0)</f>
        <v/>
      </c>
      <c r="E112" s="8">
        <f>SUM(B113:B113)/SUM($B$4:$B$112)</f>
        <v/>
      </c>
    </row>
    <row r="114">
      <c r="A114" s="2" t="inlineStr">
        <is>
          <t>합계</t>
        </is>
      </c>
      <c r="B114" s="7">
        <f>SUM(B4:B112)</f>
        <v/>
      </c>
      <c r="C114" s="7">
        <f>SUM(C4:C112)</f>
        <v/>
      </c>
      <c r="D114" s="7">
        <f>ROUND(C114*10000/B114,0)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2026-10-18T00:46:29Z</dcterms:created>
  <dcterms:modified xmlns:dcterms="http://purl.org/dc/terms/" xmlns:xsi="http://www.w3.org/2001/XMLSchema-instance" xsi:type="dcterms:W3CDTF">2026-10-18T00:46:29Z</dcterms:modified>
</cp:coreProperties>
</file>